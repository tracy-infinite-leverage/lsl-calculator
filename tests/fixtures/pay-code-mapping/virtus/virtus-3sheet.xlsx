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externalReferences>
    <externalReference xmlns:r="http://schemas.openxmlformats.org/officeDocument/2006/relationships" r:id="rId4"/>
  </externalReferences>
  <definedNames>
    <definedName name="_xlnm._FilterDatabase" localSheetId="0" hidden="1">'Sheet1'!$A$3:$I$1386</definedName>
    <definedName name="_xlnm._FilterDatabase" localSheetId="1" hidden="1">'Sheet2'!$A$1:$O$1403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;@"/>
  </numFmts>
  <fonts count="3">
    <font>
      <name val="Calibri"/>
      <family val="2"/>
      <color theme="1"/>
      <sz val="12"/>
      <scheme val="minor"/>
    </font>
    <font>
      <name val="Segoe UI"/>
      <family val="2"/>
      <color rgb="FF000000"/>
      <sz val="9"/>
    </font>
    <font>
      <name val="Calibri"/>
      <family val="2"/>
      <b val="1"/>
      <color theme="1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 tint="0.7999816888943144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9F9FF"/>
        <bgColor rgb="FFF9F9FF"/>
      </patternFill>
    </fill>
    <fill>
      <patternFill patternType="solid">
        <fgColor rgb="FFFFFF00"/>
        <bgColor rgb="FFF9F9FF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rgb="FFA0A0A0"/>
      </right>
      <top style="medium">
        <color indexed="64"/>
      </top>
      <bottom/>
      <diagonal/>
    </border>
    <border>
      <left style="thin">
        <color rgb="FFA0A0A0"/>
      </left>
      <right style="thin">
        <color rgb="FFA0A0A0"/>
      </right>
      <top style="medium">
        <color indexed="64"/>
      </top>
      <bottom/>
      <diagonal/>
    </border>
    <border>
      <left style="thin">
        <color rgb="FFA0A0A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A0A0A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right"/>
    </xf>
    <xf numFmtId="0" fontId="1" fillId="4" borderId="1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right" vertical="top" wrapText="1"/>
    </xf>
    <xf numFmtId="0" fontId="1" fillId="4" borderId="2" applyAlignment="1" pivotButton="0" quotePrefix="1" xfId="0">
      <alignment horizontal="left" vertical="top" wrapText="1"/>
    </xf>
    <xf numFmtId="0" fontId="1" fillId="4" borderId="3" applyAlignment="1" pivotButton="0" quotePrefix="0" xfId="0">
      <alignment horizontal="left" vertical="top" wrapText="1"/>
    </xf>
    <xf numFmtId="0" fontId="1" fillId="4" borderId="4" applyAlignment="1" pivotButton="0" quotePrefix="0" xfId="0">
      <alignment horizontal="left" vertical="top" wrapText="1"/>
    </xf>
    <xf numFmtId="0" fontId="1" fillId="5" borderId="5" applyAlignment="1" pivotButton="0" quotePrefix="0" xfId="0">
      <alignment horizontal="left" vertical="top" wrapText="1"/>
    </xf>
    <xf numFmtId="14" fontId="1" fillId="5" borderId="5" applyAlignment="1" pivotButton="0" quotePrefix="0" xfId="0">
      <alignment horizontal="left" vertical="top" wrapText="1"/>
    </xf>
    <xf numFmtId="0" fontId="1" fillId="5" borderId="5" applyAlignment="1" pivotButton="0" quotePrefix="0" xfId="0">
      <alignment horizontal="right" vertical="top" wrapText="1"/>
    </xf>
    <xf numFmtId="0" fontId="1" fillId="6" borderId="5" applyAlignment="1" pivotButton="0" quotePrefix="0" xfId="0">
      <alignment horizontal="right" vertical="top" wrapText="1"/>
    </xf>
    <xf numFmtId="0" fontId="1" fillId="7" borderId="5" applyAlignment="1" pivotButton="0" quotePrefix="0" xfId="0">
      <alignment horizontal="left" vertical="top" wrapText="1"/>
    </xf>
    <xf numFmtId="14" fontId="1" fillId="7" borderId="5" applyAlignment="1" pivotButton="0" quotePrefix="0" xfId="0">
      <alignment horizontal="left" vertical="top" wrapText="1"/>
    </xf>
    <xf numFmtId="0" fontId="1" fillId="7" borderId="5" applyAlignment="1" pivotButton="0" quotePrefix="0" xfId="0">
      <alignment horizontal="right" vertical="top" wrapText="1"/>
    </xf>
    <xf numFmtId="0" fontId="1" fillId="8" borderId="5" applyAlignment="1" pivotButton="0" quotePrefix="0" xfId="0">
      <alignment horizontal="right" vertical="top" wrapText="1"/>
    </xf>
    <xf numFmtId="4" fontId="1" fillId="6" borderId="5" applyAlignment="1" pivotButton="0" quotePrefix="0" xfId="0">
      <alignment horizontal="right" vertical="top" wrapText="1"/>
    </xf>
    <xf numFmtId="4" fontId="1" fillId="8" borderId="5" applyAlignment="1" pivotButton="0" quotePrefix="0" xfId="0">
      <alignment horizontal="right" vertical="top" wrapText="1"/>
    </xf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3" borderId="5" applyAlignment="1" pivotButton="0" quotePrefix="0" xfId="0">
      <alignment horizontal="center" wrapText="1"/>
    </xf>
    <xf numFmtId="4" fontId="0" fillId="3" borderId="5" applyAlignment="1" pivotButton="0" quotePrefix="0" xfId="0">
      <alignment horizontal="center" wrapText="1"/>
    </xf>
    <xf numFmtId="0" fontId="0" fillId="3" borderId="5" applyAlignment="1" pivotButton="0" quotePrefix="0" xfId="0">
      <alignment wrapText="1"/>
    </xf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2" borderId="5" applyAlignment="1" pivotButton="0" quotePrefix="0" xfId="0">
      <alignment horizontal="right"/>
    </xf>
    <xf numFmtId="4" fontId="0" fillId="0" borderId="5" pivotButton="0" quotePrefix="0" xfId="0"/>
    <xf numFmtId="0" fontId="0" fillId="2" borderId="5" pivotButton="0" quotePrefix="0" xfId="0"/>
    <xf numFmtId="164" fontId="0" fillId="0" borderId="0" applyAlignment="1" pivotButton="0" quotePrefix="0" xfId="0">
      <alignment horizontal="right"/>
    </xf>
    <xf numFmtId="164" fontId="0" fillId="3" borderId="5" applyAlignment="1" pivotButton="0" quotePrefix="0" xfId="0">
      <alignment horizontal="center" wrapText="1"/>
    </xf>
    <xf numFmtId="164" fontId="0" fillId="0" borderId="5" applyAlignment="1" pivotButton="0" quotePrefix="0" xfId="0">
      <alignment horizontal="right"/>
    </xf>
    <xf numFmtId="164" fontId="0" fillId="2" borderId="5" applyAlignment="1" pivotButton="0" quotePrefix="0" xfId="0">
      <alignment horizontal="right"/>
    </xf>
    <xf numFmtId="0" fontId="2" fillId="0" borderId="0" pivotButton="0" quotePrefix="0" xfId="0"/>
    <xf numFmtId="14" fontId="2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3" borderId="5" applyAlignment="1" pivotButton="0" quotePrefix="0" xfId="0">
      <alignment horizontal="center" wrapText="1"/>
    </xf>
    <xf numFmtId="164" fontId="0" fillId="0" borderId="5" applyAlignment="1" pivotButton="0" quotePrefix="0" xfId="0">
      <alignment horizontal="right"/>
    </xf>
    <xf numFmtId="164" fontId="0" fillId="2" borderId="5" applyAlignment="1" pivotButton="0" quotePrefix="0" xfId="0">
      <alignment horizontal="right"/>
    </xf>
  </cellXfs>
  <cellStyles count="1">
    <cellStyle name="Normal" xfId="0" builtinId="0"/>
  </cellStyles>
  <dxfs count="22"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numFmt numFmtId="19" formatCode="d/mm/yyyy"/>
      <fill>
        <patternFill patternType="solid">
          <fgColor rgb="FFF9F9FF"/>
          <bgColor rgb="FFF9F9FF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righ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righ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numFmt numFmtId="19" formatCode="d/mm/yyyy"/>
      <fill>
        <patternFill patternType="solid">
          <fgColor rgb="FFF9F9FF"/>
          <bgColor rgb="FFF9F9FF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numFmt numFmtId="19" formatCode="d/mm/yyyy"/>
      <fill>
        <patternFill patternType="solid">
          <fgColor rgb="FFF9F9FF"/>
          <bgColor rgb="FFF9F9FF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righ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FFF00"/>
        </patternFill>
      </fill>
      <alignment horizontal="righ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Segoe UI"/>
        <family val="2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righ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family val="2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numFmt numFmtId="19" formatCode="d/mm/yyyy"/>
      <fill>
        <patternFill patternType="solid">
          <fgColor rgb="FFF9F9FF"/>
          <bgColor rgb="FFF9F9FF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E6E6E6"/>
        </top>
      </border>
    </dxf>
    <dxf>
      <border>
        <bottom style="medium">
          <color indexed="64"/>
        </bottom>
      </border>
    </dxf>
    <dxf>
      <border outline="0">
        <top style="thin">
          <color rgb="FFA0A0A0"/>
        </top>
        <bottom style="thin">
          <color rgb="FFE6E6E6"/>
        </bottom>
      </border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9F9FF"/>
          <bgColor rgb="FFF9F9FF"/>
        </patternFill>
      </fill>
      <alignment horizontal="left" vertical="top" wrapText="1"/>
    </dxf>
    <dxf>
      <font>
        <name val="Segoe UI"/>
        <strike val="0"/>
        <outline val="0"/>
        <shadow val="0"/>
        <condense val="0"/>
        <color rgb="FF000000"/>
        <extend val="0"/>
        <sz val="9"/>
        <vertAlign val="baseline"/>
      </font>
      <fill>
        <patternFill patternType="solid">
          <fgColor rgb="FFF0F0F0"/>
          <bgColor theme="6" tint="0.7999816888943144"/>
        </patternFill>
      </fill>
      <alignment horizontal="left" vertical="top" wrapText="1"/>
      <border>
        <left style="thin">
          <color rgb="FFA0A0A0"/>
        </left>
        <right style="thin">
          <color rgb="FFA0A0A0"/>
        </right>
        <top/>
        <bottom/>
        <vertical style="thin">
          <color rgb="FFA0A0A0"/>
        </vertical>
        <horizontal/>
      </border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rienneSilla\APA\APA%20-%20Consulting%20-%20Documents\General\Consulting\2026\Virtus%20Health%20-%20LSL%20calculation\Virtus%20SAMPLE%20PositionHistorySampleFile(in).csv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irtus SAMPLE PositionHistorySa"/>
    </sheetNames>
    <sheetDataSet>
      <sheetData sheetId="0">
        <row r="1">
          <cell r="A1" t="str">
            <v>Employee ID</v>
          </cell>
          <cell r="B1" t="str">
            <v>Employee DOB</v>
          </cell>
          <cell r="C1" t="str">
            <v>Cohort</v>
          </cell>
          <cell r="D1" t="str">
            <v>System</v>
          </cell>
          <cell r="E1" t="str">
            <v>Title</v>
          </cell>
          <cell r="F1" t="str">
            <v>Position Effective Date</v>
          </cell>
          <cell r="G1" t="str">
            <v>Position End Date</v>
          </cell>
          <cell r="H1" t="str">
            <v>LSL Instrument</v>
          </cell>
          <cell r="I1" t="str">
            <v>State</v>
          </cell>
          <cell r="J1" t="str">
            <v>Employment Status</v>
          </cell>
          <cell r="K1" t="str">
            <v>Commencement Date</v>
          </cell>
          <cell r="L1" t="str">
            <v>LSL Adjusted Start Date</v>
          </cell>
        </row>
        <row r="2">
          <cell r="A2">
            <v>12</v>
          </cell>
          <cell r="B2" t="str">
            <v>8/21/1989</v>
          </cell>
          <cell r="C2" t="str">
            <v>VIC-TAS</v>
          </cell>
          <cell r="D2" t="str">
            <v>Virtus Health</v>
          </cell>
          <cell r="E2" t="str">
            <v>Embryologist</v>
          </cell>
          <cell r="F2" t="str">
            <v>8/22/2011</v>
          </cell>
          <cell r="H2" t="str">
            <v>TIVF2024</v>
          </cell>
          <cell r="I2" t="str">
            <v>TAS</v>
          </cell>
          <cell r="J2" t="str">
            <v>Part Time</v>
          </cell>
          <cell r="K2" t="str">
            <v>8/22/2011</v>
          </cell>
          <cell r="L2" t="str">
            <v>8/22/2011</v>
          </cell>
        </row>
        <row r="3">
          <cell r="A3">
            <v>20</v>
          </cell>
          <cell r="B3" t="str">
            <v>4/16/1990</v>
          </cell>
          <cell r="C3" t="str">
            <v>VIC-TAS</v>
          </cell>
          <cell r="D3" t="str">
            <v>Virtus Health</v>
          </cell>
          <cell r="E3" t="str">
            <v>Registered Nurse</v>
          </cell>
          <cell r="F3" t="str">
            <v>4/16/2012</v>
          </cell>
          <cell r="H3" t="str">
            <v>TIVF2024</v>
          </cell>
          <cell r="I3" t="str">
            <v>TAS</v>
          </cell>
          <cell r="J3" t="str">
            <v>Casual</v>
          </cell>
          <cell r="K3" t="str">
            <v>4/16/2012</v>
          </cell>
          <cell r="L3" t="str">
            <v>4/16/2012</v>
          </cell>
        </row>
        <row r="4">
          <cell r="A4">
            <v>23</v>
          </cell>
          <cell r="B4" t="str">
            <v>1/15/1979</v>
          </cell>
          <cell r="C4" t="str">
            <v>VIC-TAS</v>
          </cell>
          <cell r="D4" t="str">
            <v>Virtus Health</v>
          </cell>
          <cell r="E4" t="str">
            <v>Scientific Director</v>
          </cell>
          <cell r="F4" t="str">
            <v>1/15/2001</v>
          </cell>
          <cell r="H4" t="str">
            <v>TAS</v>
          </cell>
          <cell r="I4" t="str">
            <v>TAS</v>
          </cell>
          <cell r="J4" t="str">
            <v>Full Time</v>
          </cell>
          <cell r="K4" t="str">
            <v>1/15/2001</v>
          </cell>
          <cell r="L4" t="str">
            <v>1/15/2001</v>
          </cell>
        </row>
        <row r="5">
          <cell r="A5">
            <v>32</v>
          </cell>
          <cell r="B5">
            <v>32358</v>
          </cell>
          <cell r="C5" t="str">
            <v>VIC-TAS</v>
          </cell>
          <cell r="D5" t="str">
            <v>Virtus Health</v>
          </cell>
          <cell r="E5" t="str">
            <v>Embryologist</v>
          </cell>
          <cell r="F5">
            <v>40424</v>
          </cell>
          <cell r="H5" t="str">
            <v>TIVF2024</v>
          </cell>
          <cell r="I5" t="str">
            <v>TAS</v>
          </cell>
          <cell r="J5" t="str">
            <v>Full Time</v>
          </cell>
          <cell r="K5">
            <v>40424</v>
          </cell>
          <cell r="L5">
            <v>40424</v>
          </cell>
        </row>
        <row r="6">
          <cell r="A6">
            <v>38</v>
          </cell>
          <cell r="B6" t="str">
            <v>4/17/1990</v>
          </cell>
          <cell r="C6" t="str">
            <v>VIC-TAS</v>
          </cell>
          <cell r="D6" t="str">
            <v>Virtus Health</v>
          </cell>
          <cell r="E6" t="str">
            <v>Registered Nurse</v>
          </cell>
          <cell r="F6" t="str">
            <v>4/17/2012</v>
          </cell>
          <cell r="H6" t="str">
            <v>TIVF2024</v>
          </cell>
          <cell r="I6" t="str">
            <v>TAS</v>
          </cell>
          <cell r="J6" t="str">
            <v>Part Time</v>
          </cell>
          <cell r="K6" t="str">
            <v>4/17/2012</v>
          </cell>
          <cell r="L6" t="str">
            <v>4/17/2012</v>
          </cell>
        </row>
        <row r="7">
          <cell r="A7">
            <v>39</v>
          </cell>
          <cell r="B7">
            <v>31568</v>
          </cell>
          <cell r="C7" t="str">
            <v>VIC-TAS</v>
          </cell>
          <cell r="D7" t="str">
            <v>Virtus Health</v>
          </cell>
          <cell r="E7" t="str">
            <v>Registered Nurse</v>
          </cell>
          <cell r="F7">
            <v>39604</v>
          </cell>
          <cell r="H7" t="str">
            <v>TIVF2024</v>
          </cell>
          <cell r="I7" t="str">
            <v>TAS</v>
          </cell>
          <cell r="J7" t="str">
            <v>Part Time</v>
          </cell>
          <cell r="K7">
            <v>39604</v>
          </cell>
          <cell r="L7">
            <v>39604</v>
          </cell>
        </row>
        <row r="8">
          <cell r="A8">
            <v>45</v>
          </cell>
          <cell r="B8" t="str">
            <v>2/15/1994</v>
          </cell>
          <cell r="C8" t="str">
            <v>VIC-TAS</v>
          </cell>
          <cell r="D8" t="str">
            <v>Virtus Health</v>
          </cell>
          <cell r="E8" t="str">
            <v>Patient Liaison Administrator</v>
          </cell>
          <cell r="F8" t="str">
            <v>2/16/2016</v>
          </cell>
          <cell r="H8" t="str">
            <v>TIVF2024</v>
          </cell>
          <cell r="I8" t="str">
            <v>TAS</v>
          </cell>
          <cell r="J8" t="str">
            <v>Part Time</v>
          </cell>
          <cell r="K8" t="str">
            <v>2/16/2016</v>
          </cell>
          <cell r="L8" t="str">
            <v>2/16/2016</v>
          </cell>
        </row>
        <row r="9">
          <cell r="A9">
            <v>56</v>
          </cell>
          <cell r="B9" t="str">
            <v>3/27/1995</v>
          </cell>
          <cell r="C9" t="str">
            <v>VIC-TAS</v>
          </cell>
          <cell r="D9" t="str">
            <v>Virtus Health</v>
          </cell>
          <cell r="E9" t="str">
            <v>Associate Nurse Unit Manager</v>
          </cell>
          <cell r="F9" t="str">
            <v>3/27/2017</v>
          </cell>
          <cell r="H9" t="str">
            <v>TIVF2024</v>
          </cell>
          <cell r="I9" t="str">
            <v>TAS</v>
          </cell>
          <cell r="J9" t="str">
            <v>Part Time</v>
          </cell>
          <cell r="K9" t="str">
            <v>3/27/2017</v>
          </cell>
          <cell r="L9" t="str">
            <v>3/27/2017</v>
          </cell>
        </row>
        <row r="10">
          <cell r="A10">
            <v>57</v>
          </cell>
          <cell r="B10">
            <v>34976</v>
          </cell>
          <cell r="C10" t="str">
            <v>VIC-TAS</v>
          </cell>
          <cell r="D10" t="str">
            <v>Virtus Health</v>
          </cell>
          <cell r="E10" t="str">
            <v>Enrolled Nurse</v>
          </cell>
          <cell r="F10">
            <v>43012</v>
          </cell>
          <cell r="H10" t="str">
            <v>TIVF2024</v>
          </cell>
          <cell r="I10" t="str">
            <v>TAS</v>
          </cell>
          <cell r="J10" t="str">
            <v>Part Time</v>
          </cell>
          <cell r="K10">
            <v>43012</v>
          </cell>
          <cell r="L10">
            <v>43012</v>
          </cell>
        </row>
        <row r="11">
          <cell r="A11">
            <v>76</v>
          </cell>
          <cell r="B11" t="str">
            <v>7/29/1996</v>
          </cell>
          <cell r="C11" t="str">
            <v>VIC-TAS</v>
          </cell>
          <cell r="D11" t="str">
            <v>Virtus Health</v>
          </cell>
          <cell r="E11" t="str">
            <v>Registered Nurse</v>
          </cell>
          <cell r="F11" t="str">
            <v>7/30/2018</v>
          </cell>
          <cell r="H11" t="str">
            <v>TIVF2024</v>
          </cell>
          <cell r="I11" t="str">
            <v>TAS</v>
          </cell>
          <cell r="J11" t="str">
            <v>Part Time</v>
          </cell>
          <cell r="K11" t="str">
            <v>7/30/2018</v>
          </cell>
          <cell r="L11" t="str">
            <v>7/30/2018</v>
          </cell>
        </row>
        <row r="12">
          <cell r="A12">
            <v>88</v>
          </cell>
          <cell r="B12">
            <v>35615</v>
          </cell>
          <cell r="C12" t="str">
            <v>VIC-TAS</v>
          </cell>
          <cell r="D12" t="str">
            <v>Virtus Health</v>
          </cell>
          <cell r="E12" t="str">
            <v>Embryologist</v>
          </cell>
          <cell r="F12">
            <v>43681</v>
          </cell>
          <cell r="H12" t="str">
            <v>TIVF2024</v>
          </cell>
          <cell r="I12" t="str">
            <v>TAS</v>
          </cell>
          <cell r="J12" t="str">
            <v>Part Time</v>
          </cell>
          <cell r="K12">
            <v>43681</v>
          </cell>
          <cell r="L12">
            <v>43681</v>
          </cell>
        </row>
        <row r="13">
          <cell r="A13">
            <v>92</v>
          </cell>
          <cell r="B13" t="str">
            <v>7/14/1997</v>
          </cell>
          <cell r="C13" t="str">
            <v>VIC-TAS</v>
          </cell>
          <cell r="D13" t="str">
            <v>Virtus Health</v>
          </cell>
          <cell r="E13" t="str">
            <v>Patient Administration Services Team Leader</v>
          </cell>
          <cell r="F13" t="str">
            <v>7/15/2019</v>
          </cell>
          <cell r="H13" t="str">
            <v>TIVF2024</v>
          </cell>
          <cell r="I13" t="str">
            <v>TAS</v>
          </cell>
          <cell r="J13" t="str">
            <v>Full Time</v>
          </cell>
          <cell r="K13" t="str">
            <v>7/15/2019</v>
          </cell>
          <cell r="L13" t="str">
            <v>7/15/2019</v>
          </cell>
        </row>
        <row r="14">
          <cell r="A14">
            <v>95</v>
          </cell>
          <cell r="B14" t="str">
            <v>9/15/1997</v>
          </cell>
          <cell r="C14" t="str">
            <v>VIC-TAS</v>
          </cell>
          <cell r="D14" t="str">
            <v>Virtus Health</v>
          </cell>
          <cell r="E14" t="str">
            <v>Registered Nurse</v>
          </cell>
          <cell r="F14" t="str">
            <v>9/16/2019</v>
          </cell>
          <cell r="H14" t="str">
            <v>TIVF2024</v>
          </cell>
          <cell r="I14" t="str">
            <v>TAS</v>
          </cell>
          <cell r="J14" t="str">
            <v>Part Time</v>
          </cell>
          <cell r="K14" t="str">
            <v>9/16/2019</v>
          </cell>
          <cell r="L14" t="str">
            <v>9/16/2019</v>
          </cell>
        </row>
        <row r="15">
          <cell r="A15">
            <v>97</v>
          </cell>
          <cell r="B15">
            <v>36040</v>
          </cell>
          <cell r="C15" t="str">
            <v>VIC-TAS</v>
          </cell>
          <cell r="D15" t="str">
            <v>Virtus Health</v>
          </cell>
          <cell r="E15" t="str">
            <v>Registered Nurse</v>
          </cell>
          <cell r="F15">
            <v>44106</v>
          </cell>
          <cell r="H15" t="str">
            <v>TIVF2024</v>
          </cell>
          <cell r="I15" t="str">
            <v>TAS</v>
          </cell>
          <cell r="J15" t="str">
            <v>Full Time</v>
          </cell>
          <cell r="K15">
            <v>44106</v>
          </cell>
          <cell r="L15">
            <v>44106</v>
          </cell>
        </row>
        <row r="16">
          <cell r="A16">
            <v>99</v>
          </cell>
          <cell r="B16">
            <v>36040</v>
          </cell>
          <cell r="C16" t="str">
            <v>VIC-TAS</v>
          </cell>
          <cell r="D16" t="str">
            <v>Virtus Health</v>
          </cell>
          <cell r="E16" t="str">
            <v>Registered Nurse</v>
          </cell>
          <cell r="F16">
            <v>44106</v>
          </cell>
          <cell r="H16" t="str">
            <v>TIVF2024</v>
          </cell>
          <cell r="I16" t="str">
            <v>TAS</v>
          </cell>
          <cell r="J16" t="str">
            <v>Part Time</v>
          </cell>
          <cell r="K16">
            <v>44106</v>
          </cell>
          <cell r="L16">
            <v>44106</v>
          </cell>
        </row>
        <row r="17">
          <cell r="A17">
            <v>103</v>
          </cell>
          <cell r="B17" t="str">
            <v>3/24/1998</v>
          </cell>
          <cell r="C17" t="str">
            <v>VIC-TAS</v>
          </cell>
          <cell r="D17" t="str">
            <v>Virtus Health</v>
          </cell>
          <cell r="E17" t="str">
            <v>Donor Coordinator</v>
          </cell>
          <cell r="F17" t="str">
            <v>3/24/2020</v>
          </cell>
          <cell r="H17" t="str">
            <v>TIVF2024</v>
          </cell>
          <cell r="I17" t="str">
            <v>TAS</v>
          </cell>
          <cell r="J17" t="str">
            <v>Part Time</v>
          </cell>
          <cell r="K17" t="str">
            <v>3/24/2020</v>
          </cell>
          <cell r="L17" t="str">
            <v>3/24/2020</v>
          </cell>
        </row>
        <row r="18">
          <cell r="A18">
            <v>105</v>
          </cell>
          <cell r="B18">
            <v>36012</v>
          </cell>
          <cell r="C18" t="str">
            <v>VIC-TAS</v>
          </cell>
          <cell r="D18" t="str">
            <v>Virtus Health</v>
          </cell>
          <cell r="E18" t="str">
            <v>Enrolled Nurse</v>
          </cell>
          <cell r="F18">
            <v>44048</v>
          </cell>
          <cell r="H18" t="str">
            <v>TIVF2024</v>
          </cell>
          <cell r="I18" t="str">
            <v>TAS</v>
          </cell>
          <cell r="J18" t="str">
            <v>Casual</v>
          </cell>
          <cell r="K18">
            <v>44048</v>
          </cell>
          <cell r="L18">
            <v>44048</v>
          </cell>
        </row>
        <row r="19">
          <cell r="A19">
            <v>107</v>
          </cell>
          <cell r="B19" t="str">
            <v>6/15/1998</v>
          </cell>
          <cell r="C19" t="str">
            <v>VIC-TAS</v>
          </cell>
          <cell r="D19" t="str">
            <v>Virtus Health</v>
          </cell>
          <cell r="E19" t="str">
            <v>Registered Nurse</v>
          </cell>
          <cell r="F19" t="str">
            <v>6/15/2020</v>
          </cell>
          <cell r="H19" t="str">
            <v>TIVF2024</v>
          </cell>
          <cell r="I19" t="str">
            <v>TAS</v>
          </cell>
          <cell r="J19" t="str">
            <v>Part Time</v>
          </cell>
          <cell r="K19" t="str">
            <v>6/15/2020</v>
          </cell>
          <cell r="L19" t="str">
            <v>6/15/2020</v>
          </cell>
        </row>
        <row r="20">
          <cell r="A20">
            <v>109</v>
          </cell>
          <cell r="B20">
            <v>36044</v>
          </cell>
          <cell r="C20" t="str">
            <v>VIC-TAS</v>
          </cell>
          <cell r="D20" t="str">
            <v>Virtus Health</v>
          </cell>
          <cell r="E20" t="str">
            <v>Registered Nurse</v>
          </cell>
          <cell r="F20">
            <v>44080</v>
          </cell>
          <cell r="H20" t="str">
            <v>TIVF2024</v>
          </cell>
          <cell r="I20" t="str">
            <v>TAS</v>
          </cell>
          <cell r="J20" t="str">
            <v>Casual</v>
          </cell>
          <cell r="K20">
            <v>44080</v>
          </cell>
          <cell r="L20">
            <v>44080</v>
          </cell>
        </row>
        <row r="21">
          <cell r="A21">
            <v>115</v>
          </cell>
          <cell r="B21" t="str">
            <v>7/20/1998</v>
          </cell>
          <cell r="C21" t="str">
            <v>VIC-TAS</v>
          </cell>
          <cell r="D21" t="str">
            <v>Virtus Health</v>
          </cell>
          <cell r="E21" t="str">
            <v>CSSD Theatre Technician</v>
          </cell>
          <cell r="F21" t="str">
            <v>7/20/2020</v>
          </cell>
          <cell r="H21" t="str">
            <v>TIVF2024</v>
          </cell>
          <cell r="I21" t="str">
            <v>TAS</v>
          </cell>
          <cell r="J21" t="str">
            <v>Casual</v>
          </cell>
          <cell r="K21" t="str">
            <v>7/20/2020</v>
          </cell>
          <cell r="L21" t="str">
            <v>7/20/2020</v>
          </cell>
        </row>
        <row r="22">
          <cell r="A22">
            <v>118</v>
          </cell>
          <cell r="B22">
            <v>35985</v>
          </cell>
          <cell r="C22" t="str">
            <v>VIC-TAS</v>
          </cell>
          <cell r="D22" t="str">
            <v>Virtus Health</v>
          </cell>
          <cell r="E22" t="str">
            <v>Registered Nurse</v>
          </cell>
          <cell r="F22">
            <v>44021</v>
          </cell>
          <cell r="H22" t="str">
            <v>TIVF2024</v>
          </cell>
          <cell r="I22" t="str">
            <v>TAS</v>
          </cell>
          <cell r="J22" t="str">
            <v>Part Time</v>
          </cell>
          <cell r="K22">
            <v>44021</v>
          </cell>
          <cell r="L22">
            <v>44021</v>
          </cell>
        </row>
        <row r="23">
          <cell r="A23">
            <v>119</v>
          </cell>
          <cell r="B23" t="str">
            <v>9/28/1998</v>
          </cell>
          <cell r="C23" t="str">
            <v>VIC-TAS</v>
          </cell>
          <cell r="D23" t="str">
            <v>Virtus Health</v>
          </cell>
          <cell r="E23" t="str">
            <v>Director of Nursing</v>
          </cell>
          <cell r="F23" t="str">
            <v>9/28/2020</v>
          </cell>
          <cell r="H23" t="str">
            <v>TAS</v>
          </cell>
          <cell r="I23" t="str">
            <v>TAS</v>
          </cell>
          <cell r="J23" t="str">
            <v>Full Time</v>
          </cell>
          <cell r="K23" t="str">
            <v>9/28/2020</v>
          </cell>
          <cell r="L23" t="str">
            <v>9/28/2020</v>
          </cell>
        </row>
        <row r="24">
          <cell r="A24">
            <v>120</v>
          </cell>
          <cell r="B24">
            <v>35896</v>
          </cell>
          <cell r="C24" t="str">
            <v>VIC-TAS</v>
          </cell>
          <cell r="D24" t="str">
            <v>Virtus Health</v>
          </cell>
          <cell r="E24" t="str">
            <v>Registered Nurse</v>
          </cell>
          <cell r="F24">
            <v>43932</v>
          </cell>
          <cell r="H24" t="str">
            <v>TIVF2024</v>
          </cell>
          <cell r="I24" t="str">
            <v>TAS</v>
          </cell>
          <cell r="J24" t="str">
            <v>Part Time</v>
          </cell>
          <cell r="K24">
            <v>43932</v>
          </cell>
          <cell r="L24">
            <v>43932</v>
          </cell>
        </row>
        <row r="25">
          <cell r="A25">
            <v>124</v>
          </cell>
          <cell r="B25" t="str">
            <v>1/23/1984</v>
          </cell>
          <cell r="C25" t="str">
            <v>VIC-TAS</v>
          </cell>
          <cell r="D25" t="str">
            <v>Virtus Health</v>
          </cell>
          <cell r="E25" t="str">
            <v>Embryologist</v>
          </cell>
          <cell r="F25" t="str">
            <v>1/23/2006</v>
          </cell>
          <cell r="H25" t="str">
            <v>MIVFS2022</v>
          </cell>
          <cell r="I25" t="str">
            <v>VIC</v>
          </cell>
          <cell r="J25" t="str">
            <v>Part Time</v>
          </cell>
          <cell r="K25" t="str">
            <v>1/23/2006</v>
          </cell>
          <cell r="L25" t="str">
            <v>1/23/2006</v>
          </cell>
        </row>
        <row r="26">
          <cell r="A26">
            <v>125</v>
          </cell>
          <cell r="B26">
            <v>36163</v>
          </cell>
          <cell r="C26" t="str">
            <v>VIC-TAS</v>
          </cell>
          <cell r="D26" t="str">
            <v>Virtus Health</v>
          </cell>
          <cell r="E26" t="str">
            <v>Registered Nurse</v>
          </cell>
          <cell r="F26">
            <v>44199</v>
          </cell>
          <cell r="H26" t="str">
            <v>TIVF2024</v>
          </cell>
          <cell r="I26" t="str">
            <v>TAS</v>
          </cell>
          <cell r="J26" t="str">
            <v>Full Time</v>
          </cell>
          <cell r="K26">
            <v>44199</v>
          </cell>
          <cell r="L26">
            <v>44199</v>
          </cell>
        </row>
        <row r="27">
          <cell r="A27">
            <v>131</v>
          </cell>
          <cell r="B27">
            <v>36168</v>
          </cell>
          <cell r="C27" t="str">
            <v>VIC-TAS</v>
          </cell>
          <cell r="D27" t="str">
            <v>Virtus Health</v>
          </cell>
          <cell r="E27" t="str">
            <v>Registered Nurse</v>
          </cell>
          <cell r="F27">
            <v>44204</v>
          </cell>
          <cell r="H27" t="str">
            <v>TIVF2024</v>
          </cell>
          <cell r="I27" t="str">
            <v>TAS</v>
          </cell>
          <cell r="J27" t="str">
            <v>Part Time</v>
          </cell>
          <cell r="K27">
            <v>44204</v>
          </cell>
          <cell r="L27">
            <v>44204</v>
          </cell>
        </row>
        <row r="28">
          <cell r="A28">
            <v>136</v>
          </cell>
          <cell r="B28">
            <v>36351</v>
          </cell>
          <cell r="C28" t="str">
            <v>VIC-TAS</v>
          </cell>
          <cell r="D28" t="str">
            <v>Virtus Health</v>
          </cell>
          <cell r="E28" t="str">
            <v>Administration Team Leader</v>
          </cell>
          <cell r="F28">
            <v>44387</v>
          </cell>
          <cell r="H28" t="str">
            <v>TIVF2024</v>
          </cell>
          <cell r="I28" t="str">
            <v>TAS</v>
          </cell>
          <cell r="J28" t="str">
            <v>Full Time</v>
          </cell>
          <cell r="K28">
            <v>44387</v>
          </cell>
          <cell r="L28">
            <v>44387</v>
          </cell>
        </row>
        <row r="29">
          <cell r="A29">
            <v>140</v>
          </cell>
          <cell r="B29">
            <v>36445</v>
          </cell>
          <cell r="C29" t="str">
            <v>VIC-TAS</v>
          </cell>
          <cell r="D29" t="str">
            <v>Virtus Health</v>
          </cell>
          <cell r="E29" t="str">
            <v>Embryologist</v>
          </cell>
          <cell r="F29">
            <v>44481</v>
          </cell>
          <cell r="H29" t="str">
            <v>TIVF2024</v>
          </cell>
          <cell r="I29" t="str">
            <v>TAS</v>
          </cell>
          <cell r="J29" t="str">
            <v>Full Time</v>
          </cell>
          <cell r="K29">
            <v>44481</v>
          </cell>
          <cell r="L29">
            <v>44481</v>
          </cell>
        </row>
        <row r="30">
          <cell r="A30">
            <v>141</v>
          </cell>
          <cell r="B30" t="str">
            <v>11/29/1999</v>
          </cell>
          <cell r="C30" t="str">
            <v>VIC-TAS</v>
          </cell>
          <cell r="D30" t="str">
            <v>Virtus Health</v>
          </cell>
          <cell r="E30" t="str">
            <v>Registered Nurse</v>
          </cell>
          <cell r="F30" t="str">
            <v>11/29/2021</v>
          </cell>
          <cell r="H30" t="str">
            <v>TIVF2024</v>
          </cell>
          <cell r="I30" t="str">
            <v>TAS</v>
          </cell>
          <cell r="J30" t="str">
            <v>Casual</v>
          </cell>
          <cell r="K30" t="str">
            <v>11/29/2021</v>
          </cell>
          <cell r="L30" t="str">
            <v>11/29/2021</v>
          </cell>
        </row>
        <row r="31">
          <cell r="A31">
            <v>143</v>
          </cell>
          <cell r="B31">
            <v>36831</v>
          </cell>
          <cell r="C31" t="str">
            <v>VIC-TAS</v>
          </cell>
          <cell r="D31" t="str">
            <v>Virtus Health</v>
          </cell>
          <cell r="E31" t="str">
            <v>Embryologist</v>
          </cell>
          <cell r="F31">
            <v>44866</v>
          </cell>
          <cell r="H31" t="str">
            <v>TIVF2024</v>
          </cell>
          <cell r="I31" t="str">
            <v>TAS</v>
          </cell>
          <cell r="J31" t="str">
            <v>Part Time</v>
          </cell>
          <cell r="K31">
            <v>44866</v>
          </cell>
          <cell r="L31">
            <v>44866</v>
          </cell>
        </row>
        <row r="32">
          <cell r="A32">
            <v>147</v>
          </cell>
          <cell r="B32" t="str">
            <v>3/13/2000</v>
          </cell>
          <cell r="C32" t="str">
            <v>VIC-TAS</v>
          </cell>
          <cell r="D32" t="str">
            <v>Virtus Health</v>
          </cell>
          <cell r="E32" t="str">
            <v>Patient Liaison Administrator</v>
          </cell>
          <cell r="F32" t="str">
            <v>3/14/2022</v>
          </cell>
          <cell r="H32" t="str">
            <v>TIVF2024</v>
          </cell>
          <cell r="I32" t="str">
            <v>TAS</v>
          </cell>
          <cell r="J32" t="str">
            <v>Full Time</v>
          </cell>
          <cell r="K32" t="str">
            <v>3/14/2022</v>
          </cell>
          <cell r="L32" t="str">
            <v>3/14/2022</v>
          </cell>
        </row>
        <row r="33">
          <cell r="A33">
            <v>148</v>
          </cell>
          <cell r="B33" t="str">
            <v>3/27/2000</v>
          </cell>
          <cell r="C33" t="str">
            <v>VIC-TAS</v>
          </cell>
          <cell r="D33" t="str">
            <v>Virtus Health</v>
          </cell>
          <cell r="E33" t="str">
            <v>Registered Nurse</v>
          </cell>
          <cell r="F33" t="str">
            <v>3/28/2022</v>
          </cell>
          <cell r="H33" t="str">
            <v>TIVF2024</v>
          </cell>
          <cell r="I33" t="str">
            <v>TAS</v>
          </cell>
          <cell r="J33" t="str">
            <v>Part Time</v>
          </cell>
          <cell r="K33" t="str">
            <v>3/28/2022</v>
          </cell>
          <cell r="L33" t="str">
            <v>3/28/2022</v>
          </cell>
        </row>
        <row r="34">
          <cell r="A34">
            <v>153</v>
          </cell>
          <cell r="B34">
            <v>31229</v>
          </cell>
          <cell r="C34" t="str">
            <v>VIC-TAS</v>
          </cell>
          <cell r="D34" t="str">
            <v>Virtus Health</v>
          </cell>
          <cell r="E34" t="str">
            <v>Registered Nurse</v>
          </cell>
          <cell r="F34">
            <v>39295</v>
          </cell>
          <cell r="H34" t="str">
            <v>MIVFN2023</v>
          </cell>
          <cell r="I34" t="str">
            <v>VIC</v>
          </cell>
          <cell r="J34" t="str">
            <v>Part Time</v>
          </cell>
          <cell r="K34">
            <v>39295</v>
          </cell>
          <cell r="L34">
            <v>39295</v>
          </cell>
        </row>
        <row r="35">
          <cell r="A35">
            <v>165</v>
          </cell>
          <cell r="B35">
            <v>31294</v>
          </cell>
          <cell r="C35" t="str">
            <v>VIC-TAS</v>
          </cell>
          <cell r="D35" t="str">
            <v>Virtus Health</v>
          </cell>
          <cell r="E35" t="str">
            <v>Embryologist</v>
          </cell>
          <cell r="F35">
            <v>39359</v>
          </cell>
          <cell r="H35" t="str">
            <v>MIVFS2022</v>
          </cell>
          <cell r="I35" t="str">
            <v>VIC</v>
          </cell>
          <cell r="J35" t="str">
            <v>Full Time</v>
          </cell>
          <cell r="K35">
            <v>39359</v>
          </cell>
          <cell r="L35">
            <v>39359</v>
          </cell>
        </row>
        <row r="36">
          <cell r="A36">
            <v>198</v>
          </cell>
          <cell r="B36">
            <v>31302</v>
          </cell>
          <cell r="C36" t="str">
            <v>VIC-TAS</v>
          </cell>
          <cell r="D36" t="str">
            <v>Virtus Health</v>
          </cell>
          <cell r="E36" t="str">
            <v>Genetics Senior Scientist</v>
          </cell>
          <cell r="F36">
            <v>39367</v>
          </cell>
          <cell r="H36" t="str">
            <v>MIVFS2022</v>
          </cell>
          <cell r="I36" t="str">
            <v>VIC</v>
          </cell>
          <cell r="J36" t="str">
            <v>Part Time</v>
          </cell>
          <cell r="K36">
            <v>39367</v>
          </cell>
          <cell r="L36">
            <v>39367</v>
          </cell>
        </row>
        <row r="37">
          <cell r="A37">
            <v>214</v>
          </cell>
          <cell r="B37">
            <v>31449</v>
          </cell>
          <cell r="C37" t="str">
            <v>VIC-TAS</v>
          </cell>
          <cell r="D37" t="str">
            <v>Virtus Health</v>
          </cell>
          <cell r="E37" t="str">
            <v>Genetics Senior Scientist</v>
          </cell>
          <cell r="F37">
            <v>39484</v>
          </cell>
          <cell r="H37" t="str">
            <v>MIVFS2022</v>
          </cell>
          <cell r="I37" t="str">
            <v>VIC</v>
          </cell>
          <cell r="J37" t="str">
            <v>Full Time</v>
          </cell>
          <cell r="K37">
            <v>39484</v>
          </cell>
          <cell r="L37">
            <v>39484</v>
          </cell>
        </row>
        <row r="38">
          <cell r="A38">
            <v>235</v>
          </cell>
          <cell r="B38" t="str">
            <v>8/27/1986</v>
          </cell>
          <cell r="C38" t="str">
            <v>VIC-TAS</v>
          </cell>
          <cell r="D38" t="str">
            <v>Virtus Health</v>
          </cell>
          <cell r="E38" t="str">
            <v>Registered Nurse</v>
          </cell>
          <cell r="F38" t="str">
            <v>8/27/2008</v>
          </cell>
          <cell r="H38" t="str">
            <v>MIVFN2023</v>
          </cell>
          <cell r="I38" t="str">
            <v>VIC</v>
          </cell>
          <cell r="J38" t="str">
            <v>Part Time</v>
          </cell>
          <cell r="K38" t="str">
            <v>8/27/2008</v>
          </cell>
          <cell r="L38" t="str">
            <v>8/27/2008</v>
          </cell>
        </row>
        <row r="39">
          <cell r="A39">
            <v>270</v>
          </cell>
          <cell r="B39" t="str">
            <v>1/19/1987</v>
          </cell>
          <cell r="C39" t="str">
            <v>VIC-TAS</v>
          </cell>
          <cell r="D39" t="str">
            <v>Virtus Health</v>
          </cell>
          <cell r="E39" t="str">
            <v>Clinical Research Associate</v>
          </cell>
          <cell r="F39" t="str">
            <v>1/19/2009</v>
          </cell>
          <cell r="H39" t="str">
            <v>MIVFS2022</v>
          </cell>
          <cell r="I39" t="str">
            <v>VIC</v>
          </cell>
          <cell r="J39" t="str">
            <v>Full Time</v>
          </cell>
          <cell r="K39" t="str">
            <v>1/19/2009</v>
          </cell>
          <cell r="L39" t="str">
            <v>1/19/2009</v>
          </cell>
        </row>
        <row r="40">
          <cell r="A40">
            <v>282</v>
          </cell>
          <cell r="B40" t="str">
            <v>5/18/1987</v>
          </cell>
          <cell r="C40" t="str">
            <v>VIC-TAS</v>
          </cell>
          <cell r="D40" t="str">
            <v>Virtus Health</v>
          </cell>
          <cell r="E40" t="str">
            <v>Nurse Unit Manager</v>
          </cell>
          <cell r="F40" t="str">
            <v>5/18/2009</v>
          </cell>
          <cell r="H40" t="str">
            <v>MIVFN2023</v>
          </cell>
          <cell r="I40" t="str">
            <v>VIC</v>
          </cell>
          <cell r="J40" t="str">
            <v>Full Time</v>
          </cell>
          <cell r="K40" t="str">
            <v>5/18/2009</v>
          </cell>
          <cell r="L40" t="str">
            <v>5/18/2009</v>
          </cell>
        </row>
        <row r="41">
          <cell r="A41">
            <v>286</v>
          </cell>
          <cell r="B41" t="str">
            <v>5/25/1987</v>
          </cell>
          <cell r="C41" t="str">
            <v>VIC-TAS</v>
          </cell>
          <cell r="D41" t="str">
            <v>Virtus Health</v>
          </cell>
          <cell r="E41" t="str">
            <v>Embryologist</v>
          </cell>
          <cell r="F41" t="str">
            <v>5/25/2009</v>
          </cell>
          <cell r="H41" t="str">
            <v>MIVFS2022</v>
          </cell>
          <cell r="I41" t="str">
            <v>VIC</v>
          </cell>
          <cell r="J41" t="str">
            <v>Full Time</v>
          </cell>
          <cell r="K41" t="str">
            <v>5/25/2009</v>
          </cell>
          <cell r="L41" t="str">
            <v>5/25/2009</v>
          </cell>
        </row>
        <row r="42">
          <cell r="A42">
            <v>299</v>
          </cell>
          <cell r="B42" t="str">
            <v>8/24/1987</v>
          </cell>
          <cell r="C42" t="str">
            <v>VIC-TAS</v>
          </cell>
          <cell r="D42" t="str">
            <v>Virtus Health</v>
          </cell>
          <cell r="E42" t="str">
            <v>Clinical Research Manager</v>
          </cell>
          <cell r="F42" t="str">
            <v>8/24/2009</v>
          </cell>
          <cell r="H42" t="str">
            <v>MIVFS2022</v>
          </cell>
          <cell r="I42" t="str">
            <v>VIC</v>
          </cell>
          <cell r="J42" t="str">
            <v>Full Time</v>
          </cell>
          <cell r="K42" t="str">
            <v>8/24/2009</v>
          </cell>
          <cell r="L42" t="str">
            <v>8/24/2009</v>
          </cell>
        </row>
        <row r="43">
          <cell r="A43">
            <v>318</v>
          </cell>
          <cell r="B43">
            <v>31819</v>
          </cell>
          <cell r="C43" t="str">
            <v>VIC-TAS</v>
          </cell>
          <cell r="D43" t="str">
            <v>Virtus Health</v>
          </cell>
          <cell r="E43" t="str">
            <v>Embryologist</v>
          </cell>
          <cell r="F43">
            <v>39855</v>
          </cell>
          <cell r="H43" t="str">
            <v>MIVFS2022</v>
          </cell>
          <cell r="I43" t="str">
            <v>VIC</v>
          </cell>
          <cell r="J43" t="str">
            <v>Part Time</v>
          </cell>
          <cell r="K43">
            <v>39855</v>
          </cell>
          <cell r="L43">
            <v>39855</v>
          </cell>
        </row>
        <row r="44">
          <cell r="A44">
            <v>341</v>
          </cell>
          <cell r="B44" t="str">
            <v>4/26/1988</v>
          </cell>
          <cell r="C44" t="str">
            <v>VIC-TAS</v>
          </cell>
          <cell r="D44" t="str">
            <v>Virtus Health</v>
          </cell>
          <cell r="E44" t="str">
            <v>General Manager - Operations</v>
          </cell>
          <cell r="F44" t="str">
            <v>4/27/2010</v>
          </cell>
          <cell r="H44" t="str">
            <v>VIC</v>
          </cell>
          <cell r="I44" t="str">
            <v>VIC</v>
          </cell>
          <cell r="J44" t="str">
            <v>Full Time</v>
          </cell>
          <cell r="K44" t="str">
            <v>4/27/2010</v>
          </cell>
          <cell r="L44" t="str">
            <v>4/27/2010</v>
          </cell>
        </row>
        <row r="45">
          <cell r="A45">
            <v>342</v>
          </cell>
          <cell r="B45" t="str">
            <v>4/18/1988</v>
          </cell>
          <cell r="C45" t="str">
            <v>VIC-TAS</v>
          </cell>
          <cell r="D45" t="str">
            <v>Virtus Health</v>
          </cell>
          <cell r="E45" t="str">
            <v>Accounts Receivable Administrator</v>
          </cell>
          <cell r="F45" t="str">
            <v>4/19/2010</v>
          </cell>
          <cell r="H45" t="str">
            <v>MIVFS2022</v>
          </cell>
          <cell r="I45" t="str">
            <v>VIC</v>
          </cell>
          <cell r="J45" t="str">
            <v>Full Time</v>
          </cell>
          <cell r="K45" t="str">
            <v>4/19/2010</v>
          </cell>
          <cell r="L45" t="str">
            <v>4/19/2010</v>
          </cell>
        </row>
        <row r="46">
          <cell r="A46">
            <v>368</v>
          </cell>
          <cell r="B46">
            <v>32568</v>
          </cell>
          <cell r="C46" t="str">
            <v>VIC-TAS</v>
          </cell>
          <cell r="D46" t="str">
            <v>Virtus Health</v>
          </cell>
          <cell r="E46" t="str">
            <v xml:space="preserve">CSSD Technician </v>
          </cell>
          <cell r="F46">
            <v>40634</v>
          </cell>
          <cell r="H46" t="str">
            <v>MIVFS2022</v>
          </cell>
          <cell r="I46" t="str">
            <v>VIC</v>
          </cell>
          <cell r="J46" t="str">
            <v>Full Time</v>
          </cell>
          <cell r="K46">
            <v>40634</v>
          </cell>
          <cell r="L46">
            <v>40634</v>
          </cell>
        </row>
        <row r="47">
          <cell r="A47">
            <v>406</v>
          </cell>
          <cell r="B47">
            <v>32785</v>
          </cell>
          <cell r="C47" t="str">
            <v>VIC-TAS</v>
          </cell>
          <cell r="D47" t="str">
            <v>Virtus Health</v>
          </cell>
          <cell r="E47" t="str">
            <v>Embryologist</v>
          </cell>
          <cell r="F47">
            <v>40851</v>
          </cell>
          <cell r="H47" t="str">
            <v>MIVFS2022</v>
          </cell>
          <cell r="I47" t="str">
            <v>VIC</v>
          </cell>
          <cell r="J47" t="str">
            <v>Full Time</v>
          </cell>
          <cell r="K47">
            <v>40851</v>
          </cell>
          <cell r="L47">
            <v>40851</v>
          </cell>
        </row>
        <row r="48">
          <cell r="A48">
            <v>440</v>
          </cell>
          <cell r="B48" t="str">
            <v>7/26/1989</v>
          </cell>
          <cell r="C48" t="str">
            <v>VIC-TAS</v>
          </cell>
          <cell r="D48" t="str">
            <v>Virtus Health</v>
          </cell>
          <cell r="E48" t="str">
            <v>Registered Nurse</v>
          </cell>
          <cell r="F48" t="str">
            <v>7/27/2011</v>
          </cell>
          <cell r="H48" t="str">
            <v>MIVFN2023</v>
          </cell>
          <cell r="I48" t="str">
            <v>VIC</v>
          </cell>
          <cell r="J48" t="str">
            <v>Part Time</v>
          </cell>
          <cell r="K48" t="str">
            <v>7/27/2011</v>
          </cell>
          <cell r="L48" t="str">
            <v>7/27/2011</v>
          </cell>
        </row>
        <row r="49">
          <cell r="A49">
            <v>442</v>
          </cell>
          <cell r="B49">
            <v>32697</v>
          </cell>
          <cell r="C49" t="str">
            <v>VIC-TAS</v>
          </cell>
          <cell r="D49" t="str">
            <v>Virtus Health</v>
          </cell>
          <cell r="E49" t="str">
            <v>Registered Nurse</v>
          </cell>
          <cell r="F49">
            <v>40763</v>
          </cell>
          <cell r="H49" t="str">
            <v>MIVFN2023</v>
          </cell>
          <cell r="I49" t="str">
            <v>VIC</v>
          </cell>
          <cell r="J49" t="str">
            <v>Part Time</v>
          </cell>
          <cell r="K49">
            <v>40763</v>
          </cell>
          <cell r="L49">
            <v>40763</v>
          </cell>
        </row>
        <row r="50">
          <cell r="A50">
            <v>455</v>
          </cell>
          <cell r="B50">
            <v>32821</v>
          </cell>
          <cell r="C50" t="str">
            <v>VIC-TAS</v>
          </cell>
          <cell r="D50" t="str">
            <v>Virtus Health</v>
          </cell>
          <cell r="E50" t="str">
            <v>Embryologist</v>
          </cell>
          <cell r="F50">
            <v>40886</v>
          </cell>
          <cell r="H50" t="str">
            <v>MIVFS2022</v>
          </cell>
          <cell r="I50" t="str">
            <v>VIC</v>
          </cell>
          <cell r="J50" t="str">
            <v>Full Time</v>
          </cell>
          <cell r="K50">
            <v>40886</v>
          </cell>
          <cell r="L50">
            <v>40886</v>
          </cell>
        </row>
        <row r="51">
          <cell r="A51">
            <v>512</v>
          </cell>
          <cell r="B51">
            <v>32908</v>
          </cell>
          <cell r="C51" t="str">
            <v>VIC-TAS</v>
          </cell>
          <cell r="D51" t="str">
            <v>Virtus Health</v>
          </cell>
          <cell r="E51" t="str">
            <v>IVF Laboratory Manager</v>
          </cell>
          <cell r="F51">
            <v>40943</v>
          </cell>
          <cell r="H51" t="str">
            <v>MIVFS2022</v>
          </cell>
          <cell r="I51" t="str">
            <v>VIC</v>
          </cell>
          <cell r="J51" t="str">
            <v>Full Time</v>
          </cell>
          <cell r="K51">
            <v>40943</v>
          </cell>
          <cell r="L51">
            <v>40943</v>
          </cell>
        </row>
        <row r="52">
          <cell r="A52">
            <v>521</v>
          </cell>
          <cell r="B52" t="str">
            <v>4/16/1990</v>
          </cell>
          <cell r="C52" t="str">
            <v>VIC-TAS</v>
          </cell>
          <cell r="D52" t="str">
            <v>Virtus Health</v>
          </cell>
          <cell r="E52" t="str">
            <v>Accounts Receivable Administrator</v>
          </cell>
          <cell r="F52" t="str">
            <v>4/16/2012</v>
          </cell>
          <cell r="H52" t="str">
            <v>MIVFS2022</v>
          </cell>
          <cell r="I52" t="str">
            <v>VIC</v>
          </cell>
          <cell r="J52" t="str">
            <v>Full Time</v>
          </cell>
          <cell r="K52" t="str">
            <v>4/16/2012</v>
          </cell>
          <cell r="L52" t="str">
            <v>4/16/2012</v>
          </cell>
        </row>
        <row r="53">
          <cell r="A53">
            <v>529</v>
          </cell>
          <cell r="B53" t="str">
            <v>5/14/1990</v>
          </cell>
          <cell r="C53" t="str">
            <v>VIC-TAS</v>
          </cell>
          <cell r="D53" t="str">
            <v>Virtus Health</v>
          </cell>
          <cell r="E53" t="str">
            <v>Registered Nurse</v>
          </cell>
          <cell r="F53" t="str">
            <v>5/14/2012</v>
          </cell>
          <cell r="H53" t="str">
            <v>MIVFN2023</v>
          </cell>
          <cell r="I53" t="str">
            <v>VIC</v>
          </cell>
          <cell r="J53" t="str">
            <v>Casual</v>
          </cell>
          <cell r="K53" t="str">
            <v>5/14/2012</v>
          </cell>
          <cell r="L53" t="str">
            <v>5/14/2012</v>
          </cell>
        </row>
        <row r="54">
          <cell r="A54">
            <v>549</v>
          </cell>
          <cell r="B54" t="str">
            <v>6/20/1990</v>
          </cell>
          <cell r="C54" t="str">
            <v>VIC-TAS</v>
          </cell>
          <cell r="D54" t="str">
            <v>Virtus Health</v>
          </cell>
          <cell r="E54" t="str">
            <v>Counsellling Administrator</v>
          </cell>
          <cell r="F54" t="str">
            <v>6/20/2012</v>
          </cell>
          <cell r="H54" t="str">
            <v>MIVFS2022</v>
          </cell>
          <cell r="I54" t="str">
            <v>VIC</v>
          </cell>
          <cell r="J54" t="str">
            <v>Part Time</v>
          </cell>
          <cell r="K54" t="str">
            <v>6/20/2012</v>
          </cell>
          <cell r="L54" t="str">
            <v>6/20/2012</v>
          </cell>
        </row>
        <row r="55">
          <cell r="A55">
            <v>609</v>
          </cell>
          <cell r="B55" t="str">
            <v>8/20/1990</v>
          </cell>
          <cell r="C55" t="str">
            <v>VIC-TAS</v>
          </cell>
          <cell r="D55" t="str">
            <v>Virtus Health</v>
          </cell>
          <cell r="E55" t="str">
            <v>Receptionist</v>
          </cell>
          <cell r="F55" t="str">
            <v>8/20/2012</v>
          </cell>
          <cell r="H55" t="str">
            <v>MIVFS2022</v>
          </cell>
          <cell r="I55" t="str">
            <v>VIC</v>
          </cell>
          <cell r="J55" t="str">
            <v>Full Time</v>
          </cell>
          <cell r="K55" t="str">
            <v>8/20/2012</v>
          </cell>
          <cell r="L55" t="str">
            <v>8/20/2012</v>
          </cell>
        </row>
        <row r="56">
          <cell r="A56">
            <v>700</v>
          </cell>
          <cell r="B56">
            <v>32883</v>
          </cell>
          <cell r="C56" t="str">
            <v>VIC-TAS</v>
          </cell>
          <cell r="D56" t="str">
            <v>Virtus Health</v>
          </cell>
          <cell r="E56" t="str">
            <v>Andrologist</v>
          </cell>
          <cell r="F56">
            <v>40918</v>
          </cell>
          <cell r="H56" t="str">
            <v>MIVFS2022</v>
          </cell>
          <cell r="I56" t="str">
            <v>VIC</v>
          </cell>
          <cell r="J56" t="str">
            <v>Part Time</v>
          </cell>
          <cell r="K56">
            <v>40918</v>
          </cell>
          <cell r="L56">
            <v>40918</v>
          </cell>
        </row>
        <row r="57">
          <cell r="A57">
            <v>721</v>
          </cell>
          <cell r="B57" t="str">
            <v>1/21/1991</v>
          </cell>
          <cell r="C57" t="str">
            <v>VIC-TAS</v>
          </cell>
          <cell r="D57" t="str">
            <v>Virtus Health</v>
          </cell>
          <cell r="E57" t="str">
            <v>Registered Nurse</v>
          </cell>
          <cell r="F57" t="str">
            <v>1/21/2013</v>
          </cell>
          <cell r="H57" t="str">
            <v>MIVFN2023</v>
          </cell>
          <cell r="I57" t="str">
            <v>VIC</v>
          </cell>
          <cell r="J57" t="str">
            <v>Part Time</v>
          </cell>
          <cell r="K57" t="str">
            <v>1/21/2013</v>
          </cell>
          <cell r="L57" t="str">
            <v>1/21/2013</v>
          </cell>
        </row>
        <row r="58">
          <cell r="A58">
            <v>722</v>
          </cell>
          <cell r="B58" t="str">
            <v>1/24/1991</v>
          </cell>
          <cell r="C58" t="str">
            <v>VIC-TAS</v>
          </cell>
          <cell r="D58" t="str">
            <v>Virtus Health</v>
          </cell>
          <cell r="E58" t="str">
            <v>Accounts Receivable Administrator</v>
          </cell>
          <cell r="F58" t="str">
            <v>1/24/2013</v>
          </cell>
          <cell r="H58" t="str">
            <v>MIVFS2022</v>
          </cell>
          <cell r="I58" t="str">
            <v>VIC</v>
          </cell>
          <cell r="J58" t="str">
            <v>Part Time</v>
          </cell>
          <cell r="K58" t="str">
            <v>1/24/2013</v>
          </cell>
          <cell r="L58" t="str">
            <v>1/24/2013</v>
          </cell>
        </row>
        <row r="59">
          <cell r="A59">
            <v>725</v>
          </cell>
          <cell r="B59" t="str">
            <v>2/27/1991</v>
          </cell>
          <cell r="C59" t="str">
            <v>VIC-TAS</v>
          </cell>
          <cell r="D59" t="str">
            <v>Virtus Health</v>
          </cell>
          <cell r="E59" t="str">
            <v>Pathalogy Scientist</v>
          </cell>
          <cell r="F59" t="str">
            <v>2/27/2013</v>
          </cell>
          <cell r="H59" t="str">
            <v>MIVFS2022</v>
          </cell>
          <cell r="I59" t="str">
            <v>VIC</v>
          </cell>
          <cell r="J59" t="str">
            <v>Full Time</v>
          </cell>
          <cell r="K59" t="str">
            <v>2/27/2013</v>
          </cell>
          <cell r="L59" t="str">
            <v>2/27/2013</v>
          </cell>
        </row>
        <row r="60">
          <cell r="A60">
            <v>726</v>
          </cell>
          <cell r="B60" t="str">
            <v>2/27/1991</v>
          </cell>
          <cell r="C60" t="str">
            <v>VIC-TAS</v>
          </cell>
          <cell r="D60" t="str">
            <v>Virtus Health</v>
          </cell>
          <cell r="E60" t="str">
            <v>Pathology Laboratory Technician</v>
          </cell>
          <cell r="F60" t="str">
            <v>2/27/2013</v>
          </cell>
          <cell r="H60" t="str">
            <v>IVFS2023</v>
          </cell>
          <cell r="I60" t="str">
            <v>VIC</v>
          </cell>
          <cell r="J60" t="str">
            <v>Full Time</v>
          </cell>
          <cell r="K60" t="str">
            <v>2/27/2013</v>
          </cell>
          <cell r="L60" t="str">
            <v>2/27/2013</v>
          </cell>
        </row>
        <row r="61">
          <cell r="A61">
            <v>746</v>
          </cell>
          <cell r="B61" t="str">
            <v>5/22/1991</v>
          </cell>
          <cell r="C61" t="str">
            <v>VIC-TAS</v>
          </cell>
          <cell r="D61" t="str">
            <v>Virtus Health</v>
          </cell>
          <cell r="E61" t="str">
            <v>Genetic Counsellor</v>
          </cell>
          <cell r="F61" t="str">
            <v>5/22/2013</v>
          </cell>
          <cell r="H61" t="str">
            <v>MIVFC2021</v>
          </cell>
          <cell r="I61" t="str">
            <v>VIC</v>
          </cell>
          <cell r="J61" t="str">
            <v>Part Time</v>
          </cell>
          <cell r="K61" t="str">
            <v>5/22/2013</v>
          </cell>
          <cell r="L61" t="str">
            <v>5/22/2013</v>
          </cell>
        </row>
        <row r="62">
          <cell r="A62">
            <v>771</v>
          </cell>
          <cell r="B62" t="str">
            <v>8/26/1991</v>
          </cell>
          <cell r="C62" t="str">
            <v>VIC-TAS</v>
          </cell>
          <cell r="D62" t="str">
            <v>Virtus Health</v>
          </cell>
          <cell r="E62" t="str">
            <v>Patient Liaison Administrator</v>
          </cell>
          <cell r="F62" t="str">
            <v>8/26/2013</v>
          </cell>
          <cell r="H62" t="str">
            <v>MIVFS2022</v>
          </cell>
          <cell r="I62" t="str">
            <v>VIC</v>
          </cell>
          <cell r="J62" t="str">
            <v>Part Time</v>
          </cell>
          <cell r="K62" t="str">
            <v>8/26/2013</v>
          </cell>
          <cell r="L62" t="str">
            <v>8/26/2013</v>
          </cell>
        </row>
        <row r="63">
          <cell r="A63">
            <v>786</v>
          </cell>
          <cell r="B63">
            <v>33553</v>
          </cell>
          <cell r="C63" t="str">
            <v>VIC-TAS</v>
          </cell>
          <cell r="D63" t="str">
            <v>Virtus Health</v>
          </cell>
          <cell r="E63" t="str">
            <v>Registered Nurse</v>
          </cell>
          <cell r="F63">
            <v>41589</v>
          </cell>
          <cell r="H63" t="str">
            <v>MIVFN2023</v>
          </cell>
          <cell r="I63" t="str">
            <v>VIC</v>
          </cell>
          <cell r="J63" t="str">
            <v>Part Time</v>
          </cell>
          <cell r="K63">
            <v>41589</v>
          </cell>
          <cell r="L63">
            <v>41589</v>
          </cell>
        </row>
        <row r="64">
          <cell r="A64">
            <v>796</v>
          </cell>
          <cell r="B64">
            <v>33756</v>
          </cell>
          <cell r="C64" t="str">
            <v>VIC-TAS</v>
          </cell>
          <cell r="D64" t="str">
            <v>Virtus Health</v>
          </cell>
          <cell r="E64" t="str">
            <v>Embryologist</v>
          </cell>
          <cell r="F64">
            <v>41791</v>
          </cell>
          <cell r="H64" t="str">
            <v>MIVFS2022</v>
          </cell>
          <cell r="I64" t="str">
            <v>VIC</v>
          </cell>
          <cell r="J64" t="str">
            <v>Part Time</v>
          </cell>
          <cell r="K64">
            <v>41791</v>
          </cell>
          <cell r="L64">
            <v>41791</v>
          </cell>
        </row>
        <row r="65">
          <cell r="A65">
            <v>801</v>
          </cell>
          <cell r="B65" t="str">
            <v>1/28/1992</v>
          </cell>
          <cell r="C65" t="str">
            <v>VIC-TAS</v>
          </cell>
          <cell r="D65" t="str">
            <v>Virtus Health</v>
          </cell>
          <cell r="E65" t="str">
            <v>Counsellor</v>
          </cell>
          <cell r="F65" t="str">
            <v>1/28/2014</v>
          </cell>
          <cell r="H65" t="str">
            <v>MIVFC2021</v>
          </cell>
          <cell r="I65" t="str">
            <v>VIC</v>
          </cell>
          <cell r="J65" t="str">
            <v>Part Time</v>
          </cell>
          <cell r="K65" t="str">
            <v>1/28/2014</v>
          </cell>
          <cell r="L65" t="str">
            <v>1/28/2014</v>
          </cell>
        </row>
        <row r="66">
          <cell r="A66">
            <v>802</v>
          </cell>
          <cell r="B66" t="str">
            <v>1/28/1992</v>
          </cell>
          <cell r="C66" t="str">
            <v>VIC-TAS</v>
          </cell>
          <cell r="D66" t="str">
            <v>Virtus Health</v>
          </cell>
          <cell r="E66" t="str">
            <v>Counsellor</v>
          </cell>
          <cell r="F66" t="str">
            <v>1/28/2014</v>
          </cell>
          <cell r="H66" t="str">
            <v>MIVFC2021</v>
          </cell>
          <cell r="I66" t="str">
            <v>VIC</v>
          </cell>
          <cell r="J66" t="str">
            <v>Part Time</v>
          </cell>
          <cell r="K66" t="str">
            <v>1/28/2014</v>
          </cell>
          <cell r="L66" t="str">
            <v>1/28/2014</v>
          </cell>
        </row>
        <row r="67">
          <cell r="A67">
            <v>838</v>
          </cell>
          <cell r="B67">
            <v>33853</v>
          </cell>
          <cell r="C67" t="str">
            <v>VIC-TAS</v>
          </cell>
          <cell r="D67" t="str">
            <v>Virtus Health</v>
          </cell>
          <cell r="E67" t="str">
            <v>Andrology Laboratory Manager</v>
          </cell>
          <cell r="F67">
            <v>41918</v>
          </cell>
          <cell r="H67" t="str">
            <v>MIVFS2022</v>
          </cell>
          <cell r="I67" t="str">
            <v>VIC</v>
          </cell>
          <cell r="J67" t="str">
            <v>Full Time</v>
          </cell>
          <cell r="K67">
            <v>41918</v>
          </cell>
          <cell r="L67">
            <v>41918</v>
          </cell>
        </row>
        <row r="68">
          <cell r="A68">
            <v>846</v>
          </cell>
          <cell r="B68">
            <v>33823</v>
          </cell>
          <cell r="C68" t="str">
            <v>VIC-TAS</v>
          </cell>
          <cell r="D68" t="str">
            <v>Virtus Health</v>
          </cell>
          <cell r="E68" t="str">
            <v>Customer Service Consultant</v>
          </cell>
          <cell r="F68">
            <v>41889</v>
          </cell>
          <cell r="H68" t="str">
            <v>MIVFS2022</v>
          </cell>
          <cell r="I68" t="str">
            <v>VIC</v>
          </cell>
          <cell r="J68" t="str">
            <v>Full Time</v>
          </cell>
          <cell r="K68">
            <v>41889</v>
          </cell>
          <cell r="L68">
            <v>41889</v>
          </cell>
        </row>
        <row r="69">
          <cell r="A69">
            <v>857</v>
          </cell>
          <cell r="B69">
            <v>33916</v>
          </cell>
          <cell r="C69" t="str">
            <v>VIC-TAS</v>
          </cell>
          <cell r="D69" t="str">
            <v>Virtus Health</v>
          </cell>
          <cell r="E69" t="str">
            <v>Embryologist</v>
          </cell>
          <cell r="F69">
            <v>41981</v>
          </cell>
          <cell r="H69" t="str">
            <v>MIVFS2022</v>
          </cell>
          <cell r="I69" t="str">
            <v>VIC</v>
          </cell>
          <cell r="J69" t="str">
            <v>Full Time</v>
          </cell>
          <cell r="K69">
            <v>41981</v>
          </cell>
          <cell r="L69">
            <v>41981</v>
          </cell>
        </row>
        <row r="70">
          <cell r="A70">
            <v>862</v>
          </cell>
          <cell r="B70" t="str">
            <v>9/14/1992</v>
          </cell>
          <cell r="C70" t="str">
            <v>VIC-TAS</v>
          </cell>
          <cell r="D70" t="str">
            <v>Virtus Health</v>
          </cell>
          <cell r="E70" t="str">
            <v>IVF Laboratory Supervisor - Templestowe</v>
          </cell>
          <cell r="F70" t="str">
            <v>9/15/2014</v>
          </cell>
          <cell r="H70" t="str">
            <v>MIVFS2022</v>
          </cell>
          <cell r="I70" t="str">
            <v>VIC</v>
          </cell>
          <cell r="J70" t="str">
            <v>Full Time</v>
          </cell>
          <cell r="K70" t="str">
            <v>9/15/2014</v>
          </cell>
          <cell r="L70" t="str">
            <v>9/15/2014</v>
          </cell>
        </row>
        <row r="71">
          <cell r="A71">
            <v>869</v>
          </cell>
          <cell r="B71">
            <v>33795</v>
          </cell>
          <cell r="C71" t="str">
            <v>VIC-TAS</v>
          </cell>
          <cell r="D71" t="str">
            <v>Virtus Health</v>
          </cell>
          <cell r="E71" t="str">
            <v>Andrologist</v>
          </cell>
          <cell r="F71">
            <v>41861</v>
          </cell>
          <cell r="H71" t="str">
            <v>MIVFS2022</v>
          </cell>
          <cell r="I71" t="str">
            <v>VIC</v>
          </cell>
          <cell r="J71" t="str">
            <v>Part Time</v>
          </cell>
          <cell r="K71">
            <v>41861</v>
          </cell>
          <cell r="L71">
            <v>41861</v>
          </cell>
        </row>
        <row r="72">
          <cell r="A72">
            <v>873</v>
          </cell>
          <cell r="B72" t="str">
            <v>12/17/1992</v>
          </cell>
          <cell r="C72" t="str">
            <v>VIC-TAS</v>
          </cell>
          <cell r="D72" t="str">
            <v>Virtus Health</v>
          </cell>
          <cell r="E72" t="str">
            <v>Andrologist</v>
          </cell>
          <cell r="F72" t="str">
            <v>12/18/2014</v>
          </cell>
          <cell r="H72" t="str">
            <v>MIVFS2022</v>
          </cell>
          <cell r="I72" t="str">
            <v>VIC</v>
          </cell>
          <cell r="J72" t="str">
            <v>Part Time</v>
          </cell>
          <cell r="K72" t="str">
            <v>12/18/2014</v>
          </cell>
          <cell r="L72" t="str">
            <v>12/18/2014</v>
          </cell>
        </row>
        <row r="73">
          <cell r="A73">
            <v>888</v>
          </cell>
          <cell r="B73">
            <v>34247</v>
          </cell>
          <cell r="C73" t="str">
            <v>VIC-TAS</v>
          </cell>
          <cell r="D73" t="str">
            <v>Virtus Health</v>
          </cell>
          <cell r="E73" t="str">
            <v>Quality Assurance Embryologist</v>
          </cell>
          <cell r="F73">
            <v>42313</v>
          </cell>
          <cell r="H73" t="str">
            <v>MIVFS2022</v>
          </cell>
          <cell r="I73" t="str">
            <v>VIC</v>
          </cell>
          <cell r="J73" t="str">
            <v>Full Time</v>
          </cell>
          <cell r="K73">
            <v>42313</v>
          </cell>
          <cell r="L73">
            <v>42313</v>
          </cell>
        </row>
        <row r="74">
          <cell r="A74">
            <v>901</v>
          </cell>
          <cell r="B74" t="str">
            <v>10/25/1993</v>
          </cell>
          <cell r="C74" t="str">
            <v>VIC-TAS</v>
          </cell>
          <cell r="D74" t="str">
            <v>Virtus Health</v>
          </cell>
          <cell r="E74" t="str">
            <v>Phlebotomist</v>
          </cell>
          <cell r="F74" t="str">
            <v>10/26/2015</v>
          </cell>
          <cell r="H74" t="str">
            <v>IVFS2023</v>
          </cell>
          <cell r="I74" t="str">
            <v>VIC</v>
          </cell>
          <cell r="J74" t="str">
            <v>Part Time</v>
          </cell>
          <cell r="K74" t="str">
            <v>10/26/2015</v>
          </cell>
          <cell r="L74" t="str">
            <v>10/26/2015</v>
          </cell>
        </row>
        <row r="75">
          <cell r="A75">
            <v>910</v>
          </cell>
          <cell r="B75" t="str">
            <v>11/29/1993</v>
          </cell>
          <cell r="C75" t="str">
            <v>VIC-TAS</v>
          </cell>
          <cell r="D75" t="str">
            <v>Virtus Health</v>
          </cell>
          <cell r="E75" t="str">
            <v>Enrolled Nurse</v>
          </cell>
          <cell r="F75" t="str">
            <v>11/30/2015</v>
          </cell>
          <cell r="H75" t="str">
            <v>MIVFN2023</v>
          </cell>
          <cell r="I75" t="str">
            <v>VIC</v>
          </cell>
          <cell r="J75" t="str">
            <v>Part Time</v>
          </cell>
          <cell r="K75" t="str">
            <v>11/30/2015</v>
          </cell>
          <cell r="L75" t="str">
            <v>11/30/2015</v>
          </cell>
        </row>
        <row r="76">
          <cell r="A76">
            <v>913</v>
          </cell>
          <cell r="B76" t="str">
            <v>11/30/1993</v>
          </cell>
          <cell r="C76" t="str">
            <v>VIC-TAS</v>
          </cell>
          <cell r="D76" t="str">
            <v>Virtus Health</v>
          </cell>
          <cell r="E76" t="str">
            <v>Registered Nurse</v>
          </cell>
          <cell r="F76">
            <v>42016</v>
          </cell>
          <cell r="H76" t="str">
            <v>MIVFN2023</v>
          </cell>
          <cell r="I76" t="str">
            <v>VIC</v>
          </cell>
          <cell r="J76" t="str">
            <v>Full Time</v>
          </cell>
          <cell r="K76">
            <v>42016</v>
          </cell>
          <cell r="L76">
            <v>42016</v>
          </cell>
        </row>
        <row r="77">
          <cell r="A77">
            <v>917</v>
          </cell>
          <cell r="B77">
            <v>34609</v>
          </cell>
          <cell r="C77" t="str">
            <v>VIC-TAS</v>
          </cell>
          <cell r="D77" t="str">
            <v>Virtus Health</v>
          </cell>
          <cell r="E77" t="str">
            <v>Quality Assurance Embryologist</v>
          </cell>
          <cell r="F77">
            <v>42676</v>
          </cell>
          <cell r="H77" t="str">
            <v>MIVFS2022</v>
          </cell>
          <cell r="I77" t="str">
            <v>VIC</v>
          </cell>
          <cell r="J77" t="str">
            <v>Part Time</v>
          </cell>
          <cell r="K77">
            <v>42676</v>
          </cell>
          <cell r="L77">
            <v>42676</v>
          </cell>
        </row>
        <row r="78">
          <cell r="A78">
            <v>931</v>
          </cell>
          <cell r="B78" t="str">
            <v>2/21/1994</v>
          </cell>
          <cell r="C78" t="str">
            <v>VIC-TAS</v>
          </cell>
          <cell r="D78" t="str">
            <v>Virtus Health</v>
          </cell>
          <cell r="E78" t="str">
            <v>Clinical Nurse Specialist</v>
          </cell>
          <cell r="F78" t="str">
            <v>2/22/2016</v>
          </cell>
          <cell r="H78" t="str">
            <v>MIVFN2023</v>
          </cell>
          <cell r="I78" t="str">
            <v>VIC</v>
          </cell>
          <cell r="J78" t="str">
            <v>Part Time</v>
          </cell>
          <cell r="K78" t="str">
            <v>2/22/2016</v>
          </cell>
          <cell r="L78" t="str">
            <v>2/22/2016</v>
          </cell>
        </row>
        <row r="79">
          <cell r="A79">
            <v>932</v>
          </cell>
          <cell r="B79" t="str">
            <v>3/14/1994</v>
          </cell>
          <cell r="C79" t="str">
            <v>VIC-TAS</v>
          </cell>
          <cell r="D79" t="str">
            <v>Virtus Health</v>
          </cell>
          <cell r="E79" t="str">
            <v>Registered Nurse</v>
          </cell>
          <cell r="F79" t="str">
            <v>3/14/2016</v>
          </cell>
          <cell r="H79" t="str">
            <v>MIVFN2023</v>
          </cell>
          <cell r="I79" t="str">
            <v>VIC</v>
          </cell>
          <cell r="J79" t="str">
            <v>Casual</v>
          </cell>
          <cell r="K79" t="str">
            <v>3/14/2016</v>
          </cell>
          <cell r="L79" t="str">
            <v>3/14/2016</v>
          </cell>
        </row>
        <row r="80">
          <cell r="A80">
            <v>952</v>
          </cell>
          <cell r="B80">
            <v>34645</v>
          </cell>
          <cell r="C80" t="str">
            <v>VIC-TAS</v>
          </cell>
          <cell r="D80" t="str">
            <v>Virtus Health</v>
          </cell>
          <cell r="E80" t="str">
            <v>Associate Nurse Unit Manager</v>
          </cell>
          <cell r="F80">
            <v>42681</v>
          </cell>
          <cell r="H80" t="str">
            <v>MIVFN2023</v>
          </cell>
          <cell r="I80" t="str">
            <v>VIC</v>
          </cell>
          <cell r="J80" t="str">
            <v>Full Time</v>
          </cell>
          <cell r="K80">
            <v>42681</v>
          </cell>
          <cell r="L80">
            <v>42681</v>
          </cell>
        </row>
        <row r="81">
          <cell r="A81">
            <v>965</v>
          </cell>
          <cell r="B81" t="str">
            <v>10/24/1994</v>
          </cell>
          <cell r="C81" t="str">
            <v>VIC-TAS</v>
          </cell>
          <cell r="D81" t="str">
            <v>Virtus Health</v>
          </cell>
          <cell r="E81" t="str">
            <v>Genetic Scientist</v>
          </cell>
          <cell r="F81" t="str">
            <v>10/24/2016</v>
          </cell>
          <cell r="H81" t="str">
            <v>MIVFS2022</v>
          </cell>
          <cell r="I81" t="str">
            <v>VIC</v>
          </cell>
          <cell r="J81" t="str">
            <v>Full Time</v>
          </cell>
          <cell r="K81" t="str">
            <v>10/24/2016</v>
          </cell>
          <cell r="L81" t="str">
            <v>10/24/2016</v>
          </cell>
        </row>
        <row r="82">
          <cell r="A82">
            <v>983</v>
          </cell>
          <cell r="B82">
            <v>34853</v>
          </cell>
          <cell r="C82" t="str">
            <v>VIC-TAS</v>
          </cell>
          <cell r="D82" t="str">
            <v>Virtus Health</v>
          </cell>
          <cell r="E82" t="str">
            <v>Director of Art Services</v>
          </cell>
          <cell r="F82">
            <v>42889</v>
          </cell>
          <cell r="H82" t="str">
            <v>VIC</v>
          </cell>
          <cell r="I82" t="str">
            <v>VIC</v>
          </cell>
          <cell r="J82" t="str">
            <v>Full Time</v>
          </cell>
          <cell r="K82">
            <v>42889</v>
          </cell>
          <cell r="L82">
            <v>42889</v>
          </cell>
        </row>
        <row r="83">
          <cell r="A83">
            <v>985</v>
          </cell>
          <cell r="B83">
            <v>34976</v>
          </cell>
          <cell r="C83" t="str">
            <v>VIC-TAS</v>
          </cell>
          <cell r="D83" t="str">
            <v>Virtus Health</v>
          </cell>
          <cell r="E83" t="str">
            <v>Registered Nurse</v>
          </cell>
          <cell r="F83">
            <v>43012</v>
          </cell>
          <cell r="H83" t="str">
            <v>MIVFN2023</v>
          </cell>
          <cell r="I83" t="str">
            <v>VIC</v>
          </cell>
          <cell r="J83" t="str">
            <v>Casual</v>
          </cell>
          <cell r="K83">
            <v>43012</v>
          </cell>
          <cell r="L83">
            <v>43012</v>
          </cell>
        </row>
        <row r="84">
          <cell r="A84">
            <v>993</v>
          </cell>
          <cell r="B84" t="str">
            <v>6/26/1995</v>
          </cell>
          <cell r="C84" t="str">
            <v>VIC-TAS</v>
          </cell>
          <cell r="D84" t="str">
            <v>Virtus Health</v>
          </cell>
          <cell r="E84" t="str">
            <v>Registered Nurse</v>
          </cell>
          <cell r="F84" t="str">
            <v>6/26/2017</v>
          </cell>
          <cell r="H84" t="str">
            <v>MIVFN2023</v>
          </cell>
          <cell r="I84" t="str">
            <v>VIC</v>
          </cell>
          <cell r="J84" t="str">
            <v>Full Time</v>
          </cell>
          <cell r="K84" t="str">
            <v>6/26/2017</v>
          </cell>
          <cell r="L84" t="str">
            <v>6/26/2017</v>
          </cell>
        </row>
        <row r="85">
          <cell r="A85">
            <v>994</v>
          </cell>
          <cell r="B85">
            <v>35040</v>
          </cell>
          <cell r="C85" t="str">
            <v>VIC-TAS</v>
          </cell>
          <cell r="D85" t="str">
            <v>Virtus Health</v>
          </cell>
          <cell r="E85" t="str">
            <v>Health Information Manager</v>
          </cell>
          <cell r="F85">
            <v>43076</v>
          </cell>
          <cell r="H85" t="str">
            <v>VIC</v>
          </cell>
          <cell r="I85" t="str">
            <v>VIC</v>
          </cell>
          <cell r="J85" t="str">
            <v>Casual</v>
          </cell>
          <cell r="K85">
            <v>43076</v>
          </cell>
          <cell r="L85">
            <v>43076</v>
          </cell>
        </row>
        <row r="86">
          <cell r="A86">
            <v>1005</v>
          </cell>
          <cell r="B86" t="str">
            <v>8/28/1995</v>
          </cell>
          <cell r="C86" t="str">
            <v>VIC-TAS</v>
          </cell>
          <cell r="D86" t="str">
            <v>Virtus Health</v>
          </cell>
          <cell r="E86" t="str">
            <v>Registered Nurse</v>
          </cell>
          <cell r="F86" t="str">
            <v>8/28/2017</v>
          </cell>
          <cell r="H86" t="str">
            <v>MIVFN2023</v>
          </cell>
          <cell r="I86" t="str">
            <v>VIC</v>
          </cell>
          <cell r="J86" t="str">
            <v>Part Time</v>
          </cell>
          <cell r="K86" t="str">
            <v>8/28/2017</v>
          </cell>
          <cell r="L86" t="str">
            <v>8/28/2017</v>
          </cell>
        </row>
        <row r="87">
          <cell r="A87">
            <v>1025</v>
          </cell>
          <cell r="B87">
            <v>34799</v>
          </cell>
          <cell r="C87" t="str">
            <v>VIC-TAS</v>
          </cell>
          <cell r="D87" t="str">
            <v>Virtus Health</v>
          </cell>
          <cell r="E87" t="str">
            <v>Phlebotomist</v>
          </cell>
          <cell r="F87">
            <v>42835</v>
          </cell>
          <cell r="H87" t="str">
            <v>IVFS2023</v>
          </cell>
          <cell r="I87" t="str">
            <v>VIC</v>
          </cell>
          <cell r="J87" t="str">
            <v>Part Time</v>
          </cell>
          <cell r="K87">
            <v>42835</v>
          </cell>
          <cell r="L87">
            <v>42835</v>
          </cell>
        </row>
        <row r="88">
          <cell r="A88">
            <v>1027</v>
          </cell>
          <cell r="B88" t="str">
            <v>11/20/1995</v>
          </cell>
          <cell r="C88" t="str">
            <v>VIC-TAS</v>
          </cell>
          <cell r="D88" t="str">
            <v>Virtus Health</v>
          </cell>
          <cell r="E88" t="str">
            <v>Registered Nurse</v>
          </cell>
          <cell r="F88" t="str">
            <v>11/20/2017</v>
          </cell>
          <cell r="H88" t="str">
            <v>MIVFN2023</v>
          </cell>
          <cell r="I88" t="str">
            <v>VIC</v>
          </cell>
          <cell r="J88" t="str">
            <v>Part Time</v>
          </cell>
          <cell r="K88" t="str">
            <v>11/20/2017</v>
          </cell>
          <cell r="L88" t="str">
            <v>11/20/2017</v>
          </cell>
        </row>
        <row r="89">
          <cell r="A89">
            <v>1032</v>
          </cell>
          <cell r="B89">
            <v>34801</v>
          </cell>
          <cell r="C89" t="str">
            <v>VIC-TAS</v>
          </cell>
          <cell r="D89" t="str">
            <v>Virtus Health</v>
          </cell>
          <cell r="E89" t="str">
            <v>IVF Laboratory Team Leader</v>
          </cell>
          <cell r="F89">
            <v>42837</v>
          </cell>
          <cell r="H89" t="str">
            <v>MIVFS2022</v>
          </cell>
          <cell r="I89" t="str">
            <v>VIC</v>
          </cell>
          <cell r="J89" t="str">
            <v>Full Time</v>
          </cell>
          <cell r="K89">
            <v>42837</v>
          </cell>
          <cell r="L89">
            <v>42837</v>
          </cell>
        </row>
        <row r="90">
          <cell r="A90">
            <v>1034</v>
          </cell>
          <cell r="B90" t="str">
            <v>1/22/1996</v>
          </cell>
          <cell r="C90" t="str">
            <v>VIC-TAS</v>
          </cell>
          <cell r="D90" t="str">
            <v>Virtus Health</v>
          </cell>
          <cell r="E90" t="str">
            <v>IVF Laboratory Team Leader</v>
          </cell>
          <cell r="F90" t="str">
            <v>1/22/2018</v>
          </cell>
          <cell r="H90" t="str">
            <v>MIVFS2022</v>
          </cell>
          <cell r="I90" t="str">
            <v>VIC</v>
          </cell>
          <cell r="J90" t="str">
            <v>Full Time</v>
          </cell>
          <cell r="K90" t="str">
            <v>1/22/2018</v>
          </cell>
          <cell r="L90" t="str">
            <v>1/22/2018</v>
          </cell>
        </row>
        <row r="91">
          <cell r="A91">
            <v>1040</v>
          </cell>
          <cell r="B91" t="str">
            <v>2/21/1996</v>
          </cell>
          <cell r="C91" t="str">
            <v>VIC-TAS</v>
          </cell>
          <cell r="D91" t="str">
            <v>Virtus Health</v>
          </cell>
          <cell r="E91" t="str">
            <v>Counselling Manager</v>
          </cell>
          <cell r="F91" t="str">
            <v>2/21/2018</v>
          </cell>
          <cell r="H91" t="str">
            <v>VIC</v>
          </cell>
          <cell r="I91" t="str">
            <v>VIC</v>
          </cell>
          <cell r="J91" t="str">
            <v>Part Time</v>
          </cell>
          <cell r="K91" t="str">
            <v>2/21/2018</v>
          </cell>
          <cell r="L91" t="str">
            <v>2/21/2018</v>
          </cell>
        </row>
        <row r="92">
          <cell r="A92">
            <v>1043</v>
          </cell>
          <cell r="B92" t="str">
            <v>3/18/1996</v>
          </cell>
          <cell r="C92" t="str">
            <v>VIC-TAS</v>
          </cell>
          <cell r="D92" t="str">
            <v>Virtus Health</v>
          </cell>
          <cell r="E92" t="str">
            <v>Associate Nurse Manager</v>
          </cell>
          <cell r="F92" t="str">
            <v>3/19/2018</v>
          </cell>
          <cell r="H92" t="str">
            <v>MIVFN2023</v>
          </cell>
          <cell r="I92" t="str">
            <v>VIC</v>
          </cell>
          <cell r="J92" t="str">
            <v>Full Time</v>
          </cell>
          <cell r="K92" t="str">
            <v>3/19/2018</v>
          </cell>
          <cell r="L92" t="str">
            <v>3/19/2018</v>
          </cell>
        </row>
        <row r="93">
          <cell r="A93">
            <v>1046</v>
          </cell>
          <cell r="B93" t="str">
            <v>3/18/1996</v>
          </cell>
          <cell r="C93" t="str">
            <v>VIC-TAS</v>
          </cell>
          <cell r="D93" t="str">
            <v>Virtus Health</v>
          </cell>
          <cell r="E93" t="str">
            <v>Nurse Educator</v>
          </cell>
          <cell r="F93" t="str">
            <v>3/19/2018</v>
          </cell>
          <cell r="H93" t="str">
            <v>MIVFN2023</v>
          </cell>
          <cell r="I93" t="str">
            <v>VIC</v>
          </cell>
          <cell r="J93" t="str">
            <v>Full Time</v>
          </cell>
          <cell r="K93" t="str">
            <v>3/19/2018</v>
          </cell>
          <cell r="L93" t="str">
            <v>3/19/2018</v>
          </cell>
        </row>
        <row r="94">
          <cell r="A94">
            <v>1053</v>
          </cell>
          <cell r="B94">
            <v>35373</v>
          </cell>
          <cell r="C94" t="str">
            <v>VIC-TAS</v>
          </cell>
          <cell r="D94" t="str">
            <v>Virtus Health</v>
          </cell>
          <cell r="E94" t="str">
            <v>Counsellor</v>
          </cell>
          <cell r="F94">
            <v>43438</v>
          </cell>
          <cell r="H94" t="str">
            <v>MIVFC2021</v>
          </cell>
          <cell r="I94" t="str">
            <v>TAS</v>
          </cell>
          <cell r="J94" t="str">
            <v>Part Time</v>
          </cell>
          <cell r="K94">
            <v>43438</v>
          </cell>
          <cell r="L94">
            <v>43438</v>
          </cell>
        </row>
        <row r="95">
          <cell r="A95">
            <v>1068</v>
          </cell>
          <cell r="B95" t="str">
            <v>6/21/1996</v>
          </cell>
          <cell r="C95" t="str">
            <v>VIC-TAS</v>
          </cell>
          <cell r="D95" t="str">
            <v>Virtus Health</v>
          </cell>
          <cell r="E95" t="str">
            <v>Registered Nurse</v>
          </cell>
          <cell r="F95" t="str">
            <v>6/22/2018</v>
          </cell>
          <cell r="H95" t="str">
            <v>MIVFN2023</v>
          </cell>
          <cell r="I95" t="str">
            <v>VIC</v>
          </cell>
          <cell r="J95" t="str">
            <v>Part Time</v>
          </cell>
          <cell r="K95" t="str">
            <v>6/22/2018</v>
          </cell>
          <cell r="L95" t="str">
            <v>6/22/2018</v>
          </cell>
        </row>
        <row r="96">
          <cell r="A96">
            <v>1076</v>
          </cell>
          <cell r="B96" t="str">
            <v>7/22/1996</v>
          </cell>
          <cell r="C96" t="str">
            <v>VIC-TAS</v>
          </cell>
          <cell r="D96" t="str">
            <v>Virtus Health</v>
          </cell>
          <cell r="E96" t="str">
            <v>Enrolled Nurse</v>
          </cell>
          <cell r="F96" t="str">
            <v>7/23/2018</v>
          </cell>
          <cell r="H96" t="str">
            <v>MIVFN2023</v>
          </cell>
          <cell r="I96" t="str">
            <v>VIC</v>
          </cell>
          <cell r="J96" t="str">
            <v>Part Time</v>
          </cell>
          <cell r="K96" t="str">
            <v>7/23/2018</v>
          </cell>
          <cell r="L96" t="str">
            <v>7/23/2018</v>
          </cell>
        </row>
        <row r="97">
          <cell r="A97">
            <v>1080</v>
          </cell>
          <cell r="B97" t="str">
            <v>8/20/1996</v>
          </cell>
          <cell r="C97" t="str">
            <v>VIC-TAS</v>
          </cell>
          <cell r="D97" t="str">
            <v>Virtus Health</v>
          </cell>
          <cell r="E97" t="str">
            <v>Registered Nurse</v>
          </cell>
          <cell r="F97" t="str">
            <v>8/21/2018</v>
          </cell>
          <cell r="H97" t="str">
            <v>MIVFN2023</v>
          </cell>
          <cell r="I97" t="str">
            <v>VIC</v>
          </cell>
          <cell r="J97" t="str">
            <v>Full Time</v>
          </cell>
          <cell r="K97" t="str">
            <v>8/21/2018</v>
          </cell>
          <cell r="L97" t="str">
            <v>8/21/2018</v>
          </cell>
        </row>
        <row r="98">
          <cell r="A98">
            <v>1092</v>
          </cell>
          <cell r="B98" t="str">
            <v>10/26/1993</v>
          </cell>
          <cell r="C98" t="str">
            <v>VIC-TAS</v>
          </cell>
          <cell r="D98" t="str">
            <v>Virtus Health</v>
          </cell>
          <cell r="E98" t="str">
            <v>Pathology Scientist</v>
          </cell>
          <cell r="F98" t="str">
            <v>10/27/2015</v>
          </cell>
          <cell r="H98" t="str">
            <v>MIVFS2022</v>
          </cell>
          <cell r="I98" t="str">
            <v>VIC</v>
          </cell>
          <cell r="J98" t="str">
            <v>Full Time</v>
          </cell>
          <cell r="K98" t="str">
            <v>10/27/2015</v>
          </cell>
          <cell r="L98" t="str">
            <v>10/27/2015</v>
          </cell>
        </row>
        <row r="99">
          <cell r="A99">
            <v>1096</v>
          </cell>
          <cell r="B99" t="str">
            <v>11/25/1996</v>
          </cell>
          <cell r="C99" t="str">
            <v>VIC-TAS</v>
          </cell>
          <cell r="D99" t="str">
            <v>Virtus Health</v>
          </cell>
          <cell r="E99" t="str">
            <v>Embryologist</v>
          </cell>
          <cell r="F99" t="str">
            <v>11/26/2018</v>
          </cell>
          <cell r="H99" t="str">
            <v>MIVFS2022</v>
          </cell>
          <cell r="I99" t="str">
            <v>VIC</v>
          </cell>
          <cell r="J99" t="str">
            <v>Full Time</v>
          </cell>
          <cell r="K99" t="str">
            <v>11/26/2018</v>
          </cell>
          <cell r="L99" t="str">
            <v>11/26/2018</v>
          </cell>
        </row>
        <row r="100">
          <cell r="A100">
            <v>1098</v>
          </cell>
          <cell r="B100" t="str">
            <v>4/28/1992</v>
          </cell>
          <cell r="C100" t="str">
            <v>VIC-TAS</v>
          </cell>
          <cell r="D100" t="str">
            <v>Virtus Health</v>
          </cell>
          <cell r="E100" t="str">
            <v>Enrolled Nurse</v>
          </cell>
          <cell r="F100" t="str">
            <v>4/29/2014</v>
          </cell>
          <cell r="H100" t="str">
            <v>MIVFN2023</v>
          </cell>
          <cell r="I100" t="str">
            <v>VIC</v>
          </cell>
          <cell r="J100" t="str">
            <v>Part Time</v>
          </cell>
          <cell r="K100" t="str">
            <v>4/29/2014</v>
          </cell>
          <cell r="L100" t="str">
            <v>4/29/2014</v>
          </cell>
        </row>
        <row r="101">
          <cell r="A101">
            <v>1117</v>
          </cell>
          <cell r="B101">
            <v>35555</v>
          </cell>
          <cell r="C101" t="str">
            <v>VIC-TAS</v>
          </cell>
          <cell r="D101" t="str">
            <v>Virtus Health</v>
          </cell>
          <cell r="E101" t="str">
            <v>Clinical Research Scientist</v>
          </cell>
          <cell r="F101">
            <v>43621</v>
          </cell>
          <cell r="H101" t="str">
            <v>MIVFS2022</v>
          </cell>
          <cell r="I101" t="str">
            <v>VIC</v>
          </cell>
          <cell r="J101" t="str">
            <v>Part Time</v>
          </cell>
          <cell r="K101">
            <v>43621</v>
          </cell>
          <cell r="L101">
            <v>43621</v>
          </cell>
        </row>
        <row r="102">
          <cell r="A102">
            <v>1119</v>
          </cell>
          <cell r="B102">
            <v>35586</v>
          </cell>
          <cell r="C102" t="str">
            <v>VIC-TAS</v>
          </cell>
          <cell r="D102" t="str">
            <v>Virtus Health</v>
          </cell>
          <cell r="E102" t="str">
            <v>Registered Nurse</v>
          </cell>
          <cell r="F102">
            <v>43651</v>
          </cell>
          <cell r="H102" t="str">
            <v>MIVFN2023</v>
          </cell>
          <cell r="I102" t="str">
            <v>VIC</v>
          </cell>
          <cell r="J102" t="str">
            <v>Part Time</v>
          </cell>
          <cell r="K102">
            <v>43651</v>
          </cell>
          <cell r="L102">
            <v>43651</v>
          </cell>
        </row>
        <row r="103">
          <cell r="A103">
            <v>1132</v>
          </cell>
          <cell r="B103" t="str">
            <v>11/29/1999</v>
          </cell>
          <cell r="C103" t="str">
            <v>VIC-TAS</v>
          </cell>
          <cell r="D103" t="str">
            <v>Virtus Health</v>
          </cell>
          <cell r="E103" t="str">
            <v>Registered Nurse</v>
          </cell>
          <cell r="F103" t="str">
            <v>11/29/2021</v>
          </cell>
          <cell r="H103" t="str">
            <v>MIVFN2023</v>
          </cell>
          <cell r="I103" t="str">
            <v>VIC</v>
          </cell>
          <cell r="J103" t="str">
            <v>Part Time</v>
          </cell>
          <cell r="K103" t="str">
            <v>11/29/2021</v>
          </cell>
          <cell r="L103" t="str">
            <v>11/29/2021</v>
          </cell>
        </row>
        <row r="104">
          <cell r="A104">
            <v>1140</v>
          </cell>
          <cell r="B104" t="str">
            <v>9/17/1997</v>
          </cell>
          <cell r="C104" t="str">
            <v>VIC-TAS</v>
          </cell>
          <cell r="D104" t="str">
            <v>Virtus Health</v>
          </cell>
          <cell r="E104" t="str">
            <v>Registered Nurse</v>
          </cell>
          <cell r="F104" t="str">
            <v>9/18/2019</v>
          </cell>
          <cell r="H104" t="str">
            <v>MIVFN2023</v>
          </cell>
          <cell r="I104" t="str">
            <v>VIC</v>
          </cell>
          <cell r="J104" t="str">
            <v>Casual</v>
          </cell>
          <cell r="K104" t="str">
            <v>9/18/2019</v>
          </cell>
          <cell r="L104" t="str">
            <v>9/18/2019</v>
          </cell>
        </row>
        <row r="105">
          <cell r="A105">
            <v>1142</v>
          </cell>
          <cell r="B105">
            <v>35591</v>
          </cell>
          <cell r="C105" t="str">
            <v>VIC-TAS</v>
          </cell>
          <cell r="D105" t="str">
            <v>Virtus Health</v>
          </cell>
          <cell r="E105" t="str">
            <v>Patient Services Manager</v>
          </cell>
          <cell r="F105">
            <v>43656</v>
          </cell>
          <cell r="H105" t="str">
            <v>MIVFS2022</v>
          </cell>
          <cell r="I105" t="str">
            <v>VIC</v>
          </cell>
          <cell r="J105" t="str">
            <v>Full Time</v>
          </cell>
          <cell r="K105">
            <v>43656</v>
          </cell>
          <cell r="L105">
            <v>43656</v>
          </cell>
        </row>
        <row r="106">
          <cell r="A106">
            <v>1144</v>
          </cell>
          <cell r="B106">
            <v>35407</v>
          </cell>
          <cell r="C106" t="str">
            <v>VIC-TAS</v>
          </cell>
          <cell r="D106" t="str">
            <v>Virtus Health</v>
          </cell>
          <cell r="E106" t="str">
            <v>Registered Nurse</v>
          </cell>
          <cell r="F106" t="str">
            <v>8/13/2018</v>
          </cell>
          <cell r="H106" t="str">
            <v>MIVFN2023</v>
          </cell>
          <cell r="I106" t="str">
            <v>VIC</v>
          </cell>
          <cell r="J106" t="str">
            <v>Part Time</v>
          </cell>
          <cell r="K106" t="str">
            <v>8/13/2018</v>
          </cell>
          <cell r="L106" t="str">
            <v>8/13/2018</v>
          </cell>
        </row>
        <row r="107">
          <cell r="A107">
            <v>1147</v>
          </cell>
          <cell r="B107" t="str">
            <v>1/13/1998</v>
          </cell>
          <cell r="C107" t="str">
            <v>VIC-TAS</v>
          </cell>
          <cell r="D107" t="str">
            <v>Virtus Health</v>
          </cell>
          <cell r="E107" t="str">
            <v>Registered Nurse</v>
          </cell>
          <cell r="F107" t="str">
            <v>1/14/2020</v>
          </cell>
          <cell r="H107" t="str">
            <v>MIVFN2023</v>
          </cell>
          <cell r="I107" t="str">
            <v>VIC</v>
          </cell>
          <cell r="J107" t="str">
            <v>Part Time</v>
          </cell>
          <cell r="K107" t="str">
            <v>1/14/2020</v>
          </cell>
          <cell r="L107" t="str">
            <v>1/14/2020</v>
          </cell>
        </row>
        <row r="108">
          <cell r="A108">
            <v>1156</v>
          </cell>
          <cell r="B108" t="str">
            <v>2/16/1998</v>
          </cell>
          <cell r="C108" t="str">
            <v>VIC-TAS</v>
          </cell>
          <cell r="D108" t="str">
            <v>Virtus Health</v>
          </cell>
          <cell r="E108" t="str">
            <v>Counsellor</v>
          </cell>
          <cell r="F108" t="str">
            <v>2/17/2020</v>
          </cell>
          <cell r="H108" t="str">
            <v>MIVFC2021</v>
          </cell>
          <cell r="I108" t="str">
            <v>VIC</v>
          </cell>
          <cell r="J108" t="str">
            <v>Part Time</v>
          </cell>
          <cell r="K108" t="str">
            <v>2/17/2020</v>
          </cell>
          <cell r="L108" t="str">
            <v>2/17/2020</v>
          </cell>
        </row>
        <row r="109">
          <cell r="A109">
            <v>1160</v>
          </cell>
          <cell r="B109" t="str">
            <v>2/23/1998</v>
          </cell>
          <cell r="C109" t="str">
            <v>VIC-TAS</v>
          </cell>
          <cell r="D109" t="str">
            <v>Virtus Health</v>
          </cell>
          <cell r="E109" t="str">
            <v>Counsellor</v>
          </cell>
          <cell r="F109" t="str">
            <v>2/24/2020</v>
          </cell>
          <cell r="H109" t="str">
            <v>MIVFC2021</v>
          </cell>
          <cell r="I109" t="str">
            <v>VIC</v>
          </cell>
          <cell r="J109" t="str">
            <v>Part Time</v>
          </cell>
          <cell r="K109" t="str">
            <v>2/24/2020</v>
          </cell>
          <cell r="L109" t="str">
            <v>2/24/2020</v>
          </cell>
        </row>
        <row r="110">
          <cell r="A110">
            <v>1162</v>
          </cell>
          <cell r="B110">
            <v>35888</v>
          </cell>
          <cell r="C110" t="str">
            <v>VIC-TAS</v>
          </cell>
          <cell r="D110" t="str">
            <v>Virtus Health</v>
          </cell>
          <cell r="E110" t="str">
            <v>Counsellor</v>
          </cell>
          <cell r="F110">
            <v>43924</v>
          </cell>
          <cell r="H110" t="str">
            <v>MIVFC2021</v>
          </cell>
          <cell r="I110" t="str">
            <v>WA</v>
          </cell>
          <cell r="J110" t="str">
            <v>Part Time</v>
          </cell>
          <cell r="K110">
            <v>43924</v>
          </cell>
          <cell r="L110">
            <v>43924</v>
          </cell>
        </row>
        <row r="111">
          <cell r="A111">
            <v>1172</v>
          </cell>
          <cell r="B111">
            <v>35828</v>
          </cell>
          <cell r="C111" t="str">
            <v>VIC-TAS</v>
          </cell>
          <cell r="D111" t="str">
            <v>Virtus Health</v>
          </cell>
          <cell r="E111" t="str">
            <v>Nurse Unit Manager</v>
          </cell>
          <cell r="F111">
            <v>43892</v>
          </cell>
          <cell r="H111" t="str">
            <v>MIVFN2023</v>
          </cell>
          <cell r="I111" t="str">
            <v>VIC</v>
          </cell>
          <cell r="J111" t="str">
            <v>Full Time</v>
          </cell>
          <cell r="K111">
            <v>43892</v>
          </cell>
          <cell r="L111">
            <v>43892</v>
          </cell>
        </row>
        <row r="112">
          <cell r="A112">
            <v>1174</v>
          </cell>
          <cell r="B112" t="str">
            <v>2/16/1998</v>
          </cell>
          <cell r="C112" t="str">
            <v>VIC-TAS</v>
          </cell>
          <cell r="D112" t="str">
            <v>Virtus Health</v>
          </cell>
          <cell r="E112" t="str">
            <v>Registered Nurse</v>
          </cell>
          <cell r="F112" t="str">
            <v>2/17/2020</v>
          </cell>
          <cell r="H112" t="str">
            <v>MIVFN2023</v>
          </cell>
          <cell r="I112" t="str">
            <v>VIC</v>
          </cell>
          <cell r="J112" t="str">
            <v>Part Time</v>
          </cell>
          <cell r="K112" t="str">
            <v>2/17/2020</v>
          </cell>
          <cell r="L112" t="str">
            <v>2/17/2020</v>
          </cell>
        </row>
        <row r="113">
          <cell r="A113">
            <v>1176</v>
          </cell>
          <cell r="B113">
            <v>35467</v>
          </cell>
          <cell r="C113" t="str">
            <v>VIC-TAS</v>
          </cell>
          <cell r="D113" t="str">
            <v>Virtus Health</v>
          </cell>
          <cell r="E113" t="str">
            <v>New Patient Care Consultant</v>
          </cell>
          <cell r="F113">
            <v>43530</v>
          </cell>
          <cell r="H113" t="str">
            <v>MIVFS2022</v>
          </cell>
          <cell r="I113" t="str">
            <v>VIC</v>
          </cell>
          <cell r="J113" t="str">
            <v>Part Time</v>
          </cell>
          <cell r="K113">
            <v>43530</v>
          </cell>
          <cell r="L113">
            <v>43530</v>
          </cell>
        </row>
        <row r="114">
          <cell r="A114">
            <v>1183</v>
          </cell>
          <cell r="B114">
            <v>35801</v>
          </cell>
          <cell r="C114" t="str">
            <v>VIC-TAS</v>
          </cell>
          <cell r="D114" t="str">
            <v>Virtus Health</v>
          </cell>
          <cell r="E114" t="str">
            <v>Nurse Unit Manager</v>
          </cell>
          <cell r="F114">
            <v>43836</v>
          </cell>
          <cell r="H114" t="str">
            <v>MIVFN2023</v>
          </cell>
          <cell r="I114" t="str">
            <v>VIC</v>
          </cell>
          <cell r="J114" t="str">
            <v>Full Time</v>
          </cell>
          <cell r="K114">
            <v>43836</v>
          </cell>
          <cell r="L114">
            <v>43836</v>
          </cell>
        </row>
        <row r="115">
          <cell r="A115">
            <v>1185</v>
          </cell>
          <cell r="B115">
            <v>35860</v>
          </cell>
          <cell r="C115" t="str">
            <v>VIC-TAS</v>
          </cell>
          <cell r="D115" t="str">
            <v>Virtus Health</v>
          </cell>
          <cell r="E115" t="str">
            <v>Counsellor</v>
          </cell>
          <cell r="F115">
            <v>43896</v>
          </cell>
          <cell r="H115" t="str">
            <v>MIVFC2021</v>
          </cell>
          <cell r="I115" t="str">
            <v>VIC</v>
          </cell>
          <cell r="J115" t="str">
            <v>Full Time</v>
          </cell>
          <cell r="K115">
            <v>43896</v>
          </cell>
          <cell r="L115">
            <v>43896</v>
          </cell>
        </row>
        <row r="116">
          <cell r="A116">
            <v>1193</v>
          </cell>
          <cell r="B116">
            <v>36044</v>
          </cell>
          <cell r="C116" t="str">
            <v>VIC-TAS</v>
          </cell>
          <cell r="D116" t="str">
            <v>Virtus Health</v>
          </cell>
          <cell r="E116" t="str">
            <v>Clinical Nurse Specialist</v>
          </cell>
          <cell r="F116">
            <v>44080</v>
          </cell>
          <cell r="H116" t="str">
            <v>MIVFN2023</v>
          </cell>
          <cell r="I116" t="str">
            <v>VIC</v>
          </cell>
          <cell r="J116" t="str">
            <v>Part Time</v>
          </cell>
          <cell r="K116">
            <v>44080</v>
          </cell>
          <cell r="L116">
            <v>44080</v>
          </cell>
        </row>
        <row r="117">
          <cell r="A117">
            <v>1198</v>
          </cell>
          <cell r="B117" t="str">
            <v>6/26/1998</v>
          </cell>
          <cell r="C117" t="str">
            <v>VIC-TAS</v>
          </cell>
          <cell r="D117" t="str">
            <v>Virtus Health</v>
          </cell>
          <cell r="E117" t="str">
            <v>Enrolled Nurse</v>
          </cell>
          <cell r="F117" t="str">
            <v>6/26/2020</v>
          </cell>
          <cell r="H117" t="str">
            <v>MIVFN2023</v>
          </cell>
          <cell r="I117" t="str">
            <v>VIC</v>
          </cell>
          <cell r="J117" t="str">
            <v>Casual</v>
          </cell>
          <cell r="K117" t="str">
            <v>6/26/2020</v>
          </cell>
          <cell r="L117" t="str">
            <v>6/26/2020</v>
          </cell>
        </row>
        <row r="118">
          <cell r="A118">
            <v>1208</v>
          </cell>
          <cell r="B118" t="str">
            <v>8/17/1998</v>
          </cell>
          <cell r="C118" t="str">
            <v>VIC-TAS</v>
          </cell>
          <cell r="D118" t="str">
            <v>Virtus Health</v>
          </cell>
          <cell r="E118" t="str">
            <v>Genetics Scientist</v>
          </cell>
          <cell r="F118" t="str">
            <v>8/17/2020</v>
          </cell>
          <cell r="H118" t="str">
            <v>MIVFS2022</v>
          </cell>
          <cell r="I118" t="str">
            <v>VIC</v>
          </cell>
          <cell r="J118" t="str">
            <v>Full Time</v>
          </cell>
          <cell r="K118" t="str">
            <v>8/17/2020</v>
          </cell>
          <cell r="L118" t="str">
            <v>8/17/2020</v>
          </cell>
        </row>
        <row r="119">
          <cell r="A119">
            <v>1210</v>
          </cell>
          <cell r="B119" t="str">
            <v>8/17/1998</v>
          </cell>
          <cell r="C119" t="str">
            <v>VIC-TAS</v>
          </cell>
          <cell r="D119" t="str">
            <v>Virtus Health</v>
          </cell>
          <cell r="E119" t="str">
            <v>Accounts Payable Administrator</v>
          </cell>
          <cell r="F119" t="str">
            <v>8/17/2020</v>
          </cell>
          <cell r="H119" t="str">
            <v>MIVFS2022</v>
          </cell>
          <cell r="I119" t="str">
            <v>VIC</v>
          </cell>
          <cell r="J119" t="str">
            <v>Part Time</v>
          </cell>
          <cell r="K119" t="str">
            <v>8/17/2020</v>
          </cell>
          <cell r="L119" t="str">
            <v>8/17/2020</v>
          </cell>
        </row>
        <row r="120">
          <cell r="A120">
            <v>1220</v>
          </cell>
          <cell r="B120" t="str">
            <v>9/21/1998</v>
          </cell>
          <cell r="C120" t="str">
            <v>VIC-TAS</v>
          </cell>
          <cell r="D120" t="str">
            <v>Virtus Health</v>
          </cell>
          <cell r="E120" t="str">
            <v>Embryologist</v>
          </cell>
          <cell r="F120" t="str">
            <v>9/21/2020</v>
          </cell>
          <cell r="H120" t="str">
            <v>MIVFS2022</v>
          </cell>
          <cell r="I120" t="str">
            <v>VIC</v>
          </cell>
          <cell r="J120" t="str">
            <v>Full Time</v>
          </cell>
          <cell r="K120" t="str">
            <v>9/21/2020</v>
          </cell>
          <cell r="L120" t="str">
            <v>9/21/2020</v>
          </cell>
        </row>
        <row r="121">
          <cell r="A121">
            <v>1224</v>
          </cell>
          <cell r="B121" t="str">
            <v>10/14/1998</v>
          </cell>
          <cell r="C121" t="str">
            <v>VIC-TAS</v>
          </cell>
          <cell r="D121" t="str">
            <v>Virtus Health</v>
          </cell>
          <cell r="E121" t="str">
            <v>Donor Nurse</v>
          </cell>
          <cell r="F121" t="str">
            <v>10/14/2020</v>
          </cell>
          <cell r="H121" t="str">
            <v>MIVFN2023</v>
          </cell>
          <cell r="I121" t="str">
            <v>VIC</v>
          </cell>
          <cell r="J121" t="str">
            <v>Part Time</v>
          </cell>
          <cell r="K121" t="str">
            <v>10/14/2020</v>
          </cell>
          <cell r="L121" t="str">
            <v>10/14/2020</v>
          </cell>
        </row>
        <row r="122">
          <cell r="A122">
            <v>1228</v>
          </cell>
          <cell r="B122">
            <v>36049</v>
          </cell>
          <cell r="C122" t="str">
            <v>VIC-TAS</v>
          </cell>
          <cell r="D122" t="str">
            <v>Virtus Health</v>
          </cell>
          <cell r="E122" t="str">
            <v>Receptionist</v>
          </cell>
          <cell r="F122">
            <v>44085</v>
          </cell>
          <cell r="H122" t="str">
            <v>MIVFS2022</v>
          </cell>
          <cell r="I122" t="str">
            <v>VIC</v>
          </cell>
          <cell r="J122" t="str">
            <v>Full Time</v>
          </cell>
          <cell r="K122">
            <v>44085</v>
          </cell>
          <cell r="L122">
            <v>44085</v>
          </cell>
        </row>
        <row r="123">
          <cell r="A123">
            <v>1237</v>
          </cell>
          <cell r="B123">
            <v>36251</v>
          </cell>
          <cell r="C123" t="str">
            <v>VIC-TAS</v>
          </cell>
          <cell r="D123" t="str">
            <v>Virtus Health</v>
          </cell>
          <cell r="E123" t="str">
            <v>Genetics Scientist</v>
          </cell>
          <cell r="F123">
            <v>44287</v>
          </cell>
          <cell r="H123" t="str">
            <v>MIVFS2022</v>
          </cell>
          <cell r="I123" t="str">
            <v>VIC</v>
          </cell>
          <cell r="J123" t="str">
            <v>Part Time</v>
          </cell>
          <cell r="K123">
            <v>44287</v>
          </cell>
          <cell r="L123">
            <v>44287</v>
          </cell>
        </row>
        <row r="124">
          <cell r="A124">
            <v>1238</v>
          </cell>
          <cell r="B124">
            <v>36465</v>
          </cell>
          <cell r="C124" t="str">
            <v>VIC-TAS</v>
          </cell>
          <cell r="D124" t="str">
            <v>Virtus Health</v>
          </cell>
          <cell r="E124" t="str">
            <v>Registered Nurse</v>
          </cell>
          <cell r="F124">
            <v>44501</v>
          </cell>
          <cell r="H124" t="str">
            <v>MIVFN2023</v>
          </cell>
          <cell r="I124" t="str">
            <v>VIC</v>
          </cell>
          <cell r="J124" t="str">
            <v>Part Time</v>
          </cell>
          <cell r="K124">
            <v>44501</v>
          </cell>
          <cell r="L124">
            <v>44501</v>
          </cell>
        </row>
        <row r="125">
          <cell r="A125">
            <v>1239</v>
          </cell>
          <cell r="B125">
            <v>36465</v>
          </cell>
          <cell r="C125" t="str">
            <v>VIC-TAS</v>
          </cell>
          <cell r="D125" t="str">
            <v>Virtus Health</v>
          </cell>
          <cell r="E125" t="str">
            <v>Registered Nurse</v>
          </cell>
          <cell r="F125">
            <v>44501</v>
          </cell>
          <cell r="H125" t="str">
            <v>MIVFN2023</v>
          </cell>
          <cell r="I125" t="str">
            <v>VIC</v>
          </cell>
          <cell r="J125" t="str">
            <v>Part Time</v>
          </cell>
          <cell r="K125">
            <v>44501</v>
          </cell>
          <cell r="L125">
            <v>44501</v>
          </cell>
        </row>
        <row r="126">
          <cell r="A126">
            <v>1240</v>
          </cell>
          <cell r="B126">
            <v>36465</v>
          </cell>
          <cell r="C126" t="str">
            <v>VIC-TAS</v>
          </cell>
          <cell r="D126" t="str">
            <v>Virtus Health</v>
          </cell>
          <cell r="E126" t="str">
            <v>Donor and Surrogacy Team Leader</v>
          </cell>
          <cell r="F126">
            <v>44501</v>
          </cell>
          <cell r="H126" t="str">
            <v>MIVFN2023</v>
          </cell>
          <cell r="I126" t="str">
            <v>VIC</v>
          </cell>
          <cell r="J126" t="str">
            <v>Part Time</v>
          </cell>
          <cell r="K126">
            <v>44501</v>
          </cell>
          <cell r="L126">
            <v>44501</v>
          </cell>
        </row>
        <row r="127">
          <cell r="A127">
            <v>1241</v>
          </cell>
          <cell r="B127">
            <v>36465</v>
          </cell>
          <cell r="C127" t="str">
            <v>VIC-TAS</v>
          </cell>
          <cell r="D127" t="str">
            <v>Virtus Health</v>
          </cell>
          <cell r="E127" t="str">
            <v>Registered Nurse</v>
          </cell>
          <cell r="F127">
            <v>44501</v>
          </cell>
          <cell r="H127" t="str">
            <v>MIVFN2023</v>
          </cell>
          <cell r="I127" t="str">
            <v>VIC</v>
          </cell>
          <cell r="J127" t="str">
            <v>Part Time</v>
          </cell>
          <cell r="K127">
            <v>44501</v>
          </cell>
          <cell r="L127">
            <v>44501</v>
          </cell>
        </row>
        <row r="128">
          <cell r="A128">
            <v>1248</v>
          </cell>
          <cell r="B128" t="str">
            <v>1/27/1999</v>
          </cell>
          <cell r="C128" t="str">
            <v>VIC-TAS</v>
          </cell>
          <cell r="D128" t="str">
            <v>Virtus Health</v>
          </cell>
          <cell r="E128" t="str">
            <v>Enrolled Nurse</v>
          </cell>
          <cell r="F128" t="str">
            <v>1/27/2021</v>
          </cell>
          <cell r="H128" t="str">
            <v>MIVFN2023</v>
          </cell>
          <cell r="I128" t="str">
            <v>VIC</v>
          </cell>
          <cell r="J128" t="str">
            <v>Full Time</v>
          </cell>
          <cell r="K128" t="str">
            <v>1/27/2021</v>
          </cell>
          <cell r="L128" t="str">
            <v>1/27/2021</v>
          </cell>
        </row>
        <row r="129">
          <cell r="A129">
            <v>1250</v>
          </cell>
          <cell r="B129">
            <v>36435</v>
          </cell>
          <cell r="C129" t="str">
            <v>VIC-TAS</v>
          </cell>
          <cell r="D129" t="str">
            <v>Virtus Health</v>
          </cell>
          <cell r="E129" t="str">
            <v>Patient Liaison Administrator Team Leader</v>
          </cell>
          <cell r="F129">
            <v>44471</v>
          </cell>
          <cell r="H129" t="str">
            <v>MIVFS2022</v>
          </cell>
          <cell r="I129" t="str">
            <v>VIC</v>
          </cell>
          <cell r="J129" t="str">
            <v>Full Time</v>
          </cell>
          <cell r="K129">
            <v>44471</v>
          </cell>
          <cell r="L129">
            <v>44471</v>
          </cell>
        </row>
        <row r="130">
          <cell r="A130">
            <v>1256</v>
          </cell>
          <cell r="B130">
            <v>36163</v>
          </cell>
          <cell r="C130" t="str">
            <v>VIC-TAS</v>
          </cell>
          <cell r="D130" t="str">
            <v>Virtus Health</v>
          </cell>
          <cell r="E130" t="str">
            <v>Receptionist</v>
          </cell>
          <cell r="F130">
            <v>44199</v>
          </cell>
          <cell r="H130" t="str">
            <v>MIVFS2022</v>
          </cell>
          <cell r="I130" t="str">
            <v>VIC</v>
          </cell>
          <cell r="J130" t="str">
            <v>Full Time</v>
          </cell>
          <cell r="K130">
            <v>44199</v>
          </cell>
          <cell r="L130">
            <v>44199</v>
          </cell>
        </row>
        <row r="131">
          <cell r="A131">
            <v>1258</v>
          </cell>
          <cell r="B131">
            <v>36163</v>
          </cell>
          <cell r="C131" t="str">
            <v>VIC-TAS</v>
          </cell>
          <cell r="D131" t="str">
            <v>Virtus Health</v>
          </cell>
          <cell r="E131" t="str">
            <v>Donor Nurse</v>
          </cell>
          <cell r="F131">
            <v>44199</v>
          </cell>
          <cell r="H131" t="str">
            <v>MIVFN2023</v>
          </cell>
          <cell r="I131" t="str">
            <v>NSW</v>
          </cell>
          <cell r="J131" t="str">
            <v>Part Time</v>
          </cell>
          <cell r="K131">
            <v>44199</v>
          </cell>
          <cell r="L131">
            <v>44199</v>
          </cell>
        </row>
        <row r="132">
          <cell r="A132">
            <v>1261</v>
          </cell>
          <cell r="B132">
            <v>36345</v>
          </cell>
          <cell r="C132" t="str">
            <v>VIC-TAS</v>
          </cell>
          <cell r="D132" t="str">
            <v>Virtus Health</v>
          </cell>
          <cell r="E132" t="str">
            <v>Donor Nurse</v>
          </cell>
          <cell r="F132">
            <v>44381</v>
          </cell>
          <cell r="H132" t="str">
            <v>MIVFN2023</v>
          </cell>
          <cell r="I132" t="str">
            <v>VIC</v>
          </cell>
          <cell r="J132" t="str">
            <v>Full Time</v>
          </cell>
          <cell r="K132">
            <v>44381</v>
          </cell>
          <cell r="L132">
            <v>44381</v>
          </cell>
        </row>
        <row r="133">
          <cell r="A133">
            <v>1262</v>
          </cell>
          <cell r="B133">
            <v>36315</v>
          </cell>
          <cell r="C133" t="str">
            <v>VIC-TAS</v>
          </cell>
          <cell r="D133" t="str">
            <v>Virtus Health</v>
          </cell>
          <cell r="E133" t="str">
            <v>Courier</v>
          </cell>
          <cell r="F133">
            <v>44351</v>
          </cell>
          <cell r="H133" t="str">
            <v>IVFS2023</v>
          </cell>
          <cell r="I133" t="str">
            <v>VIC</v>
          </cell>
          <cell r="J133" t="str">
            <v>Casual</v>
          </cell>
          <cell r="K133">
            <v>44351</v>
          </cell>
          <cell r="L133">
            <v>44351</v>
          </cell>
        </row>
        <row r="134">
          <cell r="A134">
            <v>1263</v>
          </cell>
          <cell r="B134">
            <v>36498</v>
          </cell>
          <cell r="C134" t="str">
            <v>VIC-TAS</v>
          </cell>
          <cell r="D134" t="str">
            <v>Virtus Health</v>
          </cell>
          <cell r="E134" t="str">
            <v>Genetics Scientist</v>
          </cell>
          <cell r="F134">
            <v>44534</v>
          </cell>
          <cell r="H134" t="str">
            <v>MIVFS2022</v>
          </cell>
          <cell r="I134" t="str">
            <v>VIC</v>
          </cell>
          <cell r="J134" t="str">
            <v>Part Time</v>
          </cell>
          <cell r="K134">
            <v>44534</v>
          </cell>
          <cell r="L134">
            <v>44534</v>
          </cell>
        </row>
        <row r="135">
          <cell r="A135">
            <v>1265</v>
          </cell>
          <cell r="B135">
            <v>36498</v>
          </cell>
          <cell r="C135" t="str">
            <v>VIC-TAS</v>
          </cell>
          <cell r="D135" t="str">
            <v>Virtus Health</v>
          </cell>
          <cell r="E135" t="str">
            <v>Registered Nurse</v>
          </cell>
          <cell r="F135">
            <v>44534</v>
          </cell>
          <cell r="H135" t="str">
            <v>MIVFN2023</v>
          </cell>
          <cell r="I135" t="str">
            <v>VIC</v>
          </cell>
          <cell r="J135" t="str">
            <v>Full Time</v>
          </cell>
          <cell r="K135">
            <v>44534</v>
          </cell>
          <cell r="L135">
            <v>44534</v>
          </cell>
        </row>
        <row r="136">
          <cell r="A136">
            <v>1266</v>
          </cell>
          <cell r="B136" t="str">
            <v>4/19/1999</v>
          </cell>
          <cell r="C136" t="str">
            <v>VIC-TAS</v>
          </cell>
          <cell r="D136" t="str">
            <v>Virtus Health</v>
          </cell>
          <cell r="E136" t="str">
            <v>Receptionist</v>
          </cell>
          <cell r="F136" t="str">
            <v>4/19/2021</v>
          </cell>
          <cell r="H136" t="str">
            <v>MIVFS2022</v>
          </cell>
          <cell r="I136" t="str">
            <v>VIC</v>
          </cell>
          <cell r="J136" t="str">
            <v>Full Time</v>
          </cell>
          <cell r="K136" t="str">
            <v>4/19/2021</v>
          </cell>
          <cell r="L136" t="str">
            <v>4/19/2021</v>
          </cell>
        </row>
        <row r="137">
          <cell r="A137">
            <v>1267</v>
          </cell>
          <cell r="B137" t="str">
            <v>4/26/1999</v>
          </cell>
          <cell r="C137" t="str">
            <v>VIC-TAS</v>
          </cell>
          <cell r="D137" t="str">
            <v>Virtus Health</v>
          </cell>
          <cell r="E137" t="str">
            <v>Clinical Nurse Specialist</v>
          </cell>
          <cell r="F137" t="str">
            <v>4/26/2021</v>
          </cell>
          <cell r="H137" t="str">
            <v>MIVFN2023</v>
          </cell>
          <cell r="I137" t="str">
            <v>VIC</v>
          </cell>
          <cell r="J137" t="str">
            <v>Full Time</v>
          </cell>
          <cell r="K137" t="str">
            <v>4/26/2021</v>
          </cell>
          <cell r="L137" t="str">
            <v>4/26/2021</v>
          </cell>
        </row>
        <row r="138">
          <cell r="A138">
            <v>1268</v>
          </cell>
          <cell r="B138" t="str">
            <v>4/26/1999</v>
          </cell>
          <cell r="C138" t="str">
            <v>VIC-TAS</v>
          </cell>
          <cell r="D138" t="str">
            <v>Virtus Health</v>
          </cell>
          <cell r="E138" t="str">
            <v>Registered Nurse</v>
          </cell>
          <cell r="F138" t="str">
            <v>4/26/2021</v>
          </cell>
          <cell r="H138" t="str">
            <v>MIVFN2023</v>
          </cell>
          <cell r="I138" t="str">
            <v>VIC</v>
          </cell>
          <cell r="J138" t="str">
            <v>Part Time</v>
          </cell>
          <cell r="K138" t="str">
            <v>4/26/2021</v>
          </cell>
          <cell r="L138" t="str">
            <v>4/26/2021</v>
          </cell>
        </row>
        <row r="139">
          <cell r="A139">
            <v>1270</v>
          </cell>
          <cell r="B139" t="str">
            <v>4/26/1999</v>
          </cell>
          <cell r="C139" t="str">
            <v>VIC-TAS</v>
          </cell>
          <cell r="D139" t="str">
            <v>Virtus Health</v>
          </cell>
          <cell r="E139" t="str">
            <v>Registered Nurse</v>
          </cell>
          <cell r="F139" t="str">
            <v>4/26/2021</v>
          </cell>
          <cell r="H139" t="str">
            <v>MIVFN2023</v>
          </cell>
          <cell r="I139" t="str">
            <v>VIC</v>
          </cell>
          <cell r="J139" t="str">
            <v>Full Time</v>
          </cell>
          <cell r="K139" t="str">
            <v>4/26/2021</v>
          </cell>
          <cell r="L139" t="str">
            <v>4/26/2021</v>
          </cell>
        </row>
        <row r="140">
          <cell r="A140">
            <v>1271</v>
          </cell>
          <cell r="B140" t="str">
            <v>4/26/1999</v>
          </cell>
          <cell r="C140" t="str">
            <v>VIC-TAS</v>
          </cell>
          <cell r="D140" t="str">
            <v>Virtus Health</v>
          </cell>
          <cell r="E140" t="str">
            <v>Clinical Nurse Specialist</v>
          </cell>
          <cell r="F140" t="str">
            <v>4/26/2021</v>
          </cell>
          <cell r="H140" t="str">
            <v>MIVFN2023</v>
          </cell>
          <cell r="I140" t="str">
            <v>VIC</v>
          </cell>
          <cell r="J140" t="str">
            <v>Part Time</v>
          </cell>
          <cell r="K140" t="str">
            <v>4/26/2021</v>
          </cell>
          <cell r="L140" t="str">
            <v>4/26/2021</v>
          </cell>
        </row>
        <row r="141">
          <cell r="A141">
            <v>1273</v>
          </cell>
          <cell r="B141" t="str">
            <v>6/14/1999</v>
          </cell>
          <cell r="C141" t="str">
            <v>VIC-TAS</v>
          </cell>
          <cell r="D141" t="str">
            <v>Virtus Health</v>
          </cell>
          <cell r="E141" t="str">
            <v>Genetic Counsellor</v>
          </cell>
          <cell r="F141" t="str">
            <v>6/14/2021</v>
          </cell>
          <cell r="H141" t="str">
            <v>MIVFC2021</v>
          </cell>
          <cell r="I141" t="str">
            <v>VIC</v>
          </cell>
          <cell r="J141" t="str">
            <v>Part Time</v>
          </cell>
          <cell r="K141" t="str">
            <v>6/14/2021</v>
          </cell>
          <cell r="L141" t="str">
            <v>6/14/2021</v>
          </cell>
        </row>
        <row r="142">
          <cell r="A142">
            <v>1275</v>
          </cell>
          <cell r="B142" t="str">
            <v>6/21/1999</v>
          </cell>
          <cell r="C142" t="str">
            <v>VIC-TAS</v>
          </cell>
          <cell r="D142" t="str">
            <v>Virtus Health</v>
          </cell>
          <cell r="E142" t="str">
            <v>Registered Nurse</v>
          </cell>
          <cell r="F142" t="str">
            <v>6/21/2021</v>
          </cell>
          <cell r="H142" t="str">
            <v>MIVFN2023</v>
          </cell>
          <cell r="I142" t="str">
            <v>VIC</v>
          </cell>
          <cell r="J142" t="str">
            <v>Part Time</v>
          </cell>
          <cell r="K142" t="str">
            <v>6/21/2021</v>
          </cell>
          <cell r="L142" t="str">
            <v>6/21/2021</v>
          </cell>
        </row>
        <row r="143">
          <cell r="A143">
            <v>1276</v>
          </cell>
          <cell r="B143">
            <v>36287</v>
          </cell>
          <cell r="C143" t="str">
            <v>VIC-TAS</v>
          </cell>
          <cell r="D143" t="str">
            <v>Virtus Health</v>
          </cell>
          <cell r="E143" t="str">
            <v>Counsellor</v>
          </cell>
          <cell r="F143">
            <v>44323</v>
          </cell>
          <cell r="H143" t="str">
            <v>MIVFC2021</v>
          </cell>
          <cell r="I143" t="str">
            <v>VIC</v>
          </cell>
          <cell r="J143" t="str">
            <v>Part Time</v>
          </cell>
          <cell r="K143">
            <v>44323</v>
          </cell>
          <cell r="L143">
            <v>44323</v>
          </cell>
        </row>
        <row r="144">
          <cell r="A144">
            <v>1277</v>
          </cell>
          <cell r="B144" t="str">
            <v>7/13/1999</v>
          </cell>
          <cell r="C144" t="str">
            <v>VIC-TAS</v>
          </cell>
          <cell r="D144" t="str">
            <v>Virtus Health</v>
          </cell>
          <cell r="E144" t="str">
            <v>Patient Care Co-ordinator</v>
          </cell>
          <cell r="F144" t="str">
            <v>7/13/2021</v>
          </cell>
          <cell r="H144" t="str">
            <v>MIVFS2022</v>
          </cell>
          <cell r="I144" t="str">
            <v>VIC</v>
          </cell>
          <cell r="J144" t="str">
            <v>Full Time</v>
          </cell>
          <cell r="K144" t="str">
            <v>7/13/2021</v>
          </cell>
          <cell r="L144" t="str">
            <v>7/13/2021</v>
          </cell>
        </row>
        <row r="145">
          <cell r="A145">
            <v>1281</v>
          </cell>
          <cell r="B145" t="str">
            <v>7/28/1999</v>
          </cell>
          <cell r="C145" t="str">
            <v>VIC-TAS</v>
          </cell>
          <cell r="D145" t="str">
            <v>Virtus Health</v>
          </cell>
          <cell r="E145" t="str">
            <v>Embryologist</v>
          </cell>
          <cell r="F145" t="str">
            <v>7/28/2021</v>
          </cell>
          <cell r="H145" t="str">
            <v>MIVFS2022</v>
          </cell>
          <cell r="I145" t="str">
            <v>VIC</v>
          </cell>
          <cell r="J145" t="str">
            <v>Full Time</v>
          </cell>
          <cell r="K145" t="str">
            <v>7/28/2021</v>
          </cell>
          <cell r="L145" t="str">
            <v>7/28/2021</v>
          </cell>
        </row>
        <row r="146">
          <cell r="A146">
            <v>1284</v>
          </cell>
          <cell r="B146">
            <v>36411</v>
          </cell>
          <cell r="C146" t="str">
            <v>VIC-TAS</v>
          </cell>
          <cell r="D146" t="str">
            <v>Virtus Health</v>
          </cell>
          <cell r="E146" t="str">
            <v>Embryologist</v>
          </cell>
          <cell r="F146">
            <v>44447</v>
          </cell>
          <cell r="H146" t="str">
            <v>MIVFS2022</v>
          </cell>
          <cell r="I146" t="str">
            <v>VIC</v>
          </cell>
          <cell r="J146" t="str">
            <v>Full Time</v>
          </cell>
          <cell r="K146">
            <v>44447</v>
          </cell>
          <cell r="L146">
            <v>44447</v>
          </cell>
        </row>
        <row r="147">
          <cell r="A147">
            <v>1286</v>
          </cell>
          <cell r="B147">
            <v>36501</v>
          </cell>
          <cell r="C147" t="str">
            <v>VIC-TAS</v>
          </cell>
          <cell r="D147" t="str">
            <v>Virtus Health</v>
          </cell>
          <cell r="E147" t="str">
            <v>Managing Medical Director TasIVF</v>
          </cell>
          <cell r="F147">
            <v>44537</v>
          </cell>
          <cell r="H147" t="str">
            <v>VIC</v>
          </cell>
          <cell r="I147" t="str">
            <v>VIC</v>
          </cell>
          <cell r="J147" t="str">
            <v>Part Time</v>
          </cell>
          <cell r="K147">
            <v>44537</v>
          </cell>
          <cell r="L147">
            <v>44537</v>
          </cell>
        </row>
        <row r="148">
          <cell r="A148">
            <v>1293</v>
          </cell>
          <cell r="B148">
            <v>36320</v>
          </cell>
          <cell r="C148" t="str">
            <v>VIC-TAS</v>
          </cell>
          <cell r="D148" t="str">
            <v>Virtus Health</v>
          </cell>
          <cell r="E148" t="str">
            <v>Registered Nurse</v>
          </cell>
          <cell r="F148">
            <v>44356</v>
          </cell>
          <cell r="H148" t="str">
            <v>MIVFN2023</v>
          </cell>
          <cell r="I148" t="str">
            <v>VIC</v>
          </cell>
          <cell r="J148" t="str">
            <v>Part Time</v>
          </cell>
          <cell r="K148">
            <v>44356</v>
          </cell>
          <cell r="L148">
            <v>44356</v>
          </cell>
        </row>
        <row r="149">
          <cell r="A149">
            <v>1300</v>
          </cell>
          <cell r="B149" t="str">
            <v>9/21/1999</v>
          </cell>
          <cell r="C149" t="str">
            <v>VIC-TAS</v>
          </cell>
          <cell r="D149" t="str">
            <v>Virtus Health</v>
          </cell>
          <cell r="E149" t="str">
            <v>Administration Clerk</v>
          </cell>
          <cell r="F149" t="str">
            <v>9/21/2021</v>
          </cell>
          <cell r="H149" t="str">
            <v>MIVFS2022</v>
          </cell>
          <cell r="I149" t="str">
            <v>VIC</v>
          </cell>
          <cell r="J149" t="str">
            <v>Part Time</v>
          </cell>
          <cell r="K149" t="str">
            <v>9/21/2021</v>
          </cell>
          <cell r="L149" t="str">
            <v>9/21/2021</v>
          </cell>
        </row>
        <row r="150">
          <cell r="A150">
            <v>1302</v>
          </cell>
          <cell r="B150" t="str">
            <v>9/22/1999</v>
          </cell>
          <cell r="C150" t="str">
            <v>VIC-TAS</v>
          </cell>
          <cell r="D150" t="str">
            <v>Virtus Health</v>
          </cell>
          <cell r="E150" t="str">
            <v>Lead Chemical Pathologist</v>
          </cell>
          <cell r="F150" t="str">
            <v>9/22/2021</v>
          </cell>
          <cell r="H150" t="str">
            <v>ACT</v>
          </cell>
          <cell r="I150" t="str">
            <v>ACT</v>
          </cell>
          <cell r="J150" t="str">
            <v>Full Time</v>
          </cell>
          <cell r="K150" t="str">
            <v>9/22/2021</v>
          </cell>
          <cell r="L150" t="str">
            <v>9/22/2021</v>
          </cell>
        </row>
        <row r="151">
          <cell r="A151">
            <v>1310</v>
          </cell>
          <cell r="B151" t="str">
            <v>10/18/1999</v>
          </cell>
          <cell r="C151" t="str">
            <v>VIC-TAS</v>
          </cell>
          <cell r="D151" t="str">
            <v>Virtus Health</v>
          </cell>
          <cell r="E151" t="str">
            <v>Genetics Scientist</v>
          </cell>
          <cell r="F151" t="str">
            <v>10/18/2021</v>
          </cell>
          <cell r="H151" t="str">
            <v>MIVFS2022</v>
          </cell>
          <cell r="I151" t="str">
            <v>VIC</v>
          </cell>
          <cell r="J151" t="str">
            <v>Full Time</v>
          </cell>
          <cell r="K151" t="str">
            <v>10/18/2021</v>
          </cell>
          <cell r="L151" t="str">
            <v>10/18/2021</v>
          </cell>
        </row>
        <row r="152">
          <cell r="A152">
            <v>1311</v>
          </cell>
          <cell r="B152">
            <v>36474</v>
          </cell>
          <cell r="C152" t="str">
            <v>VIC-TAS</v>
          </cell>
          <cell r="D152" t="str">
            <v>Virtus Health</v>
          </cell>
          <cell r="E152" t="str">
            <v>Embryologist</v>
          </cell>
          <cell r="F152">
            <v>44510</v>
          </cell>
          <cell r="H152" t="str">
            <v>MIVFS2022</v>
          </cell>
          <cell r="I152" t="str">
            <v>VIC</v>
          </cell>
          <cell r="J152" t="str">
            <v>Full Time</v>
          </cell>
          <cell r="K152">
            <v>44510</v>
          </cell>
          <cell r="L152">
            <v>44510</v>
          </cell>
        </row>
        <row r="153">
          <cell r="A153">
            <v>1313</v>
          </cell>
          <cell r="B153">
            <v>36230</v>
          </cell>
          <cell r="C153" t="str">
            <v>VIC-TAS</v>
          </cell>
          <cell r="D153" t="str">
            <v>Virtus Health</v>
          </cell>
          <cell r="E153" t="str">
            <v>Accounts Receivable Administrator</v>
          </cell>
          <cell r="F153">
            <v>44266</v>
          </cell>
          <cell r="H153" t="str">
            <v>MIVFS2022</v>
          </cell>
          <cell r="I153" t="str">
            <v>VIC</v>
          </cell>
          <cell r="J153" t="str">
            <v>Full Time</v>
          </cell>
          <cell r="K153">
            <v>44266</v>
          </cell>
          <cell r="L153">
            <v>44266</v>
          </cell>
        </row>
        <row r="154">
          <cell r="A154">
            <v>1316</v>
          </cell>
          <cell r="B154">
            <v>36230</v>
          </cell>
          <cell r="C154" t="str">
            <v>VIC-TAS</v>
          </cell>
          <cell r="D154" t="str">
            <v>Virtus Health</v>
          </cell>
          <cell r="E154" t="str">
            <v>Genetics Scientist</v>
          </cell>
          <cell r="F154">
            <v>44266</v>
          </cell>
          <cell r="H154" t="str">
            <v>MIVFS2022</v>
          </cell>
          <cell r="I154" t="str">
            <v>VIC</v>
          </cell>
          <cell r="J154" t="str">
            <v>Full Time</v>
          </cell>
          <cell r="K154">
            <v>44266</v>
          </cell>
          <cell r="L154">
            <v>44266</v>
          </cell>
        </row>
        <row r="155">
          <cell r="A155">
            <v>1317</v>
          </cell>
          <cell r="B155">
            <v>36230</v>
          </cell>
          <cell r="C155" t="str">
            <v>VIC-TAS</v>
          </cell>
          <cell r="D155" t="str">
            <v>Virtus Health</v>
          </cell>
          <cell r="E155" t="str">
            <v>Genetics Scientist</v>
          </cell>
          <cell r="F155">
            <v>44266</v>
          </cell>
          <cell r="H155" t="str">
            <v>MIVFS2022</v>
          </cell>
          <cell r="I155" t="str">
            <v>VIC</v>
          </cell>
          <cell r="J155" t="str">
            <v>Full Time</v>
          </cell>
          <cell r="K155">
            <v>44266</v>
          </cell>
          <cell r="L155">
            <v>44266</v>
          </cell>
        </row>
        <row r="156">
          <cell r="A156">
            <v>1320</v>
          </cell>
          <cell r="B156" t="str">
            <v>11/15/1999</v>
          </cell>
          <cell r="C156" t="str">
            <v>VIC-TAS</v>
          </cell>
          <cell r="D156" t="str">
            <v>Virtus Health</v>
          </cell>
          <cell r="E156" t="str">
            <v>Genetics Scientist</v>
          </cell>
          <cell r="F156" t="str">
            <v>11/15/2021</v>
          </cell>
          <cell r="H156" t="str">
            <v>MIVFS2022</v>
          </cell>
          <cell r="I156" t="str">
            <v>VIC</v>
          </cell>
          <cell r="J156" t="str">
            <v>Full Time</v>
          </cell>
          <cell r="K156" t="str">
            <v>11/15/2021</v>
          </cell>
          <cell r="L156" t="str">
            <v>11/15/2021</v>
          </cell>
        </row>
        <row r="157">
          <cell r="A157">
            <v>1324</v>
          </cell>
          <cell r="B157" t="str">
            <v>11/22/1999</v>
          </cell>
          <cell r="C157" t="str">
            <v>VIC-TAS</v>
          </cell>
          <cell r="D157" t="str">
            <v>Virtus Health</v>
          </cell>
          <cell r="E157" t="str">
            <v>Registered Nurse</v>
          </cell>
          <cell r="F157" t="str">
            <v>11/22/2021</v>
          </cell>
          <cell r="H157" t="str">
            <v>MIVFN2023</v>
          </cell>
          <cell r="I157" t="str">
            <v>VIC</v>
          </cell>
          <cell r="J157" t="str">
            <v>Casual</v>
          </cell>
          <cell r="K157" t="str">
            <v>11/22/2021</v>
          </cell>
          <cell r="L157" t="str">
            <v>11/22/2021</v>
          </cell>
        </row>
        <row r="158">
          <cell r="A158">
            <v>1326</v>
          </cell>
          <cell r="B158" t="str">
            <v>11/22/1999</v>
          </cell>
          <cell r="C158" t="str">
            <v>VIC-TAS</v>
          </cell>
          <cell r="D158" t="str">
            <v>Virtus Health</v>
          </cell>
          <cell r="E158" t="str">
            <v>Receptionist</v>
          </cell>
          <cell r="F158" t="str">
            <v>11/22/2021</v>
          </cell>
          <cell r="H158" t="str">
            <v>MIVFS2022</v>
          </cell>
          <cell r="I158" t="str">
            <v>VIC</v>
          </cell>
          <cell r="J158" t="str">
            <v>Full Time</v>
          </cell>
          <cell r="K158" t="str">
            <v>11/22/2021</v>
          </cell>
          <cell r="L158" t="str">
            <v>11/22/2021</v>
          </cell>
        </row>
        <row r="159">
          <cell r="A159">
            <v>1331</v>
          </cell>
          <cell r="B159" t="str">
            <v>12/22/1999</v>
          </cell>
          <cell r="C159" t="str">
            <v>VIC-TAS</v>
          </cell>
          <cell r="D159" t="str">
            <v>Virtus Health</v>
          </cell>
          <cell r="E159" t="str">
            <v>Medical Records Administrator</v>
          </cell>
          <cell r="F159" t="str">
            <v>12/22/2021</v>
          </cell>
          <cell r="H159" t="str">
            <v>MIVFS2022</v>
          </cell>
          <cell r="I159" t="str">
            <v>VIC</v>
          </cell>
          <cell r="J159" t="str">
            <v>Full Time</v>
          </cell>
          <cell r="K159" t="str">
            <v>12/22/2021</v>
          </cell>
          <cell r="L159" t="str">
            <v>12/22/2021</v>
          </cell>
        </row>
        <row r="160">
          <cell r="A160">
            <v>1332</v>
          </cell>
          <cell r="B160">
            <v>36709</v>
          </cell>
          <cell r="C160" t="str">
            <v>VIC-TAS</v>
          </cell>
          <cell r="D160" t="str">
            <v>Virtus Health</v>
          </cell>
          <cell r="E160" t="str">
            <v>Clinical Nurse Specialist</v>
          </cell>
          <cell r="F160">
            <v>44744</v>
          </cell>
          <cell r="H160" t="str">
            <v>MIVFN2023</v>
          </cell>
          <cell r="I160" t="str">
            <v>VIC</v>
          </cell>
          <cell r="J160" t="str">
            <v>Full Time</v>
          </cell>
          <cell r="K160">
            <v>44744</v>
          </cell>
          <cell r="L160">
            <v>44744</v>
          </cell>
        </row>
        <row r="161">
          <cell r="A161">
            <v>1334</v>
          </cell>
          <cell r="B161">
            <v>36709</v>
          </cell>
          <cell r="C161" t="str">
            <v>VIC-TAS</v>
          </cell>
          <cell r="D161" t="str">
            <v>Virtus Health</v>
          </cell>
          <cell r="E161" t="str">
            <v>Revenue and Billing Team Leader</v>
          </cell>
          <cell r="F161">
            <v>44744</v>
          </cell>
          <cell r="H161" t="str">
            <v>MIVFS2022</v>
          </cell>
          <cell r="I161" t="str">
            <v>VIC</v>
          </cell>
          <cell r="J161" t="str">
            <v>Full Time</v>
          </cell>
          <cell r="K161">
            <v>44744</v>
          </cell>
          <cell r="L161">
            <v>44744</v>
          </cell>
        </row>
        <row r="162">
          <cell r="A162">
            <v>1338</v>
          </cell>
          <cell r="B162">
            <v>36709</v>
          </cell>
          <cell r="C162" t="str">
            <v>VIC-TAS</v>
          </cell>
          <cell r="D162" t="str">
            <v>Virtus Health</v>
          </cell>
          <cell r="E162" t="str">
            <v>Registered Nurse</v>
          </cell>
          <cell r="F162">
            <v>44744</v>
          </cell>
          <cell r="H162" t="str">
            <v>MIVFN2023</v>
          </cell>
          <cell r="I162" t="str">
            <v>VIC</v>
          </cell>
          <cell r="J162" t="str">
            <v>Part Time</v>
          </cell>
          <cell r="K162">
            <v>44744</v>
          </cell>
          <cell r="L162">
            <v>44744</v>
          </cell>
        </row>
        <row r="163">
          <cell r="A163">
            <v>1441</v>
          </cell>
          <cell r="B163" t="str">
            <v>11/25/1999</v>
          </cell>
          <cell r="C163" t="str">
            <v>VIC-TAS</v>
          </cell>
          <cell r="D163" t="str">
            <v>Virtus Health</v>
          </cell>
          <cell r="E163" t="str">
            <v>Enrolled Nurse</v>
          </cell>
          <cell r="F163" t="str">
            <v>11/25/2021</v>
          </cell>
          <cell r="H163" t="str">
            <v>MIVFN2023</v>
          </cell>
          <cell r="I163" t="str">
            <v>VIC</v>
          </cell>
          <cell r="J163" t="str">
            <v>Casual</v>
          </cell>
          <cell r="K163" t="str">
            <v>11/25/2021</v>
          </cell>
          <cell r="L163" t="str">
            <v>11/25/2021</v>
          </cell>
        </row>
        <row r="164">
          <cell r="A164">
            <v>1445</v>
          </cell>
          <cell r="B164" t="str">
            <v>2/21/2000</v>
          </cell>
          <cell r="C164" t="str">
            <v>VIC-TAS</v>
          </cell>
          <cell r="D164" t="str">
            <v>Virtus Health</v>
          </cell>
          <cell r="E164" t="str">
            <v>Administration Team Leader</v>
          </cell>
          <cell r="F164" t="str">
            <v>2/21/2022</v>
          </cell>
          <cell r="H164" t="str">
            <v>MIVFS2022</v>
          </cell>
          <cell r="I164" t="str">
            <v>VIC</v>
          </cell>
          <cell r="J164" t="str">
            <v>Full Time</v>
          </cell>
          <cell r="K164" t="str">
            <v>2/21/2022</v>
          </cell>
          <cell r="L164" t="str">
            <v>2/21/2022</v>
          </cell>
        </row>
        <row r="165">
          <cell r="A165">
            <v>1449</v>
          </cell>
          <cell r="B165" t="str">
            <v>3/20/2000</v>
          </cell>
          <cell r="C165" t="str">
            <v>VIC-TAS</v>
          </cell>
          <cell r="D165" t="str">
            <v>Virtus Health</v>
          </cell>
          <cell r="E165" t="str">
            <v>Genetic Counsellor</v>
          </cell>
          <cell r="F165" t="str">
            <v>3/21/2022</v>
          </cell>
          <cell r="H165" t="str">
            <v>MIVFC2021</v>
          </cell>
          <cell r="I165" t="str">
            <v>VIC</v>
          </cell>
          <cell r="J165" t="str">
            <v>Part Time</v>
          </cell>
          <cell r="K165" t="str">
            <v>3/21/2022</v>
          </cell>
          <cell r="L165" t="str">
            <v>3/21/2022</v>
          </cell>
        </row>
        <row r="166">
          <cell r="A166">
            <v>1456</v>
          </cell>
          <cell r="B166" t="str">
            <v>3/29/2000</v>
          </cell>
          <cell r="C166" t="str">
            <v>VIC-TAS</v>
          </cell>
          <cell r="D166" t="str">
            <v>Virtus Health</v>
          </cell>
          <cell r="E166" t="str">
            <v>Registered Nurse</v>
          </cell>
          <cell r="F166" t="str">
            <v>3/30/2022</v>
          </cell>
          <cell r="H166" t="str">
            <v>MIVFN2023</v>
          </cell>
          <cell r="I166" t="str">
            <v>VIC</v>
          </cell>
          <cell r="J166" t="str">
            <v>Part Time</v>
          </cell>
          <cell r="K166" t="str">
            <v>3/30/2022</v>
          </cell>
          <cell r="L166" t="str">
            <v>3/30/2022</v>
          </cell>
        </row>
        <row r="167">
          <cell r="A167">
            <v>1457</v>
          </cell>
          <cell r="B167">
            <v>36589</v>
          </cell>
          <cell r="C167" t="str">
            <v>VIC-TAS</v>
          </cell>
          <cell r="D167" t="str">
            <v>Virtus Health</v>
          </cell>
          <cell r="E167" t="str">
            <v>New Patient Care Consultant</v>
          </cell>
          <cell r="F167">
            <v>44655</v>
          </cell>
          <cell r="H167" t="str">
            <v>MIVFS2022</v>
          </cell>
          <cell r="I167" t="str">
            <v>VIC</v>
          </cell>
          <cell r="J167" t="str">
            <v>Part Time</v>
          </cell>
          <cell r="K167">
            <v>44655</v>
          </cell>
          <cell r="L167">
            <v>44655</v>
          </cell>
        </row>
        <row r="168">
          <cell r="A168">
            <v>1458</v>
          </cell>
          <cell r="B168" t="str">
            <v>3/29/2000</v>
          </cell>
          <cell r="C168" t="str">
            <v>VIC-TAS</v>
          </cell>
          <cell r="D168" t="str">
            <v>Virtus Health</v>
          </cell>
          <cell r="E168" t="str">
            <v>Registered Nurse</v>
          </cell>
          <cell r="F168" t="str">
            <v>3/30/2022</v>
          </cell>
          <cell r="H168" t="str">
            <v>MIVFN2023</v>
          </cell>
          <cell r="I168" t="str">
            <v>VIC</v>
          </cell>
          <cell r="J168" t="str">
            <v>Part Time</v>
          </cell>
          <cell r="K168" t="str">
            <v>3/30/2022</v>
          </cell>
          <cell r="L168" t="str">
            <v>3/30/2022</v>
          </cell>
        </row>
        <row r="169">
          <cell r="A169">
            <v>1459</v>
          </cell>
          <cell r="B169" t="str">
            <v>3/27/2000</v>
          </cell>
          <cell r="C169" t="str">
            <v>VIC-TAS</v>
          </cell>
          <cell r="D169" t="str">
            <v>Virtus Health</v>
          </cell>
          <cell r="E169" t="str">
            <v>Registered Nurse</v>
          </cell>
          <cell r="F169" t="str">
            <v>3/28/2022</v>
          </cell>
          <cell r="H169" t="str">
            <v>MIVFN2023</v>
          </cell>
          <cell r="I169" t="str">
            <v>VIC</v>
          </cell>
          <cell r="J169" t="str">
            <v>Casual</v>
          </cell>
          <cell r="K169" t="str">
            <v>3/28/2022</v>
          </cell>
          <cell r="L169" t="str">
            <v>3/28/2022</v>
          </cell>
        </row>
        <row r="170">
          <cell r="A170">
            <v>1464</v>
          </cell>
          <cell r="B170">
            <v>36530</v>
          </cell>
          <cell r="C170" t="str">
            <v>VIC-TAS</v>
          </cell>
          <cell r="D170" t="str">
            <v>Virtus Health</v>
          </cell>
          <cell r="E170" t="str">
            <v>Registered Nurse</v>
          </cell>
          <cell r="F170">
            <v>44597</v>
          </cell>
          <cell r="H170" t="str">
            <v>MIVFN2023</v>
          </cell>
          <cell r="I170" t="str">
            <v>VIC</v>
          </cell>
          <cell r="J170" t="str">
            <v>Part Time</v>
          </cell>
          <cell r="K170">
            <v>44597</v>
          </cell>
          <cell r="L170">
            <v>44597</v>
          </cell>
        </row>
        <row r="171">
          <cell r="A171">
            <v>1468</v>
          </cell>
          <cell r="B171">
            <v>36743</v>
          </cell>
          <cell r="C171" t="str">
            <v>VIC-TAS</v>
          </cell>
          <cell r="D171" t="str">
            <v>Virtus Health</v>
          </cell>
          <cell r="E171" t="str">
            <v>Embryologist</v>
          </cell>
          <cell r="F171">
            <v>44809</v>
          </cell>
          <cell r="H171" t="str">
            <v>MIVFS2022</v>
          </cell>
          <cell r="I171" t="str">
            <v>VIC</v>
          </cell>
          <cell r="J171" t="str">
            <v>Full Time</v>
          </cell>
          <cell r="K171">
            <v>44809</v>
          </cell>
          <cell r="L171">
            <v>44809</v>
          </cell>
        </row>
        <row r="172">
          <cell r="A172">
            <v>1469</v>
          </cell>
          <cell r="B172">
            <v>36743</v>
          </cell>
          <cell r="C172" t="str">
            <v>VIC-TAS</v>
          </cell>
          <cell r="D172" t="str">
            <v>Virtus Health</v>
          </cell>
          <cell r="E172" t="str">
            <v>Embryologist</v>
          </cell>
          <cell r="F172">
            <v>44809</v>
          </cell>
          <cell r="H172" t="str">
            <v>MIVFS2022</v>
          </cell>
          <cell r="I172" t="str">
            <v>VIC</v>
          </cell>
          <cell r="J172" t="str">
            <v>Full Time</v>
          </cell>
          <cell r="K172">
            <v>44809</v>
          </cell>
          <cell r="L172">
            <v>44809</v>
          </cell>
        </row>
        <row r="173">
          <cell r="A173">
            <v>1472</v>
          </cell>
          <cell r="B173" t="str">
            <v>5/15/2000</v>
          </cell>
          <cell r="C173" t="str">
            <v>VIC-TAS</v>
          </cell>
          <cell r="D173" t="str">
            <v>Virtus Health</v>
          </cell>
          <cell r="E173" t="str">
            <v>Courier</v>
          </cell>
          <cell r="F173" t="str">
            <v>5/16/2022</v>
          </cell>
          <cell r="H173" t="str">
            <v>IVFS2023</v>
          </cell>
          <cell r="I173" t="str">
            <v>VIC</v>
          </cell>
          <cell r="J173" t="str">
            <v>Part Time</v>
          </cell>
          <cell r="K173" t="str">
            <v>5/16/2022</v>
          </cell>
          <cell r="L173" t="str">
            <v>5/16/2022</v>
          </cell>
        </row>
        <row r="174">
          <cell r="A174">
            <v>19009</v>
          </cell>
          <cell r="B174">
            <v>28826</v>
          </cell>
          <cell r="C174" t="str">
            <v>NSW-QLD</v>
          </cell>
          <cell r="D174" t="str">
            <v>Virtus Health</v>
          </cell>
          <cell r="E174" t="str">
            <v xml:space="preserve">Senior Technology Operations Manager </v>
          </cell>
          <cell r="F174" t="str">
            <v>2/13/2000</v>
          </cell>
          <cell r="H174" t="str">
            <v>VIC</v>
          </cell>
          <cell r="I174" t="str">
            <v>VIC</v>
          </cell>
          <cell r="J174" t="str">
            <v>Full Time</v>
          </cell>
          <cell r="K174" t="str">
            <v>2/13/2000</v>
          </cell>
          <cell r="L174">
            <v>41976</v>
          </cell>
        </row>
        <row r="175">
          <cell r="A175">
            <v>19010</v>
          </cell>
          <cell r="B175" t="str">
            <v>3/23/1992</v>
          </cell>
          <cell r="C175" t="str">
            <v>NSW-QLD</v>
          </cell>
          <cell r="D175" t="str">
            <v>Virtus Health</v>
          </cell>
          <cell r="E175" t="str">
            <v>System Administrator</v>
          </cell>
          <cell r="F175" t="str">
            <v>3/24/2014</v>
          </cell>
          <cell r="H175" t="str">
            <v>VIC</v>
          </cell>
          <cell r="I175" t="str">
            <v>VIC</v>
          </cell>
          <cell r="J175" t="str">
            <v>Full Time</v>
          </cell>
          <cell r="K175" t="str">
            <v>3/24/2014</v>
          </cell>
          <cell r="L175" t="str">
            <v>3/24/2014</v>
          </cell>
        </row>
        <row r="176">
          <cell r="A176">
            <v>19050</v>
          </cell>
          <cell r="B176" t="str">
            <v>1/24/2000</v>
          </cell>
          <cell r="C176" t="str">
            <v>NSW-QLD</v>
          </cell>
          <cell r="D176" t="str">
            <v>Virtus Health</v>
          </cell>
          <cell r="E176" t="str">
            <v>Senior Data Analyst</v>
          </cell>
          <cell r="F176" t="str">
            <v>1/24/2022</v>
          </cell>
          <cell r="H176" t="str">
            <v>VIC</v>
          </cell>
          <cell r="I176" t="str">
            <v>VIC</v>
          </cell>
          <cell r="J176" t="str">
            <v>Full Time</v>
          </cell>
          <cell r="K176" t="str">
            <v>1/24/2022</v>
          </cell>
          <cell r="L176" t="str">
            <v>1/24/2022</v>
          </cell>
        </row>
        <row r="177">
          <cell r="A177">
            <v>19055</v>
          </cell>
          <cell r="B177" t="str">
            <v>2/21/2000</v>
          </cell>
          <cell r="C177" t="str">
            <v>NSW-QLD</v>
          </cell>
          <cell r="D177" t="str">
            <v>Virtus Health</v>
          </cell>
          <cell r="E177" t="str">
            <v>Data And Application Quality Assurance Manager</v>
          </cell>
          <cell r="F177" t="str">
            <v>2/21/2022</v>
          </cell>
          <cell r="H177" t="str">
            <v>VIC</v>
          </cell>
          <cell r="I177" t="str">
            <v>VIC</v>
          </cell>
          <cell r="J177" t="str">
            <v>Full Time</v>
          </cell>
          <cell r="K177" t="str">
            <v>2/21/2022</v>
          </cell>
          <cell r="L177" t="str">
            <v>2/21/2022</v>
          </cell>
        </row>
        <row r="178">
          <cell r="A178">
            <v>19801</v>
          </cell>
          <cell r="B178">
            <v>32144</v>
          </cell>
          <cell r="C178" t="str">
            <v>NSW-QLD</v>
          </cell>
          <cell r="D178" t="str">
            <v>Virtus Health</v>
          </cell>
          <cell r="E178" t="str">
            <v>Embryologist</v>
          </cell>
          <cell r="F178">
            <v>40180</v>
          </cell>
          <cell r="H178" t="str">
            <v>IVFT2024</v>
          </cell>
          <cell r="I178" t="str">
            <v>NSW</v>
          </cell>
          <cell r="J178" t="str">
            <v>Full Time</v>
          </cell>
          <cell r="K178">
            <v>40180</v>
          </cell>
          <cell r="L178">
            <v>40180</v>
          </cell>
        </row>
        <row r="179">
          <cell r="A179">
            <v>19802</v>
          </cell>
          <cell r="B179">
            <v>29739</v>
          </cell>
          <cell r="C179" t="str">
            <v>NSW-QLD</v>
          </cell>
          <cell r="D179" t="str">
            <v>Virtus Health</v>
          </cell>
          <cell r="E179" t="str">
            <v>Nurse Unit Manager</v>
          </cell>
          <cell r="F179">
            <v>37804</v>
          </cell>
          <cell r="H179" t="str">
            <v>IVFN2021</v>
          </cell>
          <cell r="I179" t="str">
            <v>NSW</v>
          </cell>
          <cell r="J179" t="str">
            <v>Full Time</v>
          </cell>
          <cell r="K179">
            <v>37804</v>
          </cell>
          <cell r="L179">
            <v>37804</v>
          </cell>
        </row>
        <row r="180">
          <cell r="A180">
            <v>19808</v>
          </cell>
          <cell r="B180" t="str">
            <v>4/19/1982</v>
          </cell>
          <cell r="C180" t="str">
            <v>NSW-QLD</v>
          </cell>
          <cell r="D180" t="str">
            <v>Virtus Health</v>
          </cell>
          <cell r="E180" t="str">
            <v>Counsellor</v>
          </cell>
          <cell r="F180" t="str">
            <v>4/19/2004</v>
          </cell>
          <cell r="H180" t="str">
            <v>IVFC2022</v>
          </cell>
          <cell r="I180" t="str">
            <v>NSW</v>
          </cell>
          <cell r="J180" t="str">
            <v>Part Time</v>
          </cell>
          <cell r="K180" t="str">
            <v>4/19/2004</v>
          </cell>
          <cell r="L180" t="str">
            <v>4/19/2004</v>
          </cell>
        </row>
        <row r="181">
          <cell r="A181">
            <v>19810</v>
          </cell>
          <cell r="B181" t="str">
            <v>9/24/1984</v>
          </cell>
          <cell r="C181" t="str">
            <v>NSW-QLD</v>
          </cell>
          <cell r="D181" t="str">
            <v>Virtus Health</v>
          </cell>
          <cell r="E181" t="str">
            <v>Laboratory Supervisor</v>
          </cell>
          <cell r="F181" t="str">
            <v>9/25/2006</v>
          </cell>
          <cell r="H181" t="str">
            <v>NSW</v>
          </cell>
          <cell r="I181" t="str">
            <v>NSW</v>
          </cell>
          <cell r="J181" t="str">
            <v>Part Time</v>
          </cell>
          <cell r="K181" t="str">
            <v>9/25/2006</v>
          </cell>
          <cell r="L181" t="str">
            <v>9/25/2006</v>
          </cell>
        </row>
        <row r="182">
          <cell r="A182">
            <v>19811</v>
          </cell>
          <cell r="B182">
            <v>32185</v>
          </cell>
          <cell r="C182" t="str">
            <v>NSW-QLD</v>
          </cell>
          <cell r="D182" t="str">
            <v>Virtus Health</v>
          </cell>
          <cell r="E182" t="str">
            <v>Administration Manager</v>
          </cell>
          <cell r="F182">
            <v>40249</v>
          </cell>
          <cell r="H182" t="str">
            <v>IVFS2023</v>
          </cell>
          <cell r="I182" t="str">
            <v>NSW</v>
          </cell>
          <cell r="J182" t="str">
            <v>Full Time</v>
          </cell>
          <cell r="K182">
            <v>40249</v>
          </cell>
          <cell r="L182">
            <v>40249</v>
          </cell>
        </row>
        <row r="183">
          <cell r="A183">
            <v>19813</v>
          </cell>
          <cell r="B183" t="str">
            <v>1/13/1987</v>
          </cell>
          <cell r="C183" t="str">
            <v>NSW-QLD</v>
          </cell>
          <cell r="D183" t="str">
            <v>Virtus Health</v>
          </cell>
          <cell r="E183" t="str">
            <v>Senior Embryologist</v>
          </cell>
          <cell r="F183" t="str">
            <v>1/13/2009</v>
          </cell>
          <cell r="G183">
            <v>45483</v>
          </cell>
          <cell r="H183" t="str">
            <v>IVFT2024</v>
          </cell>
          <cell r="I183" t="str">
            <v>NSW</v>
          </cell>
          <cell r="J183" t="str">
            <v>Part Time</v>
          </cell>
          <cell r="K183" t="str">
            <v>1/13/2009</v>
          </cell>
          <cell r="L183" t="str">
            <v>1/13/2009</v>
          </cell>
        </row>
        <row r="184">
          <cell r="A184">
            <v>19813</v>
          </cell>
          <cell r="B184" t="str">
            <v>1/13/1987</v>
          </cell>
          <cell r="C184" t="str">
            <v>NSW-QLD</v>
          </cell>
          <cell r="D184" t="str">
            <v>Virtus Health</v>
          </cell>
          <cell r="E184" t="str">
            <v>Senior Embryologist</v>
          </cell>
          <cell r="F184">
            <v>45514</v>
          </cell>
          <cell r="H184" t="str">
            <v>IVFT2024</v>
          </cell>
          <cell r="I184" t="str">
            <v>NSW</v>
          </cell>
          <cell r="J184" t="str">
            <v>Part Time</v>
          </cell>
          <cell r="K184" t="str">
            <v>1/13/2009</v>
          </cell>
          <cell r="L184" t="str">
            <v>1/13/2009</v>
          </cell>
        </row>
        <row r="185">
          <cell r="A185">
            <v>20016</v>
          </cell>
          <cell r="B185">
            <v>31810</v>
          </cell>
          <cell r="C185" t="str">
            <v>NSW-QLD</v>
          </cell>
          <cell r="D185" t="str">
            <v>Virtus Health</v>
          </cell>
          <cell r="E185" t="str">
            <v>Senior Scientist</v>
          </cell>
          <cell r="F185">
            <v>39846</v>
          </cell>
          <cell r="G185">
            <v>44986</v>
          </cell>
          <cell r="H185" t="str">
            <v>IVFT2024</v>
          </cell>
          <cell r="I185" t="str">
            <v>NSW</v>
          </cell>
          <cell r="J185" t="str">
            <v>Part Time</v>
          </cell>
          <cell r="K185">
            <v>39846</v>
          </cell>
          <cell r="L185">
            <v>39846</v>
          </cell>
        </row>
        <row r="186">
          <cell r="A186">
            <v>20016</v>
          </cell>
          <cell r="B186">
            <v>31810</v>
          </cell>
          <cell r="C186" t="str">
            <v>NSW-QLD</v>
          </cell>
          <cell r="D186" t="str">
            <v>Virtus Health</v>
          </cell>
          <cell r="E186" t="str">
            <v>Senior Scientist</v>
          </cell>
          <cell r="F186">
            <v>45017</v>
          </cell>
          <cell r="H186" t="str">
            <v>IVFT2024</v>
          </cell>
          <cell r="I186" t="str">
            <v>NSW</v>
          </cell>
          <cell r="J186" t="str">
            <v>Part Time</v>
          </cell>
          <cell r="K186">
            <v>39846</v>
          </cell>
          <cell r="L186">
            <v>39846</v>
          </cell>
        </row>
        <row r="187">
          <cell r="A187">
            <v>20021</v>
          </cell>
          <cell r="B187" t="str">
            <v>3/23/1986</v>
          </cell>
          <cell r="C187" t="str">
            <v>NSW-QLD</v>
          </cell>
          <cell r="D187" t="str">
            <v>Virtus Health</v>
          </cell>
          <cell r="E187" t="str">
            <v>Laboratory Supervisor</v>
          </cell>
          <cell r="F187" t="str">
            <v>3/23/2008</v>
          </cell>
          <cell r="H187" t="str">
            <v>NSW</v>
          </cell>
          <cell r="I187" t="str">
            <v>NSW</v>
          </cell>
          <cell r="J187" t="str">
            <v>Full Time</v>
          </cell>
          <cell r="K187" t="str">
            <v>3/23/2008</v>
          </cell>
          <cell r="L187" t="str">
            <v>3/23/2008</v>
          </cell>
        </row>
        <row r="188">
          <cell r="A188">
            <v>20033</v>
          </cell>
          <cell r="B188">
            <v>31661</v>
          </cell>
          <cell r="C188" t="str">
            <v>NSW-QLD</v>
          </cell>
          <cell r="D188" t="str">
            <v>Virtus Health</v>
          </cell>
          <cell r="E188" t="str">
            <v>Administration</v>
          </cell>
          <cell r="F188">
            <v>39697</v>
          </cell>
          <cell r="H188" t="str">
            <v>IVFS2023</v>
          </cell>
          <cell r="I188" t="str">
            <v>NSW</v>
          </cell>
          <cell r="J188" t="str">
            <v>Full Time</v>
          </cell>
          <cell r="K188">
            <v>39697</v>
          </cell>
          <cell r="L188">
            <v>39697</v>
          </cell>
        </row>
        <row r="189">
          <cell r="A189">
            <v>20038</v>
          </cell>
          <cell r="B189" t="str">
            <v>6/16/1982</v>
          </cell>
          <cell r="C189" t="str">
            <v>NSW-QLD</v>
          </cell>
          <cell r="D189" t="str">
            <v>Virtus Health</v>
          </cell>
          <cell r="E189" t="str">
            <v>Patient Support Officer</v>
          </cell>
          <cell r="F189" t="str">
            <v>6/16/2004</v>
          </cell>
          <cell r="H189" t="str">
            <v>IVFS2023</v>
          </cell>
          <cell r="I189" t="str">
            <v>NSW</v>
          </cell>
          <cell r="J189" t="str">
            <v>Part Time</v>
          </cell>
          <cell r="K189" t="str">
            <v>6/16/2004</v>
          </cell>
          <cell r="L189" t="str">
            <v>6/16/2004</v>
          </cell>
        </row>
        <row r="190">
          <cell r="A190">
            <v>20056</v>
          </cell>
          <cell r="B190">
            <v>30806</v>
          </cell>
          <cell r="C190" t="str">
            <v>NSW-QLD</v>
          </cell>
          <cell r="D190" t="str">
            <v>Virtus Health</v>
          </cell>
          <cell r="E190" t="str">
            <v>Permanent Administration Team Leader</v>
          </cell>
          <cell r="F190">
            <v>38872</v>
          </cell>
          <cell r="G190">
            <v>44658</v>
          </cell>
          <cell r="H190" t="str">
            <v>IVFS2023</v>
          </cell>
          <cell r="I190" t="str">
            <v>NSW</v>
          </cell>
          <cell r="J190" t="str">
            <v>Part Time</v>
          </cell>
          <cell r="K190">
            <v>38872</v>
          </cell>
          <cell r="L190">
            <v>38872</v>
          </cell>
        </row>
        <row r="191">
          <cell r="A191">
            <v>20056</v>
          </cell>
          <cell r="B191">
            <v>30806</v>
          </cell>
          <cell r="C191" t="str">
            <v>NSW-QLD</v>
          </cell>
          <cell r="D191" t="str">
            <v>Virtus Health</v>
          </cell>
          <cell r="E191" t="str">
            <v>Permanent Administration Team Leader</v>
          </cell>
          <cell r="F191">
            <v>44688</v>
          </cell>
          <cell r="H191" t="str">
            <v>IVFS2023</v>
          </cell>
          <cell r="I191" t="str">
            <v>NSW</v>
          </cell>
          <cell r="J191" t="str">
            <v>Part Time</v>
          </cell>
          <cell r="K191">
            <v>38872</v>
          </cell>
          <cell r="L191">
            <v>38872</v>
          </cell>
        </row>
        <row r="192">
          <cell r="A192">
            <v>20059</v>
          </cell>
          <cell r="B192" t="str">
            <v>7/29/1974</v>
          </cell>
          <cell r="C192" t="str">
            <v>NSW-QLD</v>
          </cell>
          <cell r="D192" t="str">
            <v>Virtus Health</v>
          </cell>
          <cell r="E192" t="str">
            <v>Embryologist</v>
          </cell>
          <cell r="F192" t="str">
            <v>7/29/1996</v>
          </cell>
          <cell r="H192" t="str">
            <v>IVFT2024</v>
          </cell>
          <cell r="I192" t="str">
            <v>NSW</v>
          </cell>
          <cell r="J192" t="str">
            <v>Part Time</v>
          </cell>
          <cell r="K192" t="str">
            <v>7/29/1996</v>
          </cell>
          <cell r="L192" t="str">
            <v>7/29/1996</v>
          </cell>
        </row>
        <row r="193">
          <cell r="A193">
            <v>20063</v>
          </cell>
          <cell r="B193">
            <v>29319</v>
          </cell>
          <cell r="C193" t="str">
            <v>NSW-QLD</v>
          </cell>
          <cell r="D193" t="str">
            <v>Virtus Health</v>
          </cell>
          <cell r="E193" t="str">
            <v>Administration</v>
          </cell>
          <cell r="F193">
            <v>37384</v>
          </cell>
          <cell r="H193" t="str">
            <v>IVFS2023</v>
          </cell>
          <cell r="I193" t="str">
            <v>NSW</v>
          </cell>
          <cell r="J193" t="str">
            <v>Part Time</v>
          </cell>
          <cell r="K193">
            <v>37384</v>
          </cell>
          <cell r="L193">
            <v>37384</v>
          </cell>
        </row>
        <row r="194">
          <cell r="A194">
            <v>20075</v>
          </cell>
          <cell r="B194" t="str">
            <v>5/16/1985</v>
          </cell>
          <cell r="C194" t="str">
            <v>NSW-QLD</v>
          </cell>
          <cell r="D194" t="str">
            <v>Virtus Health</v>
          </cell>
          <cell r="E194" t="str">
            <v>Administration</v>
          </cell>
          <cell r="F194" t="str">
            <v>5/17/2007</v>
          </cell>
          <cell r="H194" t="str">
            <v>IVFS2023</v>
          </cell>
          <cell r="I194" t="str">
            <v>NSW</v>
          </cell>
          <cell r="J194" t="str">
            <v>Part Time</v>
          </cell>
          <cell r="K194" t="str">
            <v>5/17/2007</v>
          </cell>
          <cell r="L194" t="str">
            <v>5/17/2007</v>
          </cell>
        </row>
        <row r="195">
          <cell r="A195">
            <v>20077</v>
          </cell>
          <cell r="B195" t="str">
            <v>11/17/1983</v>
          </cell>
          <cell r="C195" t="str">
            <v>NSW-QLD</v>
          </cell>
          <cell r="D195" t="str">
            <v>Virtus Health</v>
          </cell>
          <cell r="E195" t="str">
            <v>Doctor</v>
          </cell>
          <cell r="F195" t="str">
            <v>11/17/2005</v>
          </cell>
          <cell r="H195" t="str">
            <v>NSW</v>
          </cell>
          <cell r="I195" t="str">
            <v>NSW</v>
          </cell>
          <cell r="J195" t="str">
            <v>Casual</v>
          </cell>
          <cell r="K195" t="str">
            <v>11/17/2005</v>
          </cell>
          <cell r="L195" t="str">
            <v>11/17/2005</v>
          </cell>
        </row>
        <row r="196">
          <cell r="A196">
            <v>20080</v>
          </cell>
          <cell r="B196">
            <v>30662</v>
          </cell>
          <cell r="C196" t="str">
            <v>NSW-QLD</v>
          </cell>
          <cell r="D196" t="str">
            <v>Virtus Health</v>
          </cell>
          <cell r="E196" t="str">
            <v>Administration</v>
          </cell>
          <cell r="F196">
            <v>38698</v>
          </cell>
          <cell r="G196">
            <v>45544</v>
          </cell>
          <cell r="H196" t="str">
            <v>IVFS2023</v>
          </cell>
          <cell r="I196" t="str">
            <v>NSW</v>
          </cell>
          <cell r="J196" t="str">
            <v>Part Time</v>
          </cell>
          <cell r="K196">
            <v>38698</v>
          </cell>
          <cell r="L196">
            <v>38698</v>
          </cell>
        </row>
        <row r="197">
          <cell r="A197">
            <v>20080</v>
          </cell>
          <cell r="B197">
            <v>30662</v>
          </cell>
          <cell r="C197" t="str">
            <v>NSW-QLD</v>
          </cell>
          <cell r="D197" t="str">
            <v>Virtus Health</v>
          </cell>
          <cell r="E197" t="str">
            <v>Administration</v>
          </cell>
          <cell r="F197">
            <v>45574</v>
          </cell>
          <cell r="H197" t="str">
            <v>IVFS2023</v>
          </cell>
          <cell r="I197" t="str">
            <v>NSW</v>
          </cell>
          <cell r="J197" t="str">
            <v>Part Time</v>
          </cell>
          <cell r="K197">
            <v>38698</v>
          </cell>
          <cell r="L197">
            <v>38698</v>
          </cell>
        </row>
        <row r="198">
          <cell r="A198">
            <v>20081</v>
          </cell>
          <cell r="B198" t="str">
            <v>10/15/1985</v>
          </cell>
          <cell r="C198" t="str">
            <v>NSW-QLD</v>
          </cell>
          <cell r="D198" t="str">
            <v>Virtus Health</v>
          </cell>
          <cell r="E198" t="str">
            <v>Laboratory Supervisor</v>
          </cell>
          <cell r="F198" t="str">
            <v>10/16/2007</v>
          </cell>
          <cell r="H198" t="str">
            <v>NSW</v>
          </cell>
          <cell r="I198" t="str">
            <v>NSW</v>
          </cell>
          <cell r="J198" t="str">
            <v>Part Time</v>
          </cell>
          <cell r="K198" t="str">
            <v>10/16/2007</v>
          </cell>
          <cell r="L198" t="str">
            <v>10/16/2007</v>
          </cell>
        </row>
        <row r="199">
          <cell r="A199">
            <v>20082</v>
          </cell>
          <cell r="B199">
            <v>28407</v>
          </cell>
          <cell r="C199" t="str">
            <v>NSW-QLD</v>
          </cell>
          <cell r="D199" t="str">
            <v>Virtus Health</v>
          </cell>
          <cell r="E199" t="str">
            <v>Embryology Supervisor</v>
          </cell>
          <cell r="F199">
            <v>36473</v>
          </cell>
          <cell r="H199" t="str">
            <v>NSW</v>
          </cell>
          <cell r="I199" t="str">
            <v>NSW</v>
          </cell>
          <cell r="J199" t="str">
            <v>Full Time</v>
          </cell>
          <cell r="K199">
            <v>36473</v>
          </cell>
          <cell r="L199">
            <v>36473</v>
          </cell>
        </row>
        <row r="200">
          <cell r="A200">
            <v>20091</v>
          </cell>
          <cell r="B200">
            <v>30742</v>
          </cell>
          <cell r="C200" t="str">
            <v>NSW-QLD</v>
          </cell>
          <cell r="D200" t="str">
            <v>Virtus Health</v>
          </cell>
          <cell r="E200" t="str">
            <v>Accounts Receivable Team Lead</v>
          </cell>
          <cell r="F200">
            <v>38777</v>
          </cell>
          <cell r="H200" t="str">
            <v>IVFS2023</v>
          </cell>
          <cell r="I200" t="str">
            <v>NSW</v>
          </cell>
          <cell r="J200" t="str">
            <v>Part Time</v>
          </cell>
          <cell r="K200">
            <v>38777</v>
          </cell>
          <cell r="L200">
            <v>38777</v>
          </cell>
        </row>
        <row r="201">
          <cell r="A201">
            <v>20109</v>
          </cell>
          <cell r="B201" t="str">
            <v>5/23/1983</v>
          </cell>
          <cell r="C201" t="str">
            <v>NSW-QLD</v>
          </cell>
          <cell r="D201" t="str">
            <v>Virtus Health</v>
          </cell>
          <cell r="E201" t="str">
            <v>Laboratory Supervisor</v>
          </cell>
          <cell r="F201" t="str">
            <v>5/23/2005</v>
          </cell>
          <cell r="G201" t="str">
            <v>12/16/2020</v>
          </cell>
          <cell r="H201" t="str">
            <v>IVFT2024</v>
          </cell>
          <cell r="I201" t="str">
            <v>NSW</v>
          </cell>
          <cell r="J201" t="str">
            <v>Part Time</v>
          </cell>
          <cell r="K201" t="str">
            <v>5/23/2005</v>
          </cell>
          <cell r="L201" t="str">
            <v>5/23/2005</v>
          </cell>
        </row>
        <row r="202">
          <cell r="A202">
            <v>20109</v>
          </cell>
          <cell r="B202" t="str">
            <v>5/23/1983</v>
          </cell>
          <cell r="C202" t="str">
            <v>NSW-QLD</v>
          </cell>
          <cell r="D202" t="str">
            <v>Virtus Health</v>
          </cell>
          <cell r="E202" t="str">
            <v>Laboratory Supervisor</v>
          </cell>
          <cell r="F202" t="str">
            <v>12/17/2020</v>
          </cell>
          <cell r="H202" t="str">
            <v>IVFT2024</v>
          </cell>
          <cell r="I202" t="str">
            <v>NSW</v>
          </cell>
          <cell r="J202" t="str">
            <v>Part Time</v>
          </cell>
          <cell r="K202" t="str">
            <v>5/23/2005</v>
          </cell>
          <cell r="L202" t="str">
            <v>5/23/2005</v>
          </cell>
        </row>
        <row r="203">
          <cell r="A203">
            <v>20111</v>
          </cell>
          <cell r="B203" t="str">
            <v>6/19/1980</v>
          </cell>
          <cell r="C203" t="str">
            <v>NSW-QLD</v>
          </cell>
          <cell r="D203" t="str">
            <v>Virtus Health</v>
          </cell>
          <cell r="E203" t="str">
            <v>Accounts Receivable Team Lead</v>
          </cell>
          <cell r="F203" t="str">
            <v>6/20/2002</v>
          </cell>
          <cell r="H203" t="str">
            <v>IVFS2023</v>
          </cell>
          <cell r="I203" t="str">
            <v>NSW</v>
          </cell>
          <cell r="J203" t="str">
            <v>Part Time</v>
          </cell>
          <cell r="K203" t="str">
            <v>6/20/2002</v>
          </cell>
          <cell r="L203" t="str">
            <v>6/20/2002</v>
          </cell>
        </row>
        <row r="204">
          <cell r="A204">
            <v>20123</v>
          </cell>
          <cell r="B204" t="str">
            <v>2/28/1985</v>
          </cell>
          <cell r="C204" t="str">
            <v>NSW-QLD</v>
          </cell>
          <cell r="D204" t="str">
            <v>Virtus Health</v>
          </cell>
          <cell r="E204" t="str">
            <v>Administration</v>
          </cell>
          <cell r="F204">
            <v>39085</v>
          </cell>
          <cell r="H204" t="str">
            <v>IVFS2023</v>
          </cell>
          <cell r="I204" t="str">
            <v>NSW</v>
          </cell>
          <cell r="J204" t="str">
            <v>Part Time</v>
          </cell>
          <cell r="K204">
            <v>39085</v>
          </cell>
          <cell r="L204">
            <v>39085</v>
          </cell>
        </row>
        <row r="205">
          <cell r="A205">
            <v>20145</v>
          </cell>
          <cell r="B205">
            <v>31872</v>
          </cell>
          <cell r="C205" t="str">
            <v>NSW-QLD</v>
          </cell>
          <cell r="D205" t="str">
            <v>Virtus Health</v>
          </cell>
          <cell r="E205" t="str">
            <v>Clinical Nurse Specialist</v>
          </cell>
          <cell r="F205">
            <v>39908</v>
          </cell>
          <cell r="H205" t="str">
            <v>IVFN2021</v>
          </cell>
          <cell r="I205" t="str">
            <v>NSW</v>
          </cell>
          <cell r="J205" t="str">
            <v>Part Time</v>
          </cell>
          <cell r="K205">
            <v>39908</v>
          </cell>
          <cell r="L205">
            <v>39908</v>
          </cell>
        </row>
        <row r="206">
          <cell r="A206">
            <v>20146</v>
          </cell>
          <cell r="B206">
            <v>30081</v>
          </cell>
          <cell r="C206" t="str">
            <v>NSW-QLD</v>
          </cell>
          <cell r="D206" t="str">
            <v>Virtus Health</v>
          </cell>
          <cell r="E206" t="str">
            <v>Embryologist</v>
          </cell>
          <cell r="F206">
            <v>38117</v>
          </cell>
          <cell r="H206" t="str">
            <v>NSW</v>
          </cell>
          <cell r="I206" t="str">
            <v>NSW</v>
          </cell>
          <cell r="J206" t="str">
            <v>Full Time</v>
          </cell>
          <cell r="K206">
            <v>38117</v>
          </cell>
          <cell r="L206">
            <v>38117</v>
          </cell>
        </row>
        <row r="207">
          <cell r="A207">
            <v>20152</v>
          </cell>
          <cell r="B207" t="str">
            <v>3/25/1986</v>
          </cell>
          <cell r="C207" t="str">
            <v>NSW-QLD</v>
          </cell>
          <cell r="D207" t="str">
            <v>Virtus Health</v>
          </cell>
          <cell r="E207" t="str">
            <v>Counselling Manager</v>
          </cell>
          <cell r="F207" t="str">
            <v>3/25/2008</v>
          </cell>
          <cell r="G207">
            <v>45331</v>
          </cell>
          <cell r="H207" t="str">
            <v>NSW</v>
          </cell>
          <cell r="I207" t="str">
            <v>NSW</v>
          </cell>
          <cell r="J207" t="str">
            <v>Part Time</v>
          </cell>
          <cell r="K207" t="str">
            <v>3/25/2008</v>
          </cell>
          <cell r="L207" t="str">
            <v>3/25/2008</v>
          </cell>
        </row>
        <row r="208">
          <cell r="A208">
            <v>20152</v>
          </cell>
          <cell r="B208" t="str">
            <v>3/25/1986</v>
          </cell>
          <cell r="C208" t="str">
            <v>NSW-QLD</v>
          </cell>
          <cell r="D208" t="str">
            <v>Virtus Health</v>
          </cell>
          <cell r="E208" t="str">
            <v>Counselling Manager</v>
          </cell>
          <cell r="F208">
            <v>45360</v>
          </cell>
          <cell r="H208" t="str">
            <v>NSW</v>
          </cell>
          <cell r="I208" t="str">
            <v>NSW</v>
          </cell>
          <cell r="J208" t="str">
            <v>Part Time</v>
          </cell>
          <cell r="K208" t="str">
            <v>3/25/2008</v>
          </cell>
          <cell r="L208" t="str">
            <v>3/25/2008</v>
          </cell>
        </row>
        <row r="209">
          <cell r="A209">
            <v>20156</v>
          </cell>
          <cell r="B209">
            <v>29469</v>
          </cell>
          <cell r="C209" t="str">
            <v>NSW-QLD</v>
          </cell>
          <cell r="D209" t="str">
            <v>Virtus Health</v>
          </cell>
          <cell r="E209" t="str">
            <v>Registered Nurse</v>
          </cell>
          <cell r="F209">
            <v>37534</v>
          </cell>
          <cell r="H209" t="str">
            <v>IVFN2021</v>
          </cell>
          <cell r="I209" t="str">
            <v>NSW</v>
          </cell>
          <cell r="J209" t="str">
            <v>Full Time</v>
          </cell>
          <cell r="K209">
            <v>37534</v>
          </cell>
          <cell r="L209">
            <v>37534</v>
          </cell>
        </row>
        <row r="210">
          <cell r="A210">
            <v>20158</v>
          </cell>
          <cell r="B210" t="str">
            <v>7/21/1986</v>
          </cell>
          <cell r="C210" t="str">
            <v>NSW-QLD</v>
          </cell>
          <cell r="D210" t="str">
            <v>Virtus Health</v>
          </cell>
          <cell r="E210" t="str">
            <v>Executive Assistant</v>
          </cell>
          <cell r="F210" t="str">
            <v>7/21/2008</v>
          </cell>
          <cell r="H210" t="str">
            <v>NSW</v>
          </cell>
          <cell r="I210" t="str">
            <v>NSW</v>
          </cell>
          <cell r="J210" t="str">
            <v>Full Time</v>
          </cell>
          <cell r="K210" t="str">
            <v>7/21/2008</v>
          </cell>
          <cell r="L210" t="str">
            <v>7/21/2008</v>
          </cell>
        </row>
        <row r="211">
          <cell r="A211">
            <v>20161</v>
          </cell>
          <cell r="B211" t="str">
            <v>11/28/1983</v>
          </cell>
          <cell r="C211" t="str">
            <v>NSW-QLD</v>
          </cell>
          <cell r="D211" t="str">
            <v>Virtus Health</v>
          </cell>
          <cell r="E211" t="str">
            <v>Clinical Nurse Specialist</v>
          </cell>
          <cell r="F211" t="str">
            <v>11/28/2005</v>
          </cell>
          <cell r="G211">
            <v>44630</v>
          </cell>
          <cell r="H211" t="str">
            <v>IVFN2021</v>
          </cell>
          <cell r="I211" t="str">
            <v>NSW</v>
          </cell>
          <cell r="J211" t="str">
            <v>Full Time</v>
          </cell>
          <cell r="K211" t="str">
            <v>11/28/2005</v>
          </cell>
          <cell r="L211" t="str">
            <v>11/28/2005</v>
          </cell>
        </row>
        <row r="212">
          <cell r="A212">
            <v>20161</v>
          </cell>
          <cell r="B212" t="str">
            <v>11/28/1983</v>
          </cell>
          <cell r="C212" t="str">
            <v>NSW-QLD</v>
          </cell>
          <cell r="D212" t="str">
            <v>Virtus Health</v>
          </cell>
          <cell r="E212" t="str">
            <v>Clinical Nurse Specialist</v>
          </cell>
          <cell r="F212">
            <v>44661</v>
          </cell>
          <cell r="H212" t="str">
            <v>IVFN2021</v>
          </cell>
          <cell r="I212" t="str">
            <v>NSW</v>
          </cell>
          <cell r="J212" t="str">
            <v>Full Time</v>
          </cell>
          <cell r="K212" t="str">
            <v>11/28/2005</v>
          </cell>
          <cell r="L212" t="str">
            <v>11/28/2005</v>
          </cell>
        </row>
        <row r="213">
          <cell r="A213">
            <v>20169</v>
          </cell>
          <cell r="B213" t="str">
            <v>2/25/1987</v>
          </cell>
          <cell r="C213" t="str">
            <v>NSW-QLD</v>
          </cell>
          <cell r="D213" t="str">
            <v>Virtus Health</v>
          </cell>
          <cell r="E213" t="str">
            <v>Territory Administration Manager</v>
          </cell>
          <cell r="F213" t="str">
            <v>2/25/2009</v>
          </cell>
          <cell r="H213" t="str">
            <v>IVFS2023</v>
          </cell>
          <cell r="I213" t="str">
            <v>NSW</v>
          </cell>
          <cell r="J213" t="str">
            <v>Full Time</v>
          </cell>
          <cell r="K213" t="str">
            <v>2/25/2009</v>
          </cell>
          <cell r="L213" t="str">
            <v>2/25/2009</v>
          </cell>
        </row>
        <row r="214">
          <cell r="A214">
            <v>20171</v>
          </cell>
          <cell r="B214" t="str">
            <v>7/20/1978</v>
          </cell>
          <cell r="C214" t="str">
            <v>NSW-QLD</v>
          </cell>
          <cell r="D214" t="str">
            <v>Virtus Health</v>
          </cell>
          <cell r="E214" t="str">
            <v>Embryologist</v>
          </cell>
          <cell r="F214" t="str">
            <v>7/20/2000</v>
          </cell>
          <cell r="H214" t="str">
            <v>IVFT2024</v>
          </cell>
          <cell r="I214" t="str">
            <v>NSW</v>
          </cell>
          <cell r="J214" t="str">
            <v>Part Time</v>
          </cell>
          <cell r="K214" t="str">
            <v>7/20/2000</v>
          </cell>
          <cell r="L214" t="str">
            <v>7/20/2000</v>
          </cell>
        </row>
        <row r="215">
          <cell r="A215">
            <v>20172</v>
          </cell>
          <cell r="B215">
            <v>30136</v>
          </cell>
          <cell r="C215" t="str">
            <v>NSW-QLD</v>
          </cell>
          <cell r="D215" t="str">
            <v>Virtus Health</v>
          </cell>
          <cell r="E215" t="str">
            <v>Clinical Nurse Specialist</v>
          </cell>
          <cell r="F215">
            <v>38172</v>
          </cell>
          <cell r="H215" t="str">
            <v>IVFN2021</v>
          </cell>
          <cell r="I215" t="str">
            <v>NSW</v>
          </cell>
          <cell r="J215" t="str">
            <v>Part Time</v>
          </cell>
          <cell r="K215">
            <v>38172</v>
          </cell>
          <cell r="L215">
            <v>38172</v>
          </cell>
        </row>
        <row r="216">
          <cell r="A216">
            <v>20173</v>
          </cell>
          <cell r="B216" t="str">
            <v>1/16/1984</v>
          </cell>
          <cell r="C216" t="str">
            <v>NSW-QLD</v>
          </cell>
          <cell r="D216" t="str">
            <v>Virtus Health</v>
          </cell>
          <cell r="E216" t="str">
            <v>Administration Manager</v>
          </cell>
          <cell r="F216" t="str">
            <v>1/16/2006</v>
          </cell>
          <cell r="H216" t="str">
            <v>IVFS2023</v>
          </cell>
          <cell r="I216" t="str">
            <v>NSW</v>
          </cell>
          <cell r="J216" t="str">
            <v>Full Time</v>
          </cell>
          <cell r="K216" t="str">
            <v>1/16/2006</v>
          </cell>
          <cell r="L216" t="str">
            <v>1/16/2006</v>
          </cell>
        </row>
        <row r="217">
          <cell r="A217">
            <v>20175</v>
          </cell>
          <cell r="B217">
            <v>31631</v>
          </cell>
          <cell r="C217" t="str">
            <v>NSW-QLD</v>
          </cell>
          <cell r="D217" t="str">
            <v>Virtus Health</v>
          </cell>
          <cell r="E217" t="str">
            <v>Registered Nurse</v>
          </cell>
          <cell r="F217">
            <v>39667</v>
          </cell>
          <cell r="H217" t="str">
            <v>IVFN2021</v>
          </cell>
          <cell r="I217" t="str">
            <v>NSW</v>
          </cell>
          <cell r="J217" t="str">
            <v>Part Time</v>
          </cell>
          <cell r="K217">
            <v>39667</v>
          </cell>
          <cell r="L217">
            <v>39667</v>
          </cell>
        </row>
        <row r="218">
          <cell r="A218">
            <v>20176</v>
          </cell>
          <cell r="B218">
            <v>31844</v>
          </cell>
          <cell r="C218" t="str">
            <v>NSW-QLD</v>
          </cell>
          <cell r="D218" t="str">
            <v>Virtus Health</v>
          </cell>
          <cell r="E218" t="str">
            <v>Registered Nurse</v>
          </cell>
          <cell r="F218">
            <v>39880</v>
          </cell>
          <cell r="H218" t="str">
            <v>IVFN2021</v>
          </cell>
          <cell r="I218" t="str">
            <v>QLD</v>
          </cell>
          <cell r="J218" t="str">
            <v>Part Time</v>
          </cell>
          <cell r="K218">
            <v>39880</v>
          </cell>
          <cell r="L218">
            <v>39880</v>
          </cell>
        </row>
        <row r="219">
          <cell r="A219">
            <v>20182</v>
          </cell>
          <cell r="B219" t="str">
            <v>10/31/1987</v>
          </cell>
          <cell r="C219" t="str">
            <v>NSW-QLD</v>
          </cell>
          <cell r="D219" t="str">
            <v>Virtus Health</v>
          </cell>
          <cell r="E219" t="str">
            <v>Embryologist</v>
          </cell>
          <cell r="F219" t="str">
            <v>10/31/2009</v>
          </cell>
          <cell r="H219" t="str">
            <v>IVFT2024</v>
          </cell>
          <cell r="I219" t="str">
            <v>NSW</v>
          </cell>
          <cell r="J219" t="str">
            <v>Full Time</v>
          </cell>
          <cell r="K219" t="str">
            <v>10/31/2009</v>
          </cell>
          <cell r="L219" t="str">
            <v>10/31/2009</v>
          </cell>
        </row>
        <row r="220">
          <cell r="A220">
            <v>20186</v>
          </cell>
          <cell r="B220">
            <v>31879</v>
          </cell>
          <cell r="C220" t="str">
            <v>NSW-QLD</v>
          </cell>
          <cell r="D220" t="str">
            <v>Virtus Health</v>
          </cell>
          <cell r="E220" t="str">
            <v>Counsellor</v>
          </cell>
          <cell r="F220">
            <v>39915</v>
          </cell>
          <cell r="H220" t="str">
            <v>IVFC2022</v>
          </cell>
          <cell r="I220" t="str">
            <v>NSW</v>
          </cell>
          <cell r="J220" t="str">
            <v>Part Time</v>
          </cell>
          <cell r="K220">
            <v>39915</v>
          </cell>
          <cell r="L220">
            <v>39915</v>
          </cell>
        </row>
        <row r="221">
          <cell r="A221">
            <v>20190</v>
          </cell>
          <cell r="B221" t="str">
            <v>11/24/1987</v>
          </cell>
          <cell r="C221" t="str">
            <v>NSW-QLD</v>
          </cell>
          <cell r="D221" t="str">
            <v>Virtus Health</v>
          </cell>
          <cell r="E221" t="str">
            <v>Medical Secretary</v>
          </cell>
          <cell r="F221" t="str">
            <v>11/24/2009</v>
          </cell>
          <cell r="H221" t="str">
            <v>IVFS2023</v>
          </cell>
          <cell r="I221" t="str">
            <v>NSW</v>
          </cell>
          <cell r="J221" t="str">
            <v>Full Time</v>
          </cell>
          <cell r="K221" t="str">
            <v>11/24/2009</v>
          </cell>
          <cell r="L221" t="str">
            <v>11/24/2009</v>
          </cell>
        </row>
        <row r="222">
          <cell r="A222">
            <v>20192</v>
          </cell>
          <cell r="B222" t="str">
            <v>9/13/1982</v>
          </cell>
          <cell r="C222" t="str">
            <v>NSW-QLD</v>
          </cell>
          <cell r="D222" t="str">
            <v>Virtus Health</v>
          </cell>
          <cell r="E222" t="str">
            <v>Medical Secretary/Team Leader</v>
          </cell>
          <cell r="F222" t="str">
            <v>9/13/2004</v>
          </cell>
          <cell r="H222" t="str">
            <v>IVFS2023</v>
          </cell>
          <cell r="I222" t="str">
            <v>NSW</v>
          </cell>
          <cell r="J222" t="str">
            <v>Full Time</v>
          </cell>
          <cell r="K222" t="str">
            <v>9/13/2004</v>
          </cell>
          <cell r="L222" t="str">
            <v>9/13/2004</v>
          </cell>
        </row>
        <row r="223">
          <cell r="A223">
            <v>20216</v>
          </cell>
          <cell r="B223" t="str">
            <v>6/20/1988</v>
          </cell>
          <cell r="C223" t="str">
            <v>NSW-QLD</v>
          </cell>
          <cell r="D223" t="str">
            <v>Virtus Health</v>
          </cell>
          <cell r="E223" t="str">
            <v>Financial Accountant</v>
          </cell>
          <cell r="F223" t="str">
            <v>6/21/2010</v>
          </cell>
          <cell r="H223" t="str">
            <v>NSW</v>
          </cell>
          <cell r="I223" t="str">
            <v>NSW</v>
          </cell>
          <cell r="J223" t="str">
            <v>Full Time</v>
          </cell>
          <cell r="K223" t="str">
            <v>6/21/2010</v>
          </cell>
          <cell r="L223" t="str">
            <v>6/21/2010</v>
          </cell>
        </row>
        <row r="224">
          <cell r="A224">
            <v>20236</v>
          </cell>
          <cell r="B224">
            <v>32513</v>
          </cell>
          <cell r="C224" t="str">
            <v>NSW-QLD</v>
          </cell>
          <cell r="D224" t="str">
            <v>Virtus Health</v>
          </cell>
          <cell r="E224" t="str">
            <v>Counsellor</v>
          </cell>
          <cell r="F224">
            <v>40579</v>
          </cell>
          <cell r="H224" t="str">
            <v>IVFC2022</v>
          </cell>
          <cell r="I224" t="str">
            <v>NSW</v>
          </cell>
          <cell r="J224" t="str">
            <v>Part Time</v>
          </cell>
          <cell r="K224">
            <v>40579</v>
          </cell>
          <cell r="L224">
            <v>40579</v>
          </cell>
        </row>
        <row r="225">
          <cell r="A225">
            <v>20242</v>
          </cell>
          <cell r="B225" t="str">
            <v>4/18/1989</v>
          </cell>
          <cell r="C225" t="str">
            <v>NSW-QLD</v>
          </cell>
          <cell r="D225" t="str">
            <v>Virtus Health</v>
          </cell>
          <cell r="E225" t="str">
            <v>Embryologist</v>
          </cell>
          <cell r="F225" t="str">
            <v>4/19/2011</v>
          </cell>
          <cell r="H225" t="str">
            <v>IVFT2024</v>
          </cell>
          <cell r="I225" t="str">
            <v>NSW</v>
          </cell>
          <cell r="J225" t="str">
            <v>Full Time</v>
          </cell>
          <cell r="K225" t="str">
            <v>4/19/2011</v>
          </cell>
          <cell r="L225" t="str">
            <v>4/19/2011</v>
          </cell>
        </row>
        <row r="226">
          <cell r="A226">
            <v>20248</v>
          </cell>
          <cell r="B226">
            <v>32819</v>
          </cell>
          <cell r="C226" t="str">
            <v>NSW-QLD</v>
          </cell>
          <cell r="D226" t="str">
            <v>Virtus Health</v>
          </cell>
          <cell r="E226" t="str">
            <v>Patient Support Officer</v>
          </cell>
          <cell r="F226">
            <v>40884</v>
          </cell>
          <cell r="H226" t="str">
            <v>IVFS2023</v>
          </cell>
          <cell r="I226" t="str">
            <v>NSW</v>
          </cell>
          <cell r="J226" t="str">
            <v>Part Time</v>
          </cell>
          <cell r="K226">
            <v>40884</v>
          </cell>
          <cell r="L226">
            <v>40884</v>
          </cell>
        </row>
        <row r="227">
          <cell r="A227">
            <v>20250</v>
          </cell>
          <cell r="B227" t="str">
            <v>7/31/1989</v>
          </cell>
          <cell r="C227" t="str">
            <v>NSW-QLD</v>
          </cell>
          <cell r="D227" t="str">
            <v>Virtus Health</v>
          </cell>
          <cell r="E227" t="str">
            <v>Natinal Accounts Receivable Manager</v>
          </cell>
          <cell r="F227">
            <v>40551</v>
          </cell>
          <cell r="H227" t="str">
            <v>NSW</v>
          </cell>
          <cell r="I227" t="str">
            <v>NSW</v>
          </cell>
          <cell r="J227" t="str">
            <v>Full Time</v>
          </cell>
          <cell r="K227">
            <v>40551</v>
          </cell>
          <cell r="L227">
            <v>40551</v>
          </cell>
        </row>
        <row r="228">
          <cell r="A228">
            <v>20263</v>
          </cell>
          <cell r="B228">
            <v>32670</v>
          </cell>
          <cell r="C228" t="str">
            <v>NSW-QLD</v>
          </cell>
          <cell r="D228" t="str">
            <v>Virtus Health</v>
          </cell>
          <cell r="E228" t="str">
            <v>Fertility Laboratory Director</v>
          </cell>
          <cell r="F228">
            <v>40735</v>
          </cell>
          <cell r="H228" t="str">
            <v>NSW</v>
          </cell>
          <cell r="I228" t="str">
            <v>NSW</v>
          </cell>
          <cell r="J228" t="str">
            <v>Full Time</v>
          </cell>
          <cell r="K228">
            <v>40735</v>
          </cell>
          <cell r="L228">
            <v>40735</v>
          </cell>
        </row>
        <row r="229">
          <cell r="A229">
            <v>20274</v>
          </cell>
          <cell r="B229" t="str">
            <v>2/14/1990</v>
          </cell>
          <cell r="C229" t="str">
            <v>NSW-QLD</v>
          </cell>
          <cell r="D229" t="str">
            <v>Virtus Health</v>
          </cell>
          <cell r="E229" t="str">
            <v>Administration</v>
          </cell>
          <cell r="F229" t="str">
            <v>2/15/2012</v>
          </cell>
          <cell r="H229" t="str">
            <v>IVFS2023</v>
          </cell>
          <cell r="I229" t="str">
            <v>NSW</v>
          </cell>
          <cell r="J229" t="str">
            <v>Part Time</v>
          </cell>
          <cell r="K229" t="str">
            <v>2/15/2012</v>
          </cell>
          <cell r="L229" t="str">
            <v>2/15/2012</v>
          </cell>
        </row>
        <row r="230">
          <cell r="A230">
            <v>20276</v>
          </cell>
          <cell r="B230">
            <v>33088</v>
          </cell>
          <cell r="C230" t="str">
            <v>NSW-QLD</v>
          </cell>
          <cell r="D230" t="str">
            <v>Virtus Health</v>
          </cell>
          <cell r="E230" t="str">
            <v>Counsellor</v>
          </cell>
          <cell r="F230">
            <v>41124</v>
          </cell>
          <cell r="H230" t="str">
            <v>IVFC2022</v>
          </cell>
          <cell r="I230" t="str">
            <v>NSW</v>
          </cell>
          <cell r="J230" t="str">
            <v>Part Time</v>
          </cell>
          <cell r="K230">
            <v>41124</v>
          </cell>
          <cell r="L230">
            <v>41124</v>
          </cell>
        </row>
        <row r="231">
          <cell r="A231">
            <v>20281</v>
          </cell>
          <cell r="B231">
            <v>32876</v>
          </cell>
          <cell r="C231" t="str">
            <v>NSW-QLD</v>
          </cell>
          <cell r="D231" t="str">
            <v>Virtus Health</v>
          </cell>
          <cell r="E231" t="str">
            <v>Donor Coordinator</v>
          </cell>
          <cell r="F231">
            <v>40911</v>
          </cell>
          <cell r="H231" t="str">
            <v>IVFN2021</v>
          </cell>
          <cell r="I231" t="str">
            <v>NSW</v>
          </cell>
          <cell r="J231" t="str">
            <v>Part Time</v>
          </cell>
          <cell r="K231">
            <v>40911</v>
          </cell>
          <cell r="L231">
            <v>40911</v>
          </cell>
        </row>
        <row r="232">
          <cell r="A232">
            <v>20288</v>
          </cell>
          <cell r="B232" t="str">
            <v>5/14/1990</v>
          </cell>
          <cell r="C232" t="str">
            <v>NSW-QLD</v>
          </cell>
          <cell r="D232" t="str">
            <v>Virtus Health</v>
          </cell>
          <cell r="E232" t="str">
            <v>Embryologist</v>
          </cell>
          <cell r="F232" t="str">
            <v>5/14/2012</v>
          </cell>
          <cell r="H232" t="str">
            <v>IVFT2024</v>
          </cell>
          <cell r="I232" t="str">
            <v>NSW</v>
          </cell>
          <cell r="J232" t="str">
            <v>Part Time</v>
          </cell>
          <cell r="K232" t="str">
            <v>5/14/2012</v>
          </cell>
          <cell r="L232" t="str">
            <v>5/14/2012</v>
          </cell>
        </row>
        <row r="233">
          <cell r="A233">
            <v>20292</v>
          </cell>
          <cell r="B233">
            <v>32969</v>
          </cell>
          <cell r="C233" t="str">
            <v>NSW-QLD</v>
          </cell>
          <cell r="D233" t="str">
            <v>Virtus Health</v>
          </cell>
          <cell r="E233" t="str">
            <v>Embryologist</v>
          </cell>
          <cell r="F233">
            <v>41005</v>
          </cell>
          <cell r="H233" t="str">
            <v>IVFT2024</v>
          </cell>
          <cell r="I233" t="str">
            <v>NSW</v>
          </cell>
          <cell r="J233" t="str">
            <v>Part Time</v>
          </cell>
          <cell r="K233">
            <v>41005</v>
          </cell>
          <cell r="L233">
            <v>41005</v>
          </cell>
        </row>
        <row r="234">
          <cell r="A234">
            <v>20297</v>
          </cell>
          <cell r="B234" t="str">
            <v>7/31/1990</v>
          </cell>
          <cell r="C234" t="str">
            <v>NSW-QLD</v>
          </cell>
          <cell r="D234" t="str">
            <v>Virtus Health</v>
          </cell>
          <cell r="E234" t="str">
            <v>Clinical Product Owner</v>
          </cell>
          <cell r="F234" t="str">
            <v>7/31/2012</v>
          </cell>
          <cell r="H234" t="str">
            <v>NSW</v>
          </cell>
          <cell r="I234" t="str">
            <v>NSW</v>
          </cell>
          <cell r="J234" t="str">
            <v>Full Time</v>
          </cell>
          <cell r="K234" t="str">
            <v>7/31/2012</v>
          </cell>
          <cell r="L234" t="str">
            <v>7/31/2012</v>
          </cell>
        </row>
        <row r="235">
          <cell r="A235">
            <v>20308</v>
          </cell>
          <cell r="B235">
            <v>32882</v>
          </cell>
          <cell r="C235" t="str">
            <v>NSW-QLD</v>
          </cell>
          <cell r="D235" t="str">
            <v>Virtus Health</v>
          </cell>
          <cell r="E235" t="str">
            <v>Embryologist</v>
          </cell>
          <cell r="F235">
            <v>40917</v>
          </cell>
          <cell r="H235" t="str">
            <v>IVFT2024</v>
          </cell>
          <cell r="I235" t="str">
            <v>NSW</v>
          </cell>
          <cell r="J235" t="str">
            <v>Full Time</v>
          </cell>
          <cell r="K235">
            <v>40917</v>
          </cell>
          <cell r="L235">
            <v>40917</v>
          </cell>
        </row>
        <row r="236">
          <cell r="A236">
            <v>20318</v>
          </cell>
          <cell r="B236" t="str">
            <v>10/22/1990</v>
          </cell>
          <cell r="C236" t="str">
            <v>NSW-QLD</v>
          </cell>
          <cell r="D236" t="str">
            <v>Virtus Health</v>
          </cell>
          <cell r="E236" t="str">
            <v>Administration Manager</v>
          </cell>
          <cell r="F236" t="str">
            <v>10/22/2012</v>
          </cell>
          <cell r="H236" t="str">
            <v>IVFS2023</v>
          </cell>
          <cell r="I236" t="str">
            <v>NSW</v>
          </cell>
          <cell r="J236" t="str">
            <v>Part Time</v>
          </cell>
          <cell r="K236" t="str">
            <v>10/22/2012</v>
          </cell>
          <cell r="L236" t="str">
            <v>10/22/2012</v>
          </cell>
        </row>
        <row r="237">
          <cell r="A237">
            <v>20322</v>
          </cell>
          <cell r="B237">
            <v>32944</v>
          </cell>
          <cell r="C237" t="str">
            <v>NSW-QLD</v>
          </cell>
          <cell r="D237" t="str">
            <v>Virtus Health</v>
          </cell>
          <cell r="E237" t="str">
            <v>Embryologist</v>
          </cell>
          <cell r="F237">
            <v>40980</v>
          </cell>
          <cell r="H237" t="str">
            <v>IVFT2024</v>
          </cell>
          <cell r="I237" t="str">
            <v>NSW</v>
          </cell>
          <cell r="J237" t="str">
            <v>Full Time</v>
          </cell>
          <cell r="K237">
            <v>40980</v>
          </cell>
          <cell r="L237">
            <v>40980</v>
          </cell>
        </row>
        <row r="238">
          <cell r="A238">
            <v>20324</v>
          </cell>
          <cell r="B238">
            <v>33298</v>
          </cell>
          <cell r="C238" t="str">
            <v>NSW-QLD</v>
          </cell>
          <cell r="D238" t="str">
            <v>Virtus Health</v>
          </cell>
          <cell r="E238" t="str">
            <v>Enrolled Nurse</v>
          </cell>
          <cell r="F238">
            <v>41334</v>
          </cell>
          <cell r="H238" t="str">
            <v>IVFN2021</v>
          </cell>
          <cell r="I238" t="str">
            <v>NSW</v>
          </cell>
          <cell r="J238" t="str">
            <v>Part Time</v>
          </cell>
          <cell r="K238">
            <v>41334</v>
          </cell>
          <cell r="L238">
            <v>41334</v>
          </cell>
        </row>
        <row r="239">
          <cell r="A239">
            <v>20327</v>
          </cell>
          <cell r="B239" t="str">
            <v>1/15/1991</v>
          </cell>
          <cell r="C239" t="str">
            <v>NSW-QLD</v>
          </cell>
          <cell r="D239" t="str">
            <v>Virtus Health</v>
          </cell>
          <cell r="E239" t="str">
            <v>Medical Secretary</v>
          </cell>
          <cell r="F239" t="str">
            <v>1/15/2013</v>
          </cell>
          <cell r="H239" t="str">
            <v>IVFS2023</v>
          </cell>
          <cell r="I239" t="str">
            <v>NSW</v>
          </cell>
          <cell r="J239" t="str">
            <v>Part Time</v>
          </cell>
          <cell r="K239" t="str">
            <v>1/15/2013</v>
          </cell>
          <cell r="L239" t="str">
            <v>1/15/2013</v>
          </cell>
        </row>
        <row r="240">
          <cell r="A240">
            <v>20330</v>
          </cell>
          <cell r="B240">
            <v>33361</v>
          </cell>
          <cell r="C240" t="str">
            <v>NSW-QLD</v>
          </cell>
          <cell r="D240" t="str">
            <v>Virtus Health</v>
          </cell>
          <cell r="E240" t="str">
            <v>Administration Manager</v>
          </cell>
          <cell r="F240">
            <v>41397</v>
          </cell>
          <cell r="H240" t="str">
            <v>IVFS2023</v>
          </cell>
          <cell r="I240" t="str">
            <v>NSW</v>
          </cell>
          <cell r="J240" t="str">
            <v>Full Time</v>
          </cell>
          <cell r="K240">
            <v>41397</v>
          </cell>
          <cell r="L240">
            <v>41397</v>
          </cell>
        </row>
        <row r="241">
          <cell r="A241">
            <v>20341</v>
          </cell>
          <cell r="B241">
            <v>33545</v>
          </cell>
          <cell r="C241" t="str">
            <v>NSW-QLD</v>
          </cell>
          <cell r="D241" t="str">
            <v>Virtus Health</v>
          </cell>
          <cell r="E241" t="str">
            <v>Business Development Manager - Regional and ACT</v>
          </cell>
          <cell r="F241">
            <v>41581</v>
          </cell>
          <cell r="H241" t="str">
            <v>NSW</v>
          </cell>
          <cell r="I241" t="str">
            <v>NSW</v>
          </cell>
          <cell r="J241" t="str">
            <v>Full Time</v>
          </cell>
          <cell r="K241">
            <v>41581</v>
          </cell>
          <cell r="L241">
            <v>41581</v>
          </cell>
        </row>
        <row r="242">
          <cell r="A242">
            <v>20350</v>
          </cell>
          <cell r="B242" t="str">
            <v>7/15/1991</v>
          </cell>
          <cell r="C242" t="str">
            <v>NSW-QLD</v>
          </cell>
          <cell r="D242" t="str">
            <v>Virtus Health</v>
          </cell>
          <cell r="E242" t="str">
            <v>Administration Team Leader</v>
          </cell>
          <cell r="F242" t="str">
            <v>7/15/2013</v>
          </cell>
          <cell r="H242" t="str">
            <v>IVFS2023</v>
          </cell>
          <cell r="I242" t="str">
            <v>NSW</v>
          </cell>
          <cell r="J242" t="str">
            <v>Full Time</v>
          </cell>
          <cell r="K242" t="str">
            <v>7/15/2013</v>
          </cell>
          <cell r="L242" t="str">
            <v>7/15/2013</v>
          </cell>
        </row>
        <row r="243">
          <cell r="A243">
            <v>20365</v>
          </cell>
          <cell r="B243" t="str">
            <v>10/15/1991</v>
          </cell>
          <cell r="C243" t="str">
            <v>NSW-QLD</v>
          </cell>
          <cell r="D243" t="str">
            <v>Virtus Health</v>
          </cell>
          <cell r="E243" t="str">
            <v>Administration</v>
          </cell>
          <cell r="F243" t="str">
            <v>10/15/2013</v>
          </cell>
          <cell r="H243" t="str">
            <v>IVFS2023</v>
          </cell>
          <cell r="I243" t="str">
            <v>NSW</v>
          </cell>
          <cell r="J243" t="str">
            <v>Casual</v>
          </cell>
          <cell r="K243" t="str">
            <v>10/15/2013</v>
          </cell>
          <cell r="L243" t="str">
            <v>10/15/2013</v>
          </cell>
        </row>
        <row r="244">
          <cell r="A244">
            <v>20367</v>
          </cell>
          <cell r="B244" t="str">
            <v>10/28/1991</v>
          </cell>
          <cell r="C244" t="str">
            <v>NSW-QLD</v>
          </cell>
          <cell r="D244" t="str">
            <v>Virtus Health</v>
          </cell>
          <cell r="E244" t="str">
            <v>Embryologist</v>
          </cell>
          <cell r="F244" t="str">
            <v>10/28/2013</v>
          </cell>
          <cell r="H244" t="str">
            <v>IVFT2024</v>
          </cell>
          <cell r="I244" t="str">
            <v>NSW</v>
          </cell>
          <cell r="J244" t="str">
            <v>Full Time</v>
          </cell>
          <cell r="K244" t="str">
            <v>10/28/2013</v>
          </cell>
          <cell r="L244" t="str">
            <v>10/28/2013</v>
          </cell>
        </row>
        <row r="245">
          <cell r="A245">
            <v>20374</v>
          </cell>
          <cell r="B245" t="str">
            <v>12/30/1991</v>
          </cell>
          <cell r="C245" t="str">
            <v>NSW-QLD</v>
          </cell>
          <cell r="D245" t="str">
            <v>Virtus Health</v>
          </cell>
          <cell r="E245" t="str">
            <v>Clinical Nurse Specialist</v>
          </cell>
          <cell r="F245" t="str">
            <v>12/30/2013</v>
          </cell>
          <cell r="H245" t="str">
            <v>IVFN2021</v>
          </cell>
          <cell r="I245" t="str">
            <v>NSW</v>
          </cell>
          <cell r="J245" t="str">
            <v>Part Time</v>
          </cell>
          <cell r="K245" t="str">
            <v>12/30/2013</v>
          </cell>
          <cell r="L245" t="str">
            <v>12/30/2013</v>
          </cell>
        </row>
        <row r="246">
          <cell r="A246">
            <v>20399</v>
          </cell>
          <cell r="B246" t="str">
            <v>7/20/1992</v>
          </cell>
          <cell r="C246" t="str">
            <v>NSW-QLD</v>
          </cell>
          <cell r="D246" t="str">
            <v>Virtus Health</v>
          </cell>
          <cell r="E246" t="str">
            <v>Nurse Unit Manager</v>
          </cell>
          <cell r="F246" t="str">
            <v>7/21/2014</v>
          </cell>
          <cell r="H246" t="str">
            <v>IVFN2021</v>
          </cell>
          <cell r="I246" t="str">
            <v>NSW</v>
          </cell>
          <cell r="J246" t="str">
            <v>Full Time</v>
          </cell>
          <cell r="K246" t="str">
            <v>7/21/2014</v>
          </cell>
          <cell r="L246" t="str">
            <v>7/21/2014</v>
          </cell>
        </row>
        <row r="247">
          <cell r="A247">
            <v>20404</v>
          </cell>
          <cell r="B247">
            <v>33885</v>
          </cell>
          <cell r="C247" t="str">
            <v>NSW-QLD</v>
          </cell>
          <cell r="D247" t="str">
            <v>Virtus Health</v>
          </cell>
          <cell r="E247" t="str">
            <v>Andrologist</v>
          </cell>
          <cell r="F247">
            <v>41951</v>
          </cell>
          <cell r="H247" t="str">
            <v>IVFT2024</v>
          </cell>
          <cell r="I247" t="str">
            <v>NSW</v>
          </cell>
          <cell r="J247" t="str">
            <v>Full Time</v>
          </cell>
          <cell r="K247">
            <v>41951</v>
          </cell>
          <cell r="L247">
            <v>41951</v>
          </cell>
        </row>
        <row r="248">
          <cell r="A248">
            <v>20413</v>
          </cell>
          <cell r="B248">
            <v>33825</v>
          </cell>
          <cell r="C248" t="str">
            <v>NSW-QLD</v>
          </cell>
          <cell r="D248" t="str">
            <v>Virtus Health</v>
          </cell>
          <cell r="E248" t="str">
            <v>Nurse Unit Manager</v>
          </cell>
          <cell r="F248">
            <v>41891</v>
          </cell>
          <cell r="H248" t="str">
            <v>IVFN2021</v>
          </cell>
          <cell r="I248" t="str">
            <v>NSW</v>
          </cell>
          <cell r="J248" t="str">
            <v>Full Time</v>
          </cell>
          <cell r="K248">
            <v>41891</v>
          </cell>
          <cell r="L248">
            <v>41891</v>
          </cell>
        </row>
        <row r="249">
          <cell r="A249">
            <v>20428</v>
          </cell>
          <cell r="B249">
            <v>33972</v>
          </cell>
          <cell r="C249" t="str">
            <v>NSW-QLD</v>
          </cell>
          <cell r="D249" t="str">
            <v>Virtus Health</v>
          </cell>
          <cell r="E249" t="str">
            <v>Nurse Unit Manager</v>
          </cell>
          <cell r="F249">
            <v>42038</v>
          </cell>
          <cell r="H249" t="str">
            <v>IVFN2021</v>
          </cell>
          <cell r="I249" t="str">
            <v>NSW</v>
          </cell>
          <cell r="J249" t="str">
            <v>Full Time</v>
          </cell>
          <cell r="K249">
            <v>42038</v>
          </cell>
          <cell r="L249">
            <v>42038</v>
          </cell>
        </row>
        <row r="250">
          <cell r="A250">
            <v>20430</v>
          </cell>
          <cell r="B250" t="str">
            <v>3/16/1993</v>
          </cell>
          <cell r="C250" t="str">
            <v>NSW-QLD</v>
          </cell>
          <cell r="D250" t="str">
            <v>Virtus Health</v>
          </cell>
          <cell r="E250" t="str">
            <v>Administration</v>
          </cell>
          <cell r="F250" t="str">
            <v>3/17/2015</v>
          </cell>
          <cell r="H250" t="str">
            <v>IVFS2023</v>
          </cell>
          <cell r="I250" t="str">
            <v>NSW</v>
          </cell>
          <cell r="J250" t="str">
            <v>Part Time</v>
          </cell>
          <cell r="K250" t="str">
            <v>3/17/2015</v>
          </cell>
          <cell r="L250" t="str">
            <v>3/17/2015</v>
          </cell>
        </row>
        <row r="251">
          <cell r="A251">
            <v>20439</v>
          </cell>
          <cell r="B251">
            <v>34247</v>
          </cell>
          <cell r="C251" t="str">
            <v>NSW-QLD</v>
          </cell>
          <cell r="D251" t="str">
            <v>Virtus Health</v>
          </cell>
          <cell r="E251" t="str">
            <v>Nurse Coordinator</v>
          </cell>
          <cell r="F251">
            <v>42313</v>
          </cell>
          <cell r="H251" t="str">
            <v>IVFN2021</v>
          </cell>
          <cell r="I251" t="str">
            <v>NSW</v>
          </cell>
          <cell r="J251" t="str">
            <v>Part Time</v>
          </cell>
          <cell r="K251">
            <v>42313</v>
          </cell>
          <cell r="L251">
            <v>42313</v>
          </cell>
        </row>
        <row r="252">
          <cell r="A252">
            <v>20444</v>
          </cell>
          <cell r="B252" t="str">
            <v>5/17/1993</v>
          </cell>
          <cell r="C252" t="str">
            <v>NSW-QLD</v>
          </cell>
          <cell r="D252" t="str">
            <v>Virtus Health</v>
          </cell>
          <cell r="E252" t="str">
            <v>Patient Accounts Officer</v>
          </cell>
          <cell r="F252" t="str">
            <v>5/18/2015</v>
          </cell>
          <cell r="H252" t="str">
            <v>IVFS2023</v>
          </cell>
          <cell r="I252" t="str">
            <v>NSW</v>
          </cell>
          <cell r="J252" t="str">
            <v>Part Time</v>
          </cell>
          <cell r="K252" t="str">
            <v>5/18/2015</v>
          </cell>
          <cell r="L252" t="str">
            <v>5/18/2015</v>
          </cell>
        </row>
        <row r="253">
          <cell r="A253">
            <v>20467</v>
          </cell>
          <cell r="B253" t="str">
            <v>8/30/1993</v>
          </cell>
          <cell r="C253" t="str">
            <v>NSW-QLD</v>
          </cell>
          <cell r="D253" t="str">
            <v>Virtus Health</v>
          </cell>
          <cell r="E253" t="str">
            <v>Laboratory Supervisor</v>
          </cell>
          <cell r="F253" t="str">
            <v>8/31/2015</v>
          </cell>
          <cell r="H253" t="str">
            <v>NSW</v>
          </cell>
          <cell r="I253" t="str">
            <v>NSW</v>
          </cell>
          <cell r="J253" t="str">
            <v>Full Time</v>
          </cell>
          <cell r="K253" t="str">
            <v>8/31/2015</v>
          </cell>
          <cell r="L253" t="str">
            <v>8/31/2015</v>
          </cell>
        </row>
        <row r="254">
          <cell r="A254">
            <v>20468</v>
          </cell>
          <cell r="B254">
            <v>34129</v>
          </cell>
          <cell r="C254" t="str">
            <v>NSW-QLD</v>
          </cell>
          <cell r="D254" t="str">
            <v>Virtus Health</v>
          </cell>
          <cell r="E254" t="str">
            <v>Administration</v>
          </cell>
          <cell r="F254">
            <v>42194</v>
          </cell>
          <cell r="H254" t="str">
            <v>IVFS2023</v>
          </cell>
          <cell r="I254" t="str">
            <v>NSW</v>
          </cell>
          <cell r="J254" t="str">
            <v>Part Time</v>
          </cell>
          <cell r="K254">
            <v>42194</v>
          </cell>
          <cell r="L254">
            <v>42194</v>
          </cell>
        </row>
        <row r="255">
          <cell r="A255">
            <v>20474</v>
          </cell>
          <cell r="B255">
            <v>34099</v>
          </cell>
          <cell r="C255" t="str">
            <v>NSW-QLD</v>
          </cell>
          <cell r="D255" t="str">
            <v>Virtus Health</v>
          </cell>
          <cell r="E255" t="str">
            <v>Medical Secretary</v>
          </cell>
          <cell r="F255">
            <v>42165</v>
          </cell>
          <cell r="H255" t="str">
            <v>IVFS2023</v>
          </cell>
          <cell r="I255" t="str">
            <v>NSW</v>
          </cell>
          <cell r="J255" t="str">
            <v>Full Time</v>
          </cell>
          <cell r="K255">
            <v>42165</v>
          </cell>
          <cell r="L255">
            <v>42165</v>
          </cell>
        </row>
        <row r="256">
          <cell r="A256">
            <v>20496</v>
          </cell>
          <cell r="B256">
            <v>34608</v>
          </cell>
          <cell r="C256" t="str">
            <v>NSW-QLD</v>
          </cell>
          <cell r="D256" t="str">
            <v>Virtus Health</v>
          </cell>
          <cell r="E256" t="str">
            <v>Clinical Nurse Specialist</v>
          </cell>
          <cell r="F256">
            <v>42675</v>
          </cell>
          <cell r="H256" t="str">
            <v>IVFN2021</v>
          </cell>
          <cell r="I256" t="str">
            <v>NSW</v>
          </cell>
          <cell r="J256" t="str">
            <v>Part Time</v>
          </cell>
          <cell r="K256">
            <v>42675</v>
          </cell>
          <cell r="L256">
            <v>42675</v>
          </cell>
        </row>
        <row r="257">
          <cell r="A257">
            <v>20498</v>
          </cell>
          <cell r="B257" t="str">
            <v>1/17/1994</v>
          </cell>
          <cell r="C257" t="str">
            <v>NSW-QLD</v>
          </cell>
          <cell r="D257" t="str">
            <v>Virtus Health</v>
          </cell>
          <cell r="E257" t="str">
            <v>Administration</v>
          </cell>
          <cell r="F257" t="str">
            <v>1/18/2016</v>
          </cell>
          <cell r="H257" t="str">
            <v>IVFS2023</v>
          </cell>
          <cell r="I257" t="str">
            <v>NSW</v>
          </cell>
          <cell r="J257" t="str">
            <v>Full Time</v>
          </cell>
          <cell r="K257" t="str">
            <v>1/18/2016</v>
          </cell>
          <cell r="L257" t="str">
            <v>1/18/2016</v>
          </cell>
        </row>
        <row r="258">
          <cell r="A258">
            <v>20513</v>
          </cell>
          <cell r="B258">
            <v>34517</v>
          </cell>
          <cell r="C258" t="str">
            <v>NSW-QLD</v>
          </cell>
          <cell r="D258" t="str">
            <v>Virtus Health</v>
          </cell>
          <cell r="E258" t="str">
            <v>Administration</v>
          </cell>
          <cell r="F258">
            <v>42584</v>
          </cell>
          <cell r="H258" t="str">
            <v>IVFS2023</v>
          </cell>
          <cell r="I258" t="str">
            <v>NSW</v>
          </cell>
          <cell r="J258" t="str">
            <v>Part Time</v>
          </cell>
          <cell r="K258">
            <v>42584</v>
          </cell>
          <cell r="L258">
            <v>42584</v>
          </cell>
        </row>
        <row r="259">
          <cell r="A259">
            <v>20517</v>
          </cell>
          <cell r="B259">
            <v>34580</v>
          </cell>
          <cell r="C259" t="str">
            <v>NSW-QLD</v>
          </cell>
          <cell r="D259" t="str">
            <v>Virtus Health</v>
          </cell>
          <cell r="E259" t="str">
            <v>Registered Nurse</v>
          </cell>
          <cell r="F259">
            <v>42616</v>
          </cell>
          <cell r="H259" t="str">
            <v>IVFN2021</v>
          </cell>
          <cell r="I259" t="str">
            <v>NSW</v>
          </cell>
          <cell r="J259" t="str">
            <v>Full Time</v>
          </cell>
          <cell r="K259">
            <v>42616</v>
          </cell>
          <cell r="L259">
            <v>42616</v>
          </cell>
        </row>
        <row r="260">
          <cell r="A260">
            <v>20521</v>
          </cell>
          <cell r="B260" t="str">
            <v>3/22/1994</v>
          </cell>
          <cell r="C260" t="str">
            <v>NSW-QLD</v>
          </cell>
          <cell r="D260" t="str">
            <v>Virtus Health</v>
          </cell>
          <cell r="E260" t="str">
            <v>Administration</v>
          </cell>
          <cell r="F260" t="str">
            <v>3/22/2016</v>
          </cell>
          <cell r="H260" t="str">
            <v>IVFS2023</v>
          </cell>
          <cell r="I260" t="str">
            <v>NSW</v>
          </cell>
          <cell r="J260" t="str">
            <v>Full Time</v>
          </cell>
          <cell r="K260" t="str">
            <v>3/22/2016</v>
          </cell>
          <cell r="L260" t="str">
            <v>3/22/2016</v>
          </cell>
        </row>
        <row r="261">
          <cell r="A261">
            <v>20522</v>
          </cell>
          <cell r="B261" t="str">
            <v>3/21/1994</v>
          </cell>
          <cell r="C261" t="str">
            <v>NSW-QLD</v>
          </cell>
          <cell r="D261" t="str">
            <v>Virtus Health</v>
          </cell>
          <cell r="E261" t="str">
            <v>Medical Secretary</v>
          </cell>
          <cell r="F261" t="str">
            <v>3/21/2016</v>
          </cell>
          <cell r="H261" t="str">
            <v>IVFS2023</v>
          </cell>
          <cell r="I261" t="str">
            <v>NSW</v>
          </cell>
          <cell r="J261" t="str">
            <v>Full Time</v>
          </cell>
          <cell r="K261" t="str">
            <v>3/21/2016</v>
          </cell>
          <cell r="L261" t="str">
            <v>3/21/2016</v>
          </cell>
        </row>
        <row r="262">
          <cell r="A262">
            <v>20535</v>
          </cell>
          <cell r="B262">
            <v>34492</v>
          </cell>
          <cell r="C262" t="str">
            <v>NSW-QLD</v>
          </cell>
          <cell r="D262" t="str">
            <v>Virtus Health</v>
          </cell>
          <cell r="E262" t="str">
            <v>Andrologist</v>
          </cell>
          <cell r="F262">
            <v>42528</v>
          </cell>
          <cell r="H262" t="str">
            <v>IVFT2024</v>
          </cell>
          <cell r="I262" t="str">
            <v>NSW</v>
          </cell>
          <cell r="J262" t="str">
            <v>Part Time</v>
          </cell>
          <cell r="K262">
            <v>42528</v>
          </cell>
          <cell r="L262">
            <v>42528</v>
          </cell>
        </row>
        <row r="263">
          <cell r="A263">
            <v>20538</v>
          </cell>
          <cell r="B263" t="str">
            <v>7/20/1994</v>
          </cell>
          <cell r="C263" t="str">
            <v>NSW-QLD</v>
          </cell>
          <cell r="D263" t="str">
            <v>Virtus Health</v>
          </cell>
          <cell r="E263" t="str">
            <v>Senior Embryologist</v>
          </cell>
          <cell r="F263" t="str">
            <v>7/20/2016</v>
          </cell>
          <cell r="H263" t="str">
            <v>IVFT2024</v>
          </cell>
          <cell r="I263" t="str">
            <v>NSW</v>
          </cell>
          <cell r="J263" t="str">
            <v>Part Time</v>
          </cell>
          <cell r="K263" t="str">
            <v>7/20/2016</v>
          </cell>
          <cell r="L263" t="str">
            <v>7/20/2016</v>
          </cell>
        </row>
        <row r="264">
          <cell r="A264">
            <v>20548</v>
          </cell>
          <cell r="B264" t="str">
            <v>9/26/1994</v>
          </cell>
          <cell r="C264" t="str">
            <v>NSW-QLD</v>
          </cell>
          <cell r="D264" t="str">
            <v>Virtus Health</v>
          </cell>
          <cell r="E264" t="str">
            <v>Nurse Unit Manager</v>
          </cell>
          <cell r="F264" t="str">
            <v>9/26/2016</v>
          </cell>
          <cell r="H264" t="str">
            <v>IVFN2021</v>
          </cell>
          <cell r="I264" t="str">
            <v>NSW</v>
          </cell>
          <cell r="J264" t="str">
            <v>Part Time</v>
          </cell>
          <cell r="K264" t="str">
            <v>9/26/2016</v>
          </cell>
          <cell r="L264" t="str">
            <v>9/26/2016</v>
          </cell>
        </row>
        <row r="265">
          <cell r="A265">
            <v>20549</v>
          </cell>
          <cell r="B265">
            <v>34434</v>
          </cell>
          <cell r="C265" t="str">
            <v>NSW-QLD</v>
          </cell>
          <cell r="D265" t="str">
            <v>Virtus Health</v>
          </cell>
          <cell r="E265" t="str">
            <v>Senior Scientist</v>
          </cell>
          <cell r="F265">
            <v>42470</v>
          </cell>
          <cell r="H265" t="str">
            <v>IVFT2024</v>
          </cell>
          <cell r="I265" t="str">
            <v>NSW</v>
          </cell>
          <cell r="J265" t="str">
            <v>Full Time</v>
          </cell>
          <cell r="K265">
            <v>42470</v>
          </cell>
          <cell r="L265">
            <v>42470</v>
          </cell>
        </row>
        <row r="266">
          <cell r="A266">
            <v>20551</v>
          </cell>
          <cell r="B266" t="str">
            <v>10/17/1994</v>
          </cell>
          <cell r="C266" t="str">
            <v>NSW-QLD</v>
          </cell>
          <cell r="D266" t="str">
            <v>Virtus Health</v>
          </cell>
          <cell r="E266" t="str">
            <v>Registered Nurse</v>
          </cell>
          <cell r="F266" t="str">
            <v>10/17/2016</v>
          </cell>
          <cell r="H266" t="str">
            <v>IVFN2021</v>
          </cell>
          <cell r="I266" t="str">
            <v>NSW</v>
          </cell>
          <cell r="J266" t="str">
            <v>Part Time</v>
          </cell>
          <cell r="K266" t="str">
            <v>10/17/2016</v>
          </cell>
          <cell r="L266" t="str">
            <v>10/17/2016</v>
          </cell>
        </row>
        <row r="267">
          <cell r="A267">
            <v>20556</v>
          </cell>
          <cell r="B267">
            <v>34943</v>
          </cell>
          <cell r="C267" t="str">
            <v>NSW-QLD</v>
          </cell>
          <cell r="D267" t="str">
            <v>Virtus Health</v>
          </cell>
          <cell r="E267" t="str">
            <v>Nurse Unit Manager</v>
          </cell>
          <cell r="F267">
            <v>42979</v>
          </cell>
          <cell r="H267" t="str">
            <v>IVFN2021</v>
          </cell>
          <cell r="I267" t="str">
            <v>NSW</v>
          </cell>
          <cell r="J267" t="str">
            <v>Part Time</v>
          </cell>
          <cell r="K267">
            <v>42979</v>
          </cell>
          <cell r="L267">
            <v>42979</v>
          </cell>
        </row>
        <row r="268">
          <cell r="A268">
            <v>20569</v>
          </cell>
          <cell r="B268" t="str">
            <v>6/14/1995</v>
          </cell>
          <cell r="C268" t="str">
            <v>NSW-QLD</v>
          </cell>
          <cell r="D268" t="str">
            <v>Virtus Health</v>
          </cell>
          <cell r="E268" t="str">
            <v>Nurse Unit Manager</v>
          </cell>
          <cell r="F268" t="str">
            <v>6/14/2017</v>
          </cell>
          <cell r="H268" t="str">
            <v>IVFN2021</v>
          </cell>
          <cell r="I268" t="str">
            <v>NSW</v>
          </cell>
          <cell r="J268" t="str">
            <v>Full Time</v>
          </cell>
          <cell r="K268" t="str">
            <v>6/14/2017</v>
          </cell>
          <cell r="L268" t="str">
            <v>6/14/2017</v>
          </cell>
        </row>
        <row r="269">
          <cell r="A269">
            <v>20571</v>
          </cell>
          <cell r="B269">
            <v>34705</v>
          </cell>
          <cell r="C269" t="str">
            <v>NSW-QLD</v>
          </cell>
          <cell r="D269" t="str">
            <v>Virtus Health</v>
          </cell>
          <cell r="E269" t="str">
            <v>Registered Nurse</v>
          </cell>
          <cell r="F269">
            <v>42741</v>
          </cell>
          <cell r="H269" t="str">
            <v>IVFN2021</v>
          </cell>
          <cell r="I269" t="str">
            <v>NSW</v>
          </cell>
          <cell r="J269" t="str">
            <v>Part Time</v>
          </cell>
          <cell r="K269">
            <v>42741</v>
          </cell>
          <cell r="L269">
            <v>42741</v>
          </cell>
        </row>
        <row r="270">
          <cell r="A270">
            <v>20575</v>
          </cell>
          <cell r="B270" t="str">
            <v>6/13/1995</v>
          </cell>
          <cell r="C270" t="str">
            <v>NSW-QLD</v>
          </cell>
          <cell r="D270" t="str">
            <v>Virtus Health</v>
          </cell>
          <cell r="E270" t="str">
            <v>Administration</v>
          </cell>
          <cell r="F270" t="str">
            <v>6/13/2017</v>
          </cell>
          <cell r="H270" t="str">
            <v>IVFS2023</v>
          </cell>
          <cell r="I270" t="str">
            <v>NSW</v>
          </cell>
          <cell r="J270" t="str">
            <v>Full Time</v>
          </cell>
          <cell r="K270" t="str">
            <v>6/13/2017</v>
          </cell>
          <cell r="L270" t="str">
            <v>6/13/2017</v>
          </cell>
        </row>
        <row r="271">
          <cell r="A271">
            <v>20583</v>
          </cell>
          <cell r="B271">
            <v>34766</v>
          </cell>
          <cell r="C271" t="str">
            <v>NSW-QLD</v>
          </cell>
          <cell r="D271" t="str">
            <v>Virtus Health</v>
          </cell>
          <cell r="E271" t="str">
            <v>Accounts</v>
          </cell>
          <cell r="F271">
            <v>42802</v>
          </cell>
          <cell r="H271" t="str">
            <v>NSW</v>
          </cell>
          <cell r="I271" t="str">
            <v>NSW</v>
          </cell>
          <cell r="J271" t="str">
            <v>Part Time</v>
          </cell>
          <cell r="K271">
            <v>42802</v>
          </cell>
          <cell r="L271">
            <v>42802</v>
          </cell>
        </row>
        <row r="272">
          <cell r="A272">
            <v>20593</v>
          </cell>
          <cell r="B272" t="str">
            <v>10/16/1995</v>
          </cell>
          <cell r="C272" t="str">
            <v>NSW-QLD</v>
          </cell>
          <cell r="D272" t="str">
            <v>Virtus Health</v>
          </cell>
          <cell r="E272" t="str">
            <v>Acting Donor Team Leader</v>
          </cell>
          <cell r="F272" t="str">
            <v>10/16/2017</v>
          </cell>
          <cell r="H272" t="str">
            <v>IVFS2023</v>
          </cell>
          <cell r="I272" t="str">
            <v>QLD</v>
          </cell>
          <cell r="J272" t="str">
            <v>Full Time</v>
          </cell>
          <cell r="K272" t="str">
            <v>10/16/2017</v>
          </cell>
          <cell r="L272" t="str">
            <v>10/16/2017</v>
          </cell>
        </row>
        <row r="273">
          <cell r="A273">
            <v>20595</v>
          </cell>
          <cell r="B273" t="str">
            <v>11/13/1995</v>
          </cell>
          <cell r="C273" t="str">
            <v>NSW-QLD</v>
          </cell>
          <cell r="D273" t="str">
            <v>Virtus Health</v>
          </cell>
          <cell r="E273" t="str">
            <v>Facilities and Projects manager</v>
          </cell>
          <cell r="F273" t="str">
            <v>11/13/2017</v>
          </cell>
          <cell r="H273" t="str">
            <v>NSW</v>
          </cell>
          <cell r="I273" t="str">
            <v>NSW</v>
          </cell>
          <cell r="J273" t="str">
            <v>Part Time</v>
          </cell>
          <cell r="K273" t="str">
            <v>11/13/2017</v>
          </cell>
          <cell r="L273" t="str">
            <v>11/13/2017</v>
          </cell>
        </row>
        <row r="274">
          <cell r="A274">
            <v>20599</v>
          </cell>
          <cell r="B274" t="str">
            <v>11/13/1995</v>
          </cell>
          <cell r="C274" t="str">
            <v>NSW-QLD</v>
          </cell>
          <cell r="D274" t="str">
            <v>Virtus Health</v>
          </cell>
          <cell r="E274" t="str">
            <v>General Manager Projects, Facility Operations IVFA</v>
          </cell>
          <cell r="F274" t="str">
            <v>11/13/2017</v>
          </cell>
          <cell r="H274" t="str">
            <v>NSW</v>
          </cell>
          <cell r="I274" t="str">
            <v>NSW</v>
          </cell>
          <cell r="J274" t="str">
            <v>Full Time</v>
          </cell>
          <cell r="K274" t="str">
            <v>11/13/2017</v>
          </cell>
          <cell r="L274" t="str">
            <v>11/13/2017</v>
          </cell>
        </row>
        <row r="275">
          <cell r="A275">
            <v>20603</v>
          </cell>
          <cell r="B275">
            <v>35278</v>
          </cell>
          <cell r="C275" t="str">
            <v>NSW-QLD</v>
          </cell>
          <cell r="D275" t="str">
            <v>Virtus Health</v>
          </cell>
          <cell r="E275" t="str">
            <v>Nurse Coordinator</v>
          </cell>
          <cell r="F275">
            <v>43313</v>
          </cell>
          <cell r="H275" t="str">
            <v>IVFN2021</v>
          </cell>
          <cell r="I275" t="str">
            <v>NSW</v>
          </cell>
          <cell r="J275" t="str">
            <v>Part Time</v>
          </cell>
          <cell r="K275">
            <v>43313</v>
          </cell>
          <cell r="L275">
            <v>43313</v>
          </cell>
        </row>
        <row r="276">
          <cell r="A276">
            <v>20612</v>
          </cell>
          <cell r="B276">
            <v>35281</v>
          </cell>
          <cell r="C276" t="str">
            <v>NSW-QLD</v>
          </cell>
          <cell r="D276" t="str">
            <v>Virtus Health</v>
          </cell>
          <cell r="E276" t="str">
            <v>Director of Nursing</v>
          </cell>
          <cell r="F276">
            <v>43347</v>
          </cell>
          <cell r="H276" t="str">
            <v>NSW</v>
          </cell>
          <cell r="I276" t="str">
            <v>NSW</v>
          </cell>
          <cell r="J276" t="str">
            <v>Full Time</v>
          </cell>
          <cell r="K276">
            <v>43347</v>
          </cell>
          <cell r="L276">
            <v>43347</v>
          </cell>
        </row>
        <row r="277">
          <cell r="A277">
            <v>20616</v>
          </cell>
          <cell r="B277" t="str">
            <v>4/15/1996</v>
          </cell>
          <cell r="C277" t="str">
            <v>NSW-QLD</v>
          </cell>
          <cell r="D277" t="str">
            <v>Virtus Health</v>
          </cell>
          <cell r="E277" t="str">
            <v>Embryologist</v>
          </cell>
          <cell r="F277" t="str">
            <v>4/16/2018</v>
          </cell>
          <cell r="H277" t="str">
            <v>IVFT2024</v>
          </cell>
          <cell r="I277" t="str">
            <v>NSW</v>
          </cell>
          <cell r="J277" t="str">
            <v>Full Time</v>
          </cell>
          <cell r="K277" t="str">
            <v>4/16/2018</v>
          </cell>
          <cell r="L277" t="str">
            <v>4/16/2018</v>
          </cell>
        </row>
        <row r="278">
          <cell r="A278">
            <v>20618</v>
          </cell>
          <cell r="B278" t="str">
            <v>4/29/1996</v>
          </cell>
          <cell r="C278" t="str">
            <v>NSW-QLD</v>
          </cell>
          <cell r="D278" t="str">
            <v>Virtus Health</v>
          </cell>
          <cell r="E278" t="str">
            <v>Embryologist</v>
          </cell>
          <cell r="F278" t="str">
            <v>4/30/2018</v>
          </cell>
          <cell r="H278" t="str">
            <v>IVFT2024</v>
          </cell>
          <cell r="I278" t="str">
            <v>NSW</v>
          </cell>
          <cell r="J278" t="str">
            <v>Full Time</v>
          </cell>
          <cell r="K278" t="str">
            <v>4/30/2018</v>
          </cell>
          <cell r="L278" t="str">
            <v>4/30/2018</v>
          </cell>
        </row>
        <row r="279">
          <cell r="A279">
            <v>20633</v>
          </cell>
          <cell r="B279">
            <v>35130</v>
          </cell>
          <cell r="C279" t="str">
            <v>NSW-QLD</v>
          </cell>
          <cell r="D279" t="str">
            <v>Virtus Health</v>
          </cell>
          <cell r="E279" t="str">
            <v>Head of Strategic Projects</v>
          </cell>
          <cell r="F279">
            <v>43196</v>
          </cell>
          <cell r="H279" t="str">
            <v>NSW</v>
          </cell>
          <cell r="I279" t="str">
            <v>NSW</v>
          </cell>
          <cell r="J279" t="str">
            <v>Full Time</v>
          </cell>
          <cell r="K279">
            <v>43196</v>
          </cell>
          <cell r="L279">
            <v>43196</v>
          </cell>
        </row>
        <row r="280">
          <cell r="A280">
            <v>20636</v>
          </cell>
          <cell r="B280" t="str">
            <v>6/17/1996</v>
          </cell>
          <cell r="C280" t="str">
            <v>NSW-QLD</v>
          </cell>
          <cell r="D280" t="str">
            <v>Virtus Health</v>
          </cell>
          <cell r="E280" t="str">
            <v>Business Analyst</v>
          </cell>
          <cell r="F280" t="str">
            <v>6/18/2018</v>
          </cell>
          <cell r="H280" t="str">
            <v>VIC</v>
          </cell>
          <cell r="I280" t="str">
            <v>VIC</v>
          </cell>
          <cell r="J280" t="str">
            <v>Full Time</v>
          </cell>
          <cell r="K280" t="str">
            <v>6/18/2018</v>
          </cell>
          <cell r="L280" t="str">
            <v>6/18/2018</v>
          </cell>
        </row>
        <row r="281">
          <cell r="A281">
            <v>20643</v>
          </cell>
          <cell r="B281">
            <v>35345</v>
          </cell>
          <cell r="C281" t="str">
            <v>NSW-QLD</v>
          </cell>
          <cell r="D281" t="str">
            <v>Virtus Health</v>
          </cell>
          <cell r="E281" t="str">
            <v>Registered Nurse</v>
          </cell>
          <cell r="F281">
            <v>43411</v>
          </cell>
          <cell r="H281" t="str">
            <v>IVFN2021</v>
          </cell>
          <cell r="I281" t="str">
            <v>NSW</v>
          </cell>
          <cell r="J281" t="str">
            <v>Part Time</v>
          </cell>
          <cell r="K281">
            <v>43411</v>
          </cell>
          <cell r="L281">
            <v>43411</v>
          </cell>
        </row>
        <row r="282">
          <cell r="A282">
            <v>20661</v>
          </cell>
          <cell r="B282">
            <v>35705</v>
          </cell>
          <cell r="C282" t="str">
            <v>NSW-QLD</v>
          </cell>
          <cell r="D282" t="str">
            <v>Virtus Health</v>
          </cell>
          <cell r="E282" t="str">
            <v>Registered Nurse</v>
          </cell>
          <cell r="F282">
            <v>43771</v>
          </cell>
          <cell r="H282" t="str">
            <v>IVFN2021</v>
          </cell>
          <cell r="I282" t="str">
            <v>NSW</v>
          </cell>
          <cell r="J282" t="str">
            <v>Part Time</v>
          </cell>
          <cell r="K282">
            <v>43771</v>
          </cell>
          <cell r="L282">
            <v>43771</v>
          </cell>
        </row>
        <row r="283">
          <cell r="A283">
            <v>20666</v>
          </cell>
          <cell r="B283">
            <v>35767</v>
          </cell>
          <cell r="C283" t="str">
            <v>NSW-QLD</v>
          </cell>
          <cell r="D283" t="str">
            <v>Virtus Health</v>
          </cell>
          <cell r="E283" t="str">
            <v>Nurse Coordinator</v>
          </cell>
          <cell r="F283" t="str">
            <v>3/13/2019</v>
          </cell>
          <cell r="H283" t="str">
            <v>IVFN2021</v>
          </cell>
          <cell r="I283" t="str">
            <v>NSW</v>
          </cell>
          <cell r="J283" t="str">
            <v>Full Time</v>
          </cell>
          <cell r="K283" t="str">
            <v>3/13/2019</v>
          </cell>
          <cell r="L283" t="str">
            <v>3/13/2019</v>
          </cell>
        </row>
        <row r="284">
          <cell r="A284">
            <v>20667</v>
          </cell>
          <cell r="B284">
            <v>35767</v>
          </cell>
          <cell r="C284" t="str">
            <v>NSW-QLD</v>
          </cell>
          <cell r="D284" t="str">
            <v>Virtus Health</v>
          </cell>
          <cell r="E284" t="str">
            <v>Administration Team Leader</v>
          </cell>
          <cell r="F284" t="str">
            <v>3/13/2019</v>
          </cell>
          <cell r="H284" t="str">
            <v>IVFS2023</v>
          </cell>
          <cell r="I284" t="str">
            <v>NSW</v>
          </cell>
          <cell r="J284" t="str">
            <v>Part Time</v>
          </cell>
          <cell r="K284" t="str">
            <v>3/13/2019</v>
          </cell>
          <cell r="L284" t="str">
            <v>3/13/2019</v>
          </cell>
        </row>
        <row r="285">
          <cell r="A285">
            <v>20678</v>
          </cell>
          <cell r="B285" t="str">
            <v>4/14/1997</v>
          </cell>
          <cell r="C285" t="str">
            <v>NSW-QLD</v>
          </cell>
          <cell r="D285" t="str">
            <v>Virtus Health</v>
          </cell>
          <cell r="E285" t="str">
            <v>Genetic Counsellor</v>
          </cell>
          <cell r="F285" t="str">
            <v>4/15/2019</v>
          </cell>
          <cell r="H285" t="str">
            <v>NSW</v>
          </cell>
          <cell r="I285" t="str">
            <v>NSW</v>
          </cell>
          <cell r="J285" t="str">
            <v>Part Time</v>
          </cell>
          <cell r="K285" t="str">
            <v>4/15/2019</v>
          </cell>
          <cell r="L285" t="str">
            <v>4/15/2019</v>
          </cell>
        </row>
        <row r="286">
          <cell r="A286">
            <v>20686</v>
          </cell>
          <cell r="B286" t="str">
            <v>6/30/1997</v>
          </cell>
          <cell r="C286" t="str">
            <v>NSW-QLD</v>
          </cell>
          <cell r="D286" t="str">
            <v>Virtus Health</v>
          </cell>
          <cell r="E286" t="str">
            <v>Embryologist</v>
          </cell>
          <cell r="F286">
            <v>43472</v>
          </cell>
          <cell r="H286" t="str">
            <v>IVFT2024</v>
          </cell>
          <cell r="I286" t="str">
            <v>NSW</v>
          </cell>
          <cell r="J286" t="str">
            <v>Full Time</v>
          </cell>
          <cell r="K286">
            <v>43472</v>
          </cell>
          <cell r="L286">
            <v>43472</v>
          </cell>
        </row>
        <row r="287">
          <cell r="A287">
            <v>20687</v>
          </cell>
          <cell r="B287" t="str">
            <v>6/30/1997</v>
          </cell>
          <cell r="C287" t="str">
            <v>NSW-QLD</v>
          </cell>
          <cell r="D287" t="str">
            <v>Virtus Health</v>
          </cell>
          <cell r="E287" t="str">
            <v>Embryologist</v>
          </cell>
          <cell r="F287">
            <v>43472</v>
          </cell>
          <cell r="H287" t="str">
            <v>IVFT2024</v>
          </cell>
          <cell r="I287" t="str">
            <v>NSW</v>
          </cell>
          <cell r="J287" t="str">
            <v>Full Time</v>
          </cell>
          <cell r="K287">
            <v>43472</v>
          </cell>
          <cell r="L287">
            <v>43472</v>
          </cell>
        </row>
        <row r="288">
          <cell r="A288">
            <v>20689</v>
          </cell>
          <cell r="B288" t="str">
            <v>6/30/1997</v>
          </cell>
          <cell r="C288" t="str">
            <v>NSW-QLD</v>
          </cell>
          <cell r="D288" t="str">
            <v>Virtus Health</v>
          </cell>
          <cell r="E288" t="str">
            <v>Medical Secretary</v>
          </cell>
          <cell r="F288">
            <v>43472</v>
          </cell>
          <cell r="H288" t="str">
            <v>IVFS2023</v>
          </cell>
          <cell r="I288" t="str">
            <v>NSW</v>
          </cell>
          <cell r="J288" t="str">
            <v>Part Time</v>
          </cell>
          <cell r="K288">
            <v>43472</v>
          </cell>
          <cell r="L288">
            <v>43472</v>
          </cell>
        </row>
        <row r="289">
          <cell r="A289">
            <v>20693</v>
          </cell>
          <cell r="B289">
            <v>35528</v>
          </cell>
          <cell r="C289" t="str">
            <v>NSW-QLD</v>
          </cell>
          <cell r="D289" t="str">
            <v>Virtus Health</v>
          </cell>
          <cell r="E289" t="str">
            <v>Nurse Coordinator</v>
          </cell>
          <cell r="F289">
            <v>43593</v>
          </cell>
          <cell r="H289" t="str">
            <v>IVFN2021</v>
          </cell>
          <cell r="I289" t="str">
            <v>NSW</v>
          </cell>
          <cell r="J289" t="str">
            <v>Part Time</v>
          </cell>
          <cell r="K289">
            <v>43593</v>
          </cell>
          <cell r="L289">
            <v>43593</v>
          </cell>
        </row>
        <row r="290">
          <cell r="A290">
            <v>20696</v>
          </cell>
          <cell r="B290" t="str">
            <v>8/25/1997</v>
          </cell>
          <cell r="C290" t="str">
            <v>NSW-QLD</v>
          </cell>
          <cell r="D290" t="str">
            <v>Virtus Health</v>
          </cell>
          <cell r="E290" t="str">
            <v>PR &amp; Media Specialist</v>
          </cell>
          <cell r="F290" t="str">
            <v>8/26/2019</v>
          </cell>
          <cell r="H290" t="str">
            <v>NSW</v>
          </cell>
          <cell r="I290" t="str">
            <v>NSW</v>
          </cell>
          <cell r="J290" t="str">
            <v>Full Time</v>
          </cell>
          <cell r="K290" t="str">
            <v>8/26/2019</v>
          </cell>
          <cell r="L290" t="str">
            <v>8/26/2019</v>
          </cell>
        </row>
        <row r="291">
          <cell r="A291">
            <v>20713</v>
          </cell>
          <cell r="B291">
            <v>36130</v>
          </cell>
          <cell r="C291" t="str">
            <v>NSW-QLD</v>
          </cell>
          <cell r="D291" t="str">
            <v>Virtus Health</v>
          </cell>
          <cell r="E291" t="str">
            <v>Community Partnerships Manager</v>
          </cell>
          <cell r="F291" t="str">
            <v>1/13/2020</v>
          </cell>
          <cell r="H291" t="str">
            <v>NSW</v>
          </cell>
          <cell r="I291" t="str">
            <v>NSW</v>
          </cell>
          <cell r="J291" t="str">
            <v>Full Time</v>
          </cell>
          <cell r="K291" t="str">
            <v>1/13/2020</v>
          </cell>
          <cell r="L291" t="str">
            <v>1/13/2020</v>
          </cell>
        </row>
        <row r="292">
          <cell r="A292">
            <v>20729</v>
          </cell>
          <cell r="B292">
            <v>36041</v>
          </cell>
          <cell r="C292" t="str">
            <v>NSW-QLD</v>
          </cell>
          <cell r="D292" t="str">
            <v>Virtus Health</v>
          </cell>
          <cell r="E292" t="str">
            <v>New Patient Care Consultant</v>
          </cell>
          <cell r="F292">
            <v>44077</v>
          </cell>
          <cell r="H292" t="str">
            <v>IVFS2023</v>
          </cell>
          <cell r="I292" t="str">
            <v>NSW</v>
          </cell>
          <cell r="J292" t="str">
            <v>Part Time</v>
          </cell>
          <cell r="K292">
            <v>44077</v>
          </cell>
          <cell r="L292">
            <v>44077</v>
          </cell>
        </row>
        <row r="293">
          <cell r="A293">
            <v>20732</v>
          </cell>
          <cell r="B293" t="str">
            <v>4/14/1998</v>
          </cell>
          <cell r="C293" t="str">
            <v>NSW-QLD</v>
          </cell>
          <cell r="D293" t="str">
            <v>Virtus Health</v>
          </cell>
          <cell r="E293" t="str">
            <v>head of ESG and Corporate Communications</v>
          </cell>
          <cell r="F293" t="str">
            <v>4/14/2020</v>
          </cell>
          <cell r="H293" t="str">
            <v>NSW</v>
          </cell>
          <cell r="I293" t="str">
            <v>NSW</v>
          </cell>
          <cell r="J293" t="str">
            <v>Part Time</v>
          </cell>
          <cell r="K293" t="str">
            <v>4/14/2020</v>
          </cell>
          <cell r="L293" t="str">
            <v>4/14/2020</v>
          </cell>
        </row>
        <row r="294">
          <cell r="A294">
            <v>20738</v>
          </cell>
          <cell r="B294">
            <v>35921</v>
          </cell>
          <cell r="C294" t="str">
            <v>NSW-QLD</v>
          </cell>
          <cell r="D294" t="str">
            <v>Virtus Health</v>
          </cell>
          <cell r="E294" t="str">
            <v>Patient Concierge</v>
          </cell>
          <cell r="F294">
            <v>43957</v>
          </cell>
          <cell r="H294" t="str">
            <v>IVFS2023</v>
          </cell>
          <cell r="I294" t="str">
            <v>NSW</v>
          </cell>
          <cell r="J294" t="str">
            <v>Casual</v>
          </cell>
          <cell r="K294">
            <v>43957</v>
          </cell>
          <cell r="L294">
            <v>43957</v>
          </cell>
        </row>
        <row r="295">
          <cell r="A295">
            <v>20741</v>
          </cell>
          <cell r="B295" t="str">
            <v>6/15/1998</v>
          </cell>
          <cell r="C295" t="str">
            <v>NSW-QLD</v>
          </cell>
          <cell r="D295" t="str">
            <v>Virtus Health</v>
          </cell>
          <cell r="E295" t="str">
            <v>Embryologist</v>
          </cell>
          <cell r="F295" t="str">
            <v>6/15/2020</v>
          </cell>
          <cell r="H295" t="str">
            <v>IVFT2024</v>
          </cell>
          <cell r="I295" t="str">
            <v>NSW</v>
          </cell>
          <cell r="J295" t="str">
            <v>Full Time</v>
          </cell>
          <cell r="K295" t="str">
            <v>6/15/2020</v>
          </cell>
          <cell r="L295" t="str">
            <v>6/15/2020</v>
          </cell>
        </row>
        <row r="296">
          <cell r="A296">
            <v>20746</v>
          </cell>
          <cell r="B296" t="str">
            <v>6/22/1998</v>
          </cell>
          <cell r="C296" t="str">
            <v>NSW-QLD</v>
          </cell>
          <cell r="D296" t="str">
            <v>Virtus Health</v>
          </cell>
          <cell r="E296" t="str">
            <v>Registered Nurse</v>
          </cell>
          <cell r="F296" t="str">
            <v>6/22/2020</v>
          </cell>
          <cell r="H296" t="str">
            <v>IVFN2021</v>
          </cell>
          <cell r="I296" t="str">
            <v>NSW</v>
          </cell>
          <cell r="J296" t="str">
            <v>Part Time</v>
          </cell>
          <cell r="K296" t="str">
            <v>6/22/2020</v>
          </cell>
          <cell r="L296" t="str">
            <v>6/22/2020</v>
          </cell>
        </row>
        <row r="297">
          <cell r="A297">
            <v>20749</v>
          </cell>
          <cell r="B297" t="str">
            <v>6/15/1998</v>
          </cell>
          <cell r="C297" t="str">
            <v>NSW-QLD</v>
          </cell>
          <cell r="D297" t="str">
            <v>Virtus Health</v>
          </cell>
          <cell r="E297" t="str">
            <v>Principal Scientist</v>
          </cell>
          <cell r="F297" t="str">
            <v>6/15/2020</v>
          </cell>
          <cell r="H297" t="str">
            <v>TAS</v>
          </cell>
          <cell r="I297" t="str">
            <v>TAS</v>
          </cell>
          <cell r="J297" t="str">
            <v>Full Time</v>
          </cell>
          <cell r="K297" t="str">
            <v>6/15/2020</v>
          </cell>
          <cell r="L297" t="str">
            <v>6/15/2020</v>
          </cell>
        </row>
        <row r="298">
          <cell r="A298">
            <v>20752</v>
          </cell>
          <cell r="B298">
            <v>31787</v>
          </cell>
          <cell r="C298" t="str">
            <v>NSW-QLD</v>
          </cell>
          <cell r="D298" t="str">
            <v>Virtus Health</v>
          </cell>
          <cell r="E298" t="str">
            <v>Director Medical Affairs</v>
          </cell>
          <cell r="F298">
            <v>39823</v>
          </cell>
          <cell r="H298" t="str">
            <v>QLD</v>
          </cell>
          <cell r="I298" t="str">
            <v>QLD</v>
          </cell>
          <cell r="J298" t="str">
            <v>Full Time</v>
          </cell>
          <cell r="K298">
            <v>39823</v>
          </cell>
          <cell r="L298">
            <v>39823</v>
          </cell>
        </row>
        <row r="299">
          <cell r="A299">
            <v>20755</v>
          </cell>
          <cell r="B299">
            <v>35802</v>
          </cell>
          <cell r="C299" t="str">
            <v>NSW-QLD</v>
          </cell>
          <cell r="D299" t="str">
            <v>Virtus Health</v>
          </cell>
          <cell r="E299" t="str">
            <v>Clinical Nurse Specialist</v>
          </cell>
          <cell r="F299">
            <v>43837</v>
          </cell>
          <cell r="H299" t="str">
            <v>IVFN2021</v>
          </cell>
          <cell r="I299" t="str">
            <v>NSW</v>
          </cell>
          <cell r="J299" t="str">
            <v>Full Time</v>
          </cell>
          <cell r="K299">
            <v>43837</v>
          </cell>
          <cell r="L299">
            <v>43837</v>
          </cell>
        </row>
        <row r="300">
          <cell r="A300">
            <v>20756</v>
          </cell>
          <cell r="B300">
            <v>35953</v>
          </cell>
          <cell r="C300" t="str">
            <v>NSW-QLD</v>
          </cell>
          <cell r="D300" t="str">
            <v>Virtus Health</v>
          </cell>
          <cell r="E300" t="str">
            <v>Clinical Nurse Specialist</v>
          </cell>
          <cell r="F300">
            <v>43989</v>
          </cell>
          <cell r="H300" t="str">
            <v>IVFN2021</v>
          </cell>
          <cell r="I300" t="str">
            <v>NSW</v>
          </cell>
          <cell r="J300" t="str">
            <v>Full Time</v>
          </cell>
          <cell r="K300">
            <v>43989</v>
          </cell>
          <cell r="L300">
            <v>43989</v>
          </cell>
        </row>
        <row r="301">
          <cell r="A301">
            <v>20760</v>
          </cell>
          <cell r="B301">
            <v>35953</v>
          </cell>
          <cell r="C301" t="str">
            <v>NSW-QLD</v>
          </cell>
          <cell r="D301" t="str">
            <v>Virtus Health</v>
          </cell>
          <cell r="E301" t="str">
            <v>Nurse Unit Manager</v>
          </cell>
          <cell r="F301">
            <v>43989</v>
          </cell>
          <cell r="H301" t="str">
            <v>IVFN2021</v>
          </cell>
          <cell r="I301" t="str">
            <v>ACT</v>
          </cell>
          <cell r="J301" t="str">
            <v>Full Time</v>
          </cell>
          <cell r="K301">
            <v>43989</v>
          </cell>
          <cell r="L301">
            <v>43989</v>
          </cell>
        </row>
        <row r="302">
          <cell r="A302">
            <v>20762</v>
          </cell>
          <cell r="B302" t="str">
            <v>7/20/1998</v>
          </cell>
          <cell r="C302" t="str">
            <v>NSW-QLD</v>
          </cell>
          <cell r="D302" t="str">
            <v>Virtus Health</v>
          </cell>
          <cell r="E302" t="str">
            <v>Registered Nurse</v>
          </cell>
          <cell r="F302" t="str">
            <v>7/20/2020</v>
          </cell>
          <cell r="H302" t="str">
            <v>IVFN2021</v>
          </cell>
          <cell r="I302" t="str">
            <v>NSW</v>
          </cell>
          <cell r="J302" t="str">
            <v>Part Time</v>
          </cell>
          <cell r="K302" t="str">
            <v>7/20/2020</v>
          </cell>
          <cell r="L302" t="str">
            <v>7/20/2020</v>
          </cell>
        </row>
        <row r="303">
          <cell r="A303">
            <v>20765</v>
          </cell>
          <cell r="B303" t="str">
            <v>7/20/1998</v>
          </cell>
          <cell r="C303" t="str">
            <v>NSW-QLD</v>
          </cell>
          <cell r="D303" t="str">
            <v>Virtus Health</v>
          </cell>
          <cell r="E303" t="str">
            <v>Marcomms Specialist</v>
          </cell>
          <cell r="F303" t="str">
            <v>7/20/2020</v>
          </cell>
          <cell r="H303" t="str">
            <v>NSW</v>
          </cell>
          <cell r="I303" t="str">
            <v>NSW</v>
          </cell>
          <cell r="J303" t="str">
            <v>Full Time</v>
          </cell>
          <cell r="K303" t="str">
            <v>7/20/2020</v>
          </cell>
          <cell r="L303" t="str">
            <v>7/20/2020</v>
          </cell>
        </row>
        <row r="304">
          <cell r="A304">
            <v>20771</v>
          </cell>
          <cell r="B304">
            <v>36076</v>
          </cell>
          <cell r="C304" t="str">
            <v>NSW-QLD</v>
          </cell>
          <cell r="D304" t="str">
            <v>Virtus Health</v>
          </cell>
          <cell r="E304" t="str">
            <v>Andrologist</v>
          </cell>
          <cell r="F304">
            <v>44112</v>
          </cell>
          <cell r="H304" t="str">
            <v>IVFT2024</v>
          </cell>
          <cell r="I304" t="str">
            <v>NSW</v>
          </cell>
          <cell r="J304" t="str">
            <v>Full Time</v>
          </cell>
          <cell r="K304">
            <v>44112</v>
          </cell>
          <cell r="L304">
            <v>44112</v>
          </cell>
        </row>
        <row r="305">
          <cell r="A305">
            <v>20773</v>
          </cell>
          <cell r="B305">
            <v>36076</v>
          </cell>
          <cell r="C305" t="str">
            <v>NSW-QLD</v>
          </cell>
          <cell r="D305" t="str">
            <v>Virtus Health</v>
          </cell>
          <cell r="E305" t="str">
            <v>Embryologist</v>
          </cell>
          <cell r="F305">
            <v>44112</v>
          </cell>
          <cell r="H305" t="str">
            <v>IVFT2024</v>
          </cell>
          <cell r="I305" t="str">
            <v>NSW</v>
          </cell>
          <cell r="J305" t="str">
            <v>Full Time</v>
          </cell>
          <cell r="K305">
            <v>44112</v>
          </cell>
          <cell r="L305">
            <v>44112</v>
          </cell>
        </row>
        <row r="306">
          <cell r="A306">
            <v>20776</v>
          </cell>
          <cell r="B306" t="str">
            <v>8/18/1998</v>
          </cell>
          <cell r="C306" t="str">
            <v>NSW-QLD</v>
          </cell>
          <cell r="D306" t="str">
            <v>Virtus Health</v>
          </cell>
          <cell r="E306" t="str">
            <v>Administration</v>
          </cell>
          <cell r="F306" t="str">
            <v>8/18/2020</v>
          </cell>
          <cell r="H306" t="str">
            <v>IVFS2023</v>
          </cell>
          <cell r="I306" t="str">
            <v>NSW</v>
          </cell>
          <cell r="J306" t="str">
            <v>Part Time</v>
          </cell>
          <cell r="K306" t="str">
            <v>8/18/2020</v>
          </cell>
          <cell r="L306" t="str">
            <v>8/18/2020</v>
          </cell>
        </row>
        <row r="307">
          <cell r="A307">
            <v>20778</v>
          </cell>
          <cell r="B307" t="str">
            <v>8/17/1998</v>
          </cell>
          <cell r="C307" t="str">
            <v>NSW-QLD</v>
          </cell>
          <cell r="D307" t="str">
            <v>Virtus Health</v>
          </cell>
          <cell r="E307" t="str">
            <v>Embryologist</v>
          </cell>
          <cell r="F307" t="str">
            <v>8/17/2020</v>
          </cell>
          <cell r="H307" t="str">
            <v>IVFT2024</v>
          </cell>
          <cell r="I307" t="str">
            <v>NSW</v>
          </cell>
          <cell r="J307" t="str">
            <v>Full Time</v>
          </cell>
          <cell r="K307" t="str">
            <v>8/17/2020</v>
          </cell>
          <cell r="L307" t="str">
            <v>8/17/2020</v>
          </cell>
        </row>
        <row r="308">
          <cell r="A308">
            <v>20779</v>
          </cell>
          <cell r="B308" t="str">
            <v>8/17/1998</v>
          </cell>
          <cell r="C308" t="str">
            <v>NSW-QLD</v>
          </cell>
          <cell r="D308" t="str">
            <v>Virtus Health</v>
          </cell>
          <cell r="E308" t="str">
            <v>Embryologist/Andrologist</v>
          </cell>
          <cell r="F308" t="str">
            <v>8/17/2020</v>
          </cell>
          <cell r="H308" t="str">
            <v>IVFT2024</v>
          </cell>
          <cell r="I308" t="str">
            <v>NSW</v>
          </cell>
          <cell r="J308" t="str">
            <v>Part Time</v>
          </cell>
          <cell r="K308" t="str">
            <v>8/17/2020</v>
          </cell>
          <cell r="L308" t="str">
            <v>8/17/2020</v>
          </cell>
        </row>
        <row r="309">
          <cell r="A309">
            <v>20780</v>
          </cell>
          <cell r="B309">
            <v>36137</v>
          </cell>
          <cell r="C309" t="str">
            <v>NSW-QLD</v>
          </cell>
          <cell r="D309" t="str">
            <v>Virtus Health</v>
          </cell>
          <cell r="E309" t="str">
            <v xml:space="preserve">Patient Care Consultant </v>
          </cell>
          <cell r="F309">
            <v>44173</v>
          </cell>
          <cell r="H309" t="str">
            <v>IVFS2023</v>
          </cell>
          <cell r="I309" t="str">
            <v>NSW</v>
          </cell>
          <cell r="J309" t="str">
            <v>Part Time</v>
          </cell>
          <cell r="K309">
            <v>44173</v>
          </cell>
          <cell r="L309">
            <v>44173</v>
          </cell>
        </row>
        <row r="310">
          <cell r="A310">
            <v>20782</v>
          </cell>
          <cell r="B310" t="str">
            <v>8/17/1998</v>
          </cell>
          <cell r="C310" t="str">
            <v>NSW-QLD</v>
          </cell>
          <cell r="D310" t="str">
            <v>Virtus Health</v>
          </cell>
          <cell r="E310" t="str">
            <v>Embryologist</v>
          </cell>
          <cell r="F310" t="str">
            <v>8/17/2020</v>
          </cell>
          <cell r="H310" t="str">
            <v>IVFT2024</v>
          </cell>
          <cell r="I310" t="str">
            <v>NSW</v>
          </cell>
          <cell r="J310" t="str">
            <v>Full Time</v>
          </cell>
          <cell r="K310" t="str">
            <v>8/17/2020</v>
          </cell>
          <cell r="L310" t="str">
            <v>8/17/2020</v>
          </cell>
        </row>
        <row r="311">
          <cell r="A311">
            <v>20784</v>
          </cell>
          <cell r="B311">
            <v>35985</v>
          </cell>
          <cell r="C311" t="str">
            <v>NSW-QLD</v>
          </cell>
          <cell r="D311" t="str">
            <v>Virtus Health</v>
          </cell>
          <cell r="E311" t="str">
            <v>Clinical Nurse Specialist</v>
          </cell>
          <cell r="F311">
            <v>44021</v>
          </cell>
          <cell r="H311" t="str">
            <v>IVFN2021</v>
          </cell>
          <cell r="I311" t="str">
            <v>NSW</v>
          </cell>
          <cell r="J311" t="str">
            <v>Full Time</v>
          </cell>
          <cell r="K311">
            <v>44021</v>
          </cell>
          <cell r="L311">
            <v>44021</v>
          </cell>
        </row>
        <row r="312">
          <cell r="A312">
            <v>20790</v>
          </cell>
          <cell r="B312" t="str">
            <v>9/21/1998</v>
          </cell>
          <cell r="C312" t="str">
            <v>NSW-QLD</v>
          </cell>
          <cell r="D312" t="str">
            <v>Virtus Health</v>
          </cell>
          <cell r="E312" t="str">
            <v>Registered Nurse</v>
          </cell>
          <cell r="F312" t="str">
            <v>9/21/2020</v>
          </cell>
          <cell r="H312" t="str">
            <v>IVFN2021</v>
          </cell>
          <cell r="I312" t="str">
            <v>NSW</v>
          </cell>
          <cell r="J312" t="str">
            <v>Full Time</v>
          </cell>
          <cell r="K312" t="str">
            <v>9/21/2020</v>
          </cell>
          <cell r="L312" t="str">
            <v>9/21/2020</v>
          </cell>
        </row>
        <row r="313">
          <cell r="A313">
            <v>20793</v>
          </cell>
          <cell r="B313" t="str">
            <v>9/28/1998</v>
          </cell>
          <cell r="C313" t="str">
            <v>NSW-QLD</v>
          </cell>
          <cell r="D313" t="str">
            <v>Virtus Health</v>
          </cell>
          <cell r="E313" t="str">
            <v>Unit Nurse Manager</v>
          </cell>
          <cell r="F313" t="str">
            <v>9/28/2020</v>
          </cell>
          <cell r="H313" t="str">
            <v>IVFN2021</v>
          </cell>
          <cell r="I313" t="str">
            <v>NSW</v>
          </cell>
          <cell r="J313" t="str">
            <v>Full Time</v>
          </cell>
          <cell r="K313" t="str">
            <v>9/28/2020</v>
          </cell>
          <cell r="L313" t="str">
            <v>9/28/2020</v>
          </cell>
        </row>
        <row r="314">
          <cell r="A314">
            <v>20797</v>
          </cell>
          <cell r="B314">
            <v>36139</v>
          </cell>
          <cell r="C314" t="str">
            <v>NSW-QLD</v>
          </cell>
          <cell r="D314" t="str">
            <v>Virtus Health</v>
          </cell>
          <cell r="E314" t="str">
            <v>Clinical Nurse Specialist</v>
          </cell>
          <cell r="F314">
            <v>44175</v>
          </cell>
          <cell r="H314" t="str">
            <v>IVFN2021</v>
          </cell>
          <cell r="I314" t="str">
            <v>NSW</v>
          </cell>
          <cell r="J314" t="str">
            <v>Part Time</v>
          </cell>
          <cell r="K314">
            <v>44175</v>
          </cell>
          <cell r="L314">
            <v>44175</v>
          </cell>
        </row>
        <row r="315">
          <cell r="A315">
            <v>20798</v>
          </cell>
          <cell r="B315">
            <v>36139</v>
          </cell>
          <cell r="C315" t="str">
            <v>NSW-QLD</v>
          </cell>
          <cell r="D315" t="str">
            <v>Virtus Health</v>
          </cell>
          <cell r="E315" t="str">
            <v>Nurse Unit Manager</v>
          </cell>
          <cell r="F315">
            <v>44175</v>
          </cell>
          <cell r="H315" t="str">
            <v>IVFN2021</v>
          </cell>
          <cell r="I315" t="str">
            <v>NSW</v>
          </cell>
          <cell r="J315" t="str">
            <v>Full Time</v>
          </cell>
          <cell r="K315">
            <v>44175</v>
          </cell>
          <cell r="L315">
            <v>44175</v>
          </cell>
        </row>
        <row r="316">
          <cell r="A316">
            <v>20802</v>
          </cell>
          <cell r="B316" t="str">
            <v>10/20/1998</v>
          </cell>
          <cell r="C316" t="str">
            <v>NSW-QLD</v>
          </cell>
          <cell r="D316" t="str">
            <v>Virtus Health</v>
          </cell>
          <cell r="E316" t="str">
            <v>Registered Nurse</v>
          </cell>
          <cell r="F316" t="str">
            <v>10/20/2020</v>
          </cell>
          <cell r="H316" t="str">
            <v>IVFN2021</v>
          </cell>
          <cell r="I316" t="str">
            <v>NSW</v>
          </cell>
          <cell r="J316" t="str">
            <v>Part Time</v>
          </cell>
          <cell r="K316" t="str">
            <v>10/20/2020</v>
          </cell>
          <cell r="L316" t="str">
            <v>10/20/2020</v>
          </cell>
        </row>
        <row r="317">
          <cell r="A317">
            <v>20810</v>
          </cell>
          <cell r="B317" t="str">
            <v>11/16/1998</v>
          </cell>
          <cell r="C317" t="str">
            <v>NSW-QLD</v>
          </cell>
          <cell r="D317" t="str">
            <v>Virtus Health</v>
          </cell>
          <cell r="E317" t="str">
            <v>Registered Nurse</v>
          </cell>
          <cell r="F317" t="str">
            <v>11/16/2020</v>
          </cell>
          <cell r="H317" t="str">
            <v>IVFN2021</v>
          </cell>
          <cell r="I317" t="str">
            <v>NSW</v>
          </cell>
          <cell r="J317" t="str">
            <v>Full Time</v>
          </cell>
          <cell r="K317" t="str">
            <v>11/16/2020</v>
          </cell>
          <cell r="L317" t="str">
            <v>11/16/2020</v>
          </cell>
        </row>
        <row r="318">
          <cell r="A318">
            <v>20813</v>
          </cell>
          <cell r="B318" t="str">
            <v>11/24/1998</v>
          </cell>
          <cell r="C318" t="str">
            <v>NSW-QLD</v>
          </cell>
          <cell r="D318" t="str">
            <v>Virtus Health</v>
          </cell>
          <cell r="E318" t="str">
            <v>Administration</v>
          </cell>
          <cell r="F318" t="str">
            <v>11/24/2020</v>
          </cell>
          <cell r="H318" t="str">
            <v>IVFS2023</v>
          </cell>
          <cell r="I318" t="str">
            <v>NSW</v>
          </cell>
          <cell r="J318" t="str">
            <v>Full Time</v>
          </cell>
          <cell r="K318" t="str">
            <v>11/24/2020</v>
          </cell>
          <cell r="L318" t="str">
            <v>11/24/2020</v>
          </cell>
        </row>
        <row r="319">
          <cell r="A319">
            <v>20814</v>
          </cell>
          <cell r="B319">
            <v>35838</v>
          </cell>
          <cell r="C319" t="str">
            <v>NSW-QLD</v>
          </cell>
          <cell r="D319" t="str">
            <v>Virtus Health</v>
          </cell>
          <cell r="E319" t="str">
            <v>Administration</v>
          </cell>
          <cell r="F319">
            <v>43873</v>
          </cell>
          <cell r="H319" t="str">
            <v>IVFS2023</v>
          </cell>
          <cell r="I319" t="str">
            <v>NSW</v>
          </cell>
          <cell r="J319" t="str">
            <v>Part Time</v>
          </cell>
          <cell r="K319">
            <v>43873</v>
          </cell>
          <cell r="L319">
            <v>43873</v>
          </cell>
        </row>
        <row r="320">
          <cell r="A320">
            <v>20817</v>
          </cell>
          <cell r="B320">
            <v>35988</v>
          </cell>
          <cell r="C320" t="str">
            <v>NSW-QLD</v>
          </cell>
          <cell r="D320" t="str">
            <v>Virtus Health</v>
          </cell>
          <cell r="E320" t="str">
            <v>Patient Concierge</v>
          </cell>
          <cell r="F320">
            <v>44024</v>
          </cell>
          <cell r="H320" t="str">
            <v>IVFS2023</v>
          </cell>
          <cell r="I320" t="str">
            <v>NSW</v>
          </cell>
          <cell r="J320" t="str">
            <v>Casual</v>
          </cell>
          <cell r="K320">
            <v>44024</v>
          </cell>
          <cell r="L320">
            <v>44024</v>
          </cell>
        </row>
        <row r="321">
          <cell r="A321">
            <v>20820</v>
          </cell>
          <cell r="B321">
            <v>36465</v>
          </cell>
          <cell r="C321" t="str">
            <v>NSW-QLD</v>
          </cell>
          <cell r="D321" t="str">
            <v>Virtus Health</v>
          </cell>
          <cell r="E321" t="str">
            <v>Andrologist</v>
          </cell>
          <cell r="F321">
            <v>44501</v>
          </cell>
          <cell r="H321" t="str">
            <v>IVFT2024</v>
          </cell>
          <cell r="I321" t="str">
            <v>NSW</v>
          </cell>
          <cell r="J321" t="str">
            <v>Full Time</v>
          </cell>
          <cell r="K321">
            <v>44501</v>
          </cell>
          <cell r="L321">
            <v>44501</v>
          </cell>
        </row>
        <row r="322">
          <cell r="A322">
            <v>20824</v>
          </cell>
          <cell r="B322" t="str">
            <v>1/19/1999</v>
          </cell>
          <cell r="C322" t="str">
            <v>NSW-QLD</v>
          </cell>
          <cell r="D322" t="str">
            <v>Virtus Health</v>
          </cell>
          <cell r="E322" t="str">
            <v>Patient Support Officer</v>
          </cell>
          <cell r="F322" t="str">
            <v>1/19/2021</v>
          </cell>
          <cell r="H322" t="str">
            <v>IVFS2023</v>
          </cell>
          <cell r="I322" t="str">
            <v>NSW</v>
          </cell>
          <cell r="J322" t="str">
            <v>Part Time</v>
          </cell>
          <cell r="K322" t="str">
            <v>1/19/2021</v>
          </cell>
          <cell r="L322" t="str">
            <v>1/19/2021</v>
          </cell>
        </row>
        <row r="323">
          <cell r="A323">
            <v>20831</v>
          </cell>
          <cell r="B323" t="str">
            <v>2/15/1999</v>
          </cell>
          <cell r="C323" t="str">
            <v>NSW-QLD</v>
          </cell>
          <cell r="D323" t="str">
            <v>Virtus Health</v>
          </cell>
          <cell r="E323" t="str">
            <v>HR Operations Manager</v>
          </cell>
          <cell r="F323" t="str">
            <v>2/15/2021</v>
          </cell>
          <cell r="H323" t="str">
            <v>NSW</v>
          </cell>
          <cell r="I323" t="str">
            <v>NSW</v>
          </cell>
          <cell r="J323" t="str">
            <v>Full Time</v>
          </cell>
          <cell r="K323" t="str">
            <v>2/15/2021</v>
          </cell>
          <cell r="L323" t="str">
            <v>2/15/2021</v>
          </cell>
        </row>
        <row r="324">
          <cell r="A324">
            <v>20836</v>
          </cell>
          <cell r="B324">
            <v>36163</v>
          </cell>
          <cell r="C324" t="str">
            <v>NSW-QLD</v>
          </cell>
          <cell r="D324" t="str">
            <v>Virtus Health</v>
          </cell>
          <cell r="E324" t="str">
            <v>Business Development Manager - Metro Sydney</v>
          </cell>
          <cell r="F324">
            <v>44199</v>
          </cell>
          <cell r="H324" t="str">
            <v>NSW</v>
          </cell>
          <cell r="I324" t="str">
            <v>NSW</v>
          </cell>
          <cell r="J324" t="str">
            <v>Full Time</v>
          </cell>
          <cell r="K324">
            <v>44199</v>
          </cell>
          <cell r="L324">
            <v>44199</v>
          </cell>
        </row>
        <row r="325">
          <cell r="A325">
            <v>20840</v>
          </cell>
          <cell r="B325" t="str">
            <v>3/15/1999</v>
          </cell>
          <cell r="C325" t="str">
            <v>NSW-QLD</v>
          </cell>
          <cell r="D325" t="str">
            <v>Virtus Health</v>
          </cell>
          <cell r="E325" t="str">
            <v>Registered Nurse</v>
          </cell>
          <cell r="F325" t="str">
            <v>3/15/2021</v>
          </cell>
          <cell r="H325" t="str">
            <v>IVFN2021</v>
          </cell>
          <cell r="I325" t="str">
            <v>NSW</v>
          </cell>
          <cell r="J325" t="str">
            <v>Casual</v>
          </cell>
          <cell r="K325" t="str">
            <v>3/15/2021</v>
          </cell>
          <cell r="L325" t="str">
            <v>3/15/2021</v>
          </cell>
        </row>
        <row r="326">
          <cell r="A326">
            <v>20849</v>
          </cell>
          <cell r="B326">
            <v>36224</v>
          </cell>
          <cell r="C326" t="str">
            <v>NSW-QLD</v>
          </cell>
          <cell r="D326" t="str">
            <v>Virtus Health</v>
          </cell>
          <cell r="E326" t="str">
            <v>Registered Nurse</v>
          </cell>
          <cell r="F326">
            <v>44260</v>
          </cell>
          <cell r="H326" t="str">
            <v>IVFN2021</v>
          </cell>
          <cell r="I326" t="str">
            <v>NSW</v>
          </cell>
          <cell r="J326" t="str">
            <v>Full Time</v>
          </cell>
          <cell r="K326">
            <v>44260</v>
          </cell>
          <cell r="L326">
            <v>44260</v>
          </cell>
        </row>
        <row r="327">
          <cell r="A327">
            <v>20851</v>
          </cell>
          <cell r="B327">
            <v>36224</v>
          </cell>
          <cell r="C327" t="str">
            <v>NSW-QLD</v>
          </cell>
          <cell r="D327" t="str">
            <v>Virtus Health</v>
          </cell>
          <cell r="E327" t="str">
            <v>Clinical Nurse Specialist</v>
          </cell>
          <cell r="F327">
            <v>44260</v>
          </cell>
          <cell r="H327" t="str">
            <v>IVFN2021</v>
          </cell>
          <cell r="I327" t="str">
            <v>NSW</v>
          </cell>
          <cell r="J327" t="str">
            <v>Full Time</v>
          </cell>
          <cell r="K327">
            <v>44260</v>
          </cell>
          <cell r="L327">
            <v>44260</v>
          </cell>
        </row>
        <row r="328">
          <cell r="A328">
            <v>20859</v>
          </cell>
          <cell r="B328">
            <v>36347</v>
          </cell>
          <cell r="C328" t="str">
            <v>NSW-QLD</v>
          </cell>
          <cell r="D328" t="str">
            <v>Virtus Health</v>
          </cell>
          <cell r="E328" t="str">
            <v>Medical Secretary</v>
          </cell>
          <cell r="F328">
            <v>44383</v>
          </cell>
          <cell r="H328" t="str">
            <v>IVFS2023</v>
          </cell>
          <cell r="I328" t="str">
            <v>NSW</v>
          </cell>
          <cell r="J328" t="str">
            <v>Full Time</v>
          </cell>
          <cell r="K328">
            <v>44383</v>
          </cell>
          <cell r="L328">
            <v>44383</v>
          </cell>
        </row>
        <row r="329">
          <cell r="A329">
            <v>20860</v>
          </cell>
          <cell r="B329">
            <v>36347</v>
          </cell>
          <cell r="C329" t="str">
            <v>NSW-QLD</v>
          </cell>
          <cell r="D329" t="str">
            <v>Virtus Health</v>
          </cell>
          <cell r="E329" t="str">
            <v>Patients Support Officer</v>
          </cell>
          <cell r="F329">
            <v>44383</v>
          </cell>
          <cell r="H329" t="str">
            <v>IVFS2023</v>
          </cell>
          <cell r="I329" t="str">
            <v>NSW</v>
          </cell>
          <cell r="J329" t="str">
            <v>Full Time</v>
          </cell>
          <cell r="K329">
            <v>44383</v>
          </cell>
          <cell r="L329">
            <v>44383</v>
          </cell>
        </row>
        <row r="330">
          <cell r="A330">
            <v>20864</v>
          </cell>
          <cell r="B330" t="str">
            <v>6/30/1999</v>
          </cell>
          <cell r="C330" t="str">
            <v>NSW-QLD</v>
          </cell>
          <cell r="D330" t="str">
            <v>Virtus Health</v>
          </cell>
          <cell r="E330" t="str">
            <v>Embryologist</v>
          </cell>
          <cell r="F330" t="str">
            <v>6/30/2021</v>
          </cell>
          <cell r="H330" t="str">
            <v>IVFT2024</v>
          </cell>
          <cell r="I330" t="str">
            <v>NSW</v>
          </cell>
          <cell r="J330" t="str">
            <v>Full Time</v>
          </cell>
          <cell r="K330" t="str">
            <v>6/30/2021</v>
          </cell>
          <cell r="L330" t="str">
            <v>6/30/2021</v>
          </cell>
        </row>
        <row r="331">
          <cell r="A331">
            <v>20865</v>
          </cell>
          <cell r="B331" t="str">
            <v>6/28/1999</v>
          </cell>
          <cell r="C331" t="str">
            <v>NSW-QLD</v>
          </cell>
          <cell r="D331" t="str">
            <v>Virtus Health</v>
          </cell>
          <cell r="E331" t="str">
            <v>Embryologist</v>
          </cell>
          <cell r="F331" t="str">
            <v>6/28/2021</v>
          </cell>
          <cell r="H331" t="str">
            <v>IVFT2024</v>
          </cell>
          <cell r="I331" t="str">
            <v>NSW</v>
          </cell>
          <cell r="J331" t="str">
            <v>Full Time</v>
          </cell>
          <cell r="K331" t="str">
            <v>6/28/2021</v>
          </cell>
          <cell r="L331" t="str">
            <v>6/28/2021</v>
          </cell>
        </row>
        <row r="332">
          <cell r="A332">
            <v>20867</v>
          </cell>
          <cell r="B332">
            <v>36501</v>
          </cell>
          <cell r="C332" t="str">
            <v>NSW-QLD</v>
          </cell>
          <cell r="D332" t="str">
            <v>Virtus Health</v>
          </cell>
          <cell r="E332" t="str">
            <v>Andrologist</v>
          </cell>
          <cell r="F332">
            <v>44537</v>
          </cell>
          <cell r="H332" t="str">
            <v>IVFT2024</v>
          </cell>
          <cell r="I332" t="str">
            <v>NSW</v>
          </cell>
          <cell r="J332" t="str">
            <v>Full Time</v>
          </cell>
          <cell r="K332">
            <v>44537</v>
          </cell>
          <cell r="L332">
            <v>44537</v>
          </cell>
        </row>
        <row r="333">
          <cell r="A333">
            <v>20869</v>
          </cell>
          <cell r="B333">
            <v>36501</v>
          </cell>
          <cell r="C333" t="str">
            <v>NSW-QLD</v>
          </cell>
          <cell r="D333" t="str">
            <v>Virtus Health</v>
          </cell>
          <cell r="E333" t="str">
            <v>Carpark Concierge</v>
          </cell>
          <cell r="F333">
            <v>44537</v>
          </cell>
          <cell r="H333" t="str">
            <v>NSW</v>
          </cell>
          <cell r="I333" t="str">
            <v>NSW</v>
          </cell>
          <cell r="J333" t="str">
            <v>Full Time</v>
          </cell>
          <cell r="K333">
            <v>44537</v>
          </cell>
          <cell r="L333">
            <v>44537</v>
          </cell>
        </row>
        <row r="334">
          <cell r="A334">
            <v>20870</v>
          </cell>
          <cell r="B334" t="str">
            <v>7/20/1999</v>
          </cell>
          <cell r="C334" t="str">
            <v>NSW-QLD</v>
          </cell>
          <cell r="D334" t="str">
            <v>Virtus Health</v>
          </cell>
          <cell r="E334" t="str">
            <v>Registered Nurse</v>
          </cell>
          <cell r="F334" t="str">
            <v>7/20/2021</v>
          </cell>
          <cell r="H334" t="str">
            <v>IVFN2021</v>
          </cell>
          <cell r="I334" t="str">
            <v>NSW</v>
          </cell>
          <cell r="J334" t="str">
            <v>Full Time</v>
          </cell>
          <cell r="K334" t="str">
            <v>7/20/2021</v>
          </cell>
          <cell r="L334" t="str">
            <v>7/20/2021</v>
          </cell>
        </row>
        <row r="335">
          <cell r="A335">
            <v>20872</v>
          </cell>
          <cell r="B335">
            <v>32911</v>
          </cell>
          <cell r="C335" t="str">
            <v>NSW-QLD</v>
          </cell>
          <cell r="D335" t="str">
            <v>Virtus Health</v>
          </cell>
          <cell r="E335" t="str">
            <v>Group Donor Program Specialist</v>
          </cell>
          <cell r="F335">
            <v>40946</v>
          </cell>
          <cell r="H335" t="str">
            <v>VIC</v>
          </cell>
          <cell r="I335" t="str">
            <v>VIC</v>
          </cell>
          <cell r="J335" t="str">
            <v>Full Time</v>
          </cell>
          <cell r="K335">
            <v>40946</v>
          </cell>
          <cell r="L335">
            <v>40946</v>
          </cell>
        </row>
        <row r="336">
          <cell r="A336">
            <v>20873</v>
          </cell>
          <cell r="B336" t="str">
            <v>9/16/1999</v>
          </cell>
          <cell r="C336" t="str">
            <v>NSW-QLD</v>
          </cell>
          <cell r="D336" t="str">
            <v>Virtus Health</v>
          </cell>
          <cell r="E336" t="str">
            <v>Head of Finance-QFG &amp; VHSD</v>
          </cell>
          <cell r="F336" t="str">
            <v>9/16/2021</v>
          </cell>
          <cell r="H336" t="str">
            <v>QLD</v>
          </cell>
          <cell r="I336" t="str">
            <v>QLD</v>
          </cell>
          <cell r="J336" t="str">
            <v>Full Time</v>
          </cell>
          <cell r="K336" t="str">
            <v>9/16/2021</v>
          </cell>
          <cell r="L336" t="str">
            <v>9/16/2021</v>
          </cell>
        </row>
        <row r="337">
          <cell r="A337">
            <v>20874</v>
          </cell>
          <cell r="B337" t="str">
            <v>7/19/1999</v>
          </cell>
          <cell r="C337" t="str">
            <v>NSW-QLD</v>
          </cell>
          <cell r="D337" t="str">
            <v>Virtus Health</v>
          </cell>
          <cell r="E337" t="str">
            <v>Laboratory Supervisor</v>
          </cell>
          <cell r="F337" t="str">
            <v>7/19/2021</v>
          </cell>
          <cell r="H337" t="str">
            <v>NSW</v>
          </cell>
          <cell r="I337" t="str">
            <v>NSW</v>
          </cell>
          <cell r="J337" t="str">
            <v>Full Time</v>
          </cell>
          <cell r="K337" t="str">
            <v>7/19/2021</v>
          </cell>
          <cell r="L337" t="str">
            <v>7/19/2021</v>
          </cell>
        </row>
        <row r="338">
          <cell r="A338">
            <v>20875</v>
          </cell>
          <cell r="B338" t="str">
            <v>8/29/1999</v>
          </cell>
          <cell r="C338" t="str">
            <v>NSW-QLD</v>
          </cell>
          <cell r="D338" t="str">
            <v>Virtus Health</v>
          </cell>
          <cell r="E338" t="str">
            <v>Financial Accountant</v>
          </cell>
          <cell r="F338" t="str">
            <v>8/29/2021</v>
          </cell>
          <cell r="H338" t="str">
            <v>NSW</v>
          </cell>
          <cell r="I338" t="str">
            <v>NSW</v>
          </cell>
          <cell r="J338" t="str">
            <v>Part Time</v>
          </cell>
          <cell r="K338" t="str">
            <v>8/29/2021</v>
          </cell>
          <cell r="L338" t="str">
            <v>8/29/2021</v>
          </cell>
        </row>
        <row r="339">
          <cell r="A339">
            <v>20882</v>
          </cell>
          <cell r="B339">
            <v>36383</v>
          </cell>
          <cell r="C339" t="str">
            <v>NSW-QLD</v>
          </cell>
          <cell r="D339" t="str">
            <v>Virtus Health</v>
          </cell>
          <cell r="E339" t="str">
            <v>Registered Nurse</v>
          </cell>
          <cell r="F339">
            <v>44419</v>
          </cell>
          <cell r="H339" t="str">
            <v>IVFN2021</v>
          </cell>
          <cell r="I339" t="str">
            <v>NSW</v>
          </cell>
          <cell r="J339" t="str">
            <v>Full Time</v>
          </cell>
          <cell r="K339">
            <v>44419</v>
          </cell>
          <cell r="L339">
            <v>44419</v>
          </cell>
        </row>
        <row r="340">
          <cell r="A340">
            <v>20883</v>
          </cell>
          <cell r="B340" t="str">
            <v>11/15/1999</v>
          </cell>
          <cell r="C340" t="str">
            <v>NSW-QLD</v>
          </cell>
          <cell r="D340" t="str">
            <v>Virtus Health</v>
          </cell>
          <cell r="E340" t="str">
            <v>Territory Administration Manager</v>
          </cell>
          <cell r="F340" t="str">
            <v>11/15/2021</v>
          </cell>
          <cell r="H340" t="str">
            <v>IVFS2023</v>
          </cell>
          <cell r="I340" t="str">
            <v>NSW</v>
          </cell>
          <cell r="J340" t="str">
            <v>Full Time</v>
          </cell>
          <cell r="K340" t="str">
            <v>11/15/2021</v>
          </cell>
          <cell r="L340" t="str">
            <v>11/15/2021</v>
          </cell>
        </row>
        <row r="341">
          <cell r="A341">
            <v>20885</v>
          </cell>
          <cell r="B341" t="str">
            <v>11/15/1999</v>
          </cell>
          <cell r="C341" t="str">
            <v>NSW-QLD</v>
          </cell>
          <cell r="D341" t="str">
            <v>Virtus Health</v>
          </cell>
          <cell r="E341" t="str">
            <v>Administration</v>
          </cell>
          <cell r="F341" t="str">
            <v>11/15/2021</v>
          </cell>
          <cell r="H341" t="str">
            <v>IVFS2023</v>
          </cell>
          <cell r="I341" t="str">
            <v>NSW</v>
          </cell>
          <cell r="J341" t="str">
            <v>Full Time</v>
          </cell>
          <cell r="K341" t="str">
            <v>11/15/2021</v>
          </cell>
          <cell r="L341" t="str">
            <v>11/15/2021</v>
          </cell>
        </row>
        <row r="342">
          <cell r="A342">
            <v>20887</v>
          </cell>
          <cell r="B342" t="str">
            <v>11/22/1999</v>
          </cell>
          <cell r="C342" t="str">
            <v>NSW-QLD</v>
          </cell>
          <cell r="D342" t="str">
            <v>Virtus Health</v>
          </cell>
          <cell r="E342" t="str">
            <v>Clinical Nurse Specialist</v>
          </cell>
          <cell r="F342" t="str">
            <v>11/22/2021</v>
          </cell>
          <cell r="H342" t="str">
            <v>IVFN2021</v>
          </cell>
          <cell r="I342" t="str">
            <v>NSW</v>
          </cell>
          <cell r="J342" t="str">
            <v>Part Time</v>
          </cell>
          <cell r="K342" t="str">
            <v>11/22/2021</v>
          </cell>
          <cell r="L342" t="str">
            <v>11/22/2021</v>
          </cell>
        </row>
        <row r="343">
          <cell r="A343">
            <v>20888</v>
          </cell>
          <cell r="B343" t="str">
            <v>11/22/1999</v>
          </cell>
          <cell r="C343" t="str">
            <v>NSW-QLD</v>
          </cell>
          <cell r="D343" t="str">
            <v>Virtus Health</v>
          </cell>
          <cell r="E343" t="str">
            <v>Registered Nurse</v>
          </cell>
          <cell r="F343" t="str">
            <v>11/22/2021</v>
          </cell>
          <cell r="H343" t="str">
            <v>IVFN2021</v>
          </cell>
          <cell r="I343" t="str">
            <v>NSW</v>
          </cell>
          <cell r="J343" t="str">
            <v>Part Time</v>
          </cell>
          <cell r="K343" t="str">
            <v>11/22/2021</v>
          </cell>
          <cell r="L343" t="str">
            <v>11/22/2021</v>
          </cell>
        </row>
        <row r="344">
          <cell r="A344">
            <v>20892</v>
          </cell>
          <cell r="B344">
            <v>36586</v>
          </cell>
          <cell r="C344" t="str">
            <v>NSW-QLD</v>
          </cell>
          <cell r="D344" t="str">
            <v>Virtus Health</v>
          </cell>
          <cell r="E344" t="str">
            <v>Registered Nurse</v>
          </cell>
          <cell r="F344">
            <v>44621</v>
          </cell>
          <cell r="H344" t="str">
            <v>IVFN2021</v>
          </cell>
          <cell r="I344" t="str">
            <v>NSW</v>
          </cell>
          <cell r="J344" t="str">
            <v>Full Time</v>
          </cell>
          <cell r="K344">
            <v>44621</v>
          </cell>
          <cell r="L344">
            <v>44621</v>
          </cell>
        </row>
        <row r="345">
          <cell r="A345">
            <v>20893</v>
          </cell>
          <cell r="B345">
            <v>36323</v>
          </cell>
          <cell r="C345" t="str">
            <v>NSW-QLD</v>
          </cell>
          <cell r="D345" t="str">
            <v>Virtus Health</v>
          </cell>
          <cell r="E345" t="str">
            <v>Marketing Specialist</v>
          </cell>
          <cell r="F345">
            <v>44359</v>
          </cell>
          <cell r="H345" t="str">
            <v>NSW</v>
          </cell>
          <cell r="I345" t="str">
            <v>NSW</v>
          </cell>
          <cell r="J345" t="str">
            <v>Full Time</v>
          </cell>
          <cell r="K345">
            <v>44359</v>
          </cell>
          <cell r="L345">
            <v>44359</v>
          </cell>
        </row>
        <row r="346">
          <cell r="A346">
            <v>20896</v>
          </cell>
          <cell r="B346" t="str">
            <v>12/13/1999</v>
          </cell>
          <cell r="C346" t="str">
            <v>NSW-QLD</v>
          </cell>
          <cell r="D346" t="str">
            <v>Virtus Health</v>
          </cell>
          <cell r="E346" t="str">
            <v>Nurse Coordinator</v>
          </cell>
          <cell r="F346" t="str">
            <v>12/13/2021</v>
          </cell>
          <cell r="H346" t="str">
            <v>IVFN2021</v>
          </cell>
          <cell r="I346" t="str">
            <v>NSW</v>
          </cell>
          <cell r="J346" t="str">
            <v>Part Time</v>
          </cell>
          <cell r="K346" t="str">
            <v>12/13/2021</v>
          </cell>
          <cell r="L346" t="str">
            <v>12/13/2021</v>
          </cell>
        </row>
        <row r="347">
          <cell r="A347">
            <v>20897</v>
          </cell>
          <cell r="B347">
            <v>36800</v>
          </cell>
          <cell r="C347" t="str">
            <v>NSW-QLD</v>
          </cell>
          <cell r="D347" t="str">
            <v>Virtus Health</v>
          </cell>
          <cell r="E347" t="str">
            <v>Registered Nurse</v>
          </cell>
          <cell r="F347">
            <v>44835</v>
          </cell>
          <cell r="H347" t="str">
            <v>IVFN2021</v>
          </cell>
          <cell r="I347" t="str">
            <v>NSW</v>
          </cell>
          <cell r="J347" t="str">
            <v>Full Time</v>
          </cell>
          <cell r="K347">
            <v>44835</v>
          </cell>
          <cell r="L347">
            <v>44835</v>
          </cell>
        </row>
        <row r="348">
          <cell r="A348">
            <v>20905</v>
          </cell>
          <cell r="B348" t="str">
            <v>1/31/2000</v>
          </cell>
          <cell r="C348" t="str">
            <v>NSW-QLD</v>
          </cell>
          <cell r="D348" t="str">
            <v>Virtus Health</v>
          </cell>
          <cell r="E348" t="str">
            <v xml:space="preserve">Practice Manager </v>
          </cell>
          <cell r="F348" t="str">
            <v>1/31/2022</v>
          </cell>
          <cell r="H348" t="str">
            <v>IVFS2023</v>
          </cell>
          <cell r="I348" t="str">
            <v>NSW</v>
          </cell>
          <cell r="J348" t="str">
            <v>Full Time</v>
          </cell>
          <cell r="K348" t="str">
            <v>1/31/2022</v>
          </cell>
          <cell r="L348" t="str">
            <v>1/31/2022</v>
          </cell>
        </row>
        <row r="349">
          <cell r="A349">
            <v>20914</v>
          </cell>
          <cell r="B349" t="str">
            <v>2/28/2000</v>
          </cell>
          <cell r="C349" t="str">
            <v>NSW-QLD</v>
          </cell>
          <cell r="D349" t="str">
            <v>Virtus Health</v>
          </cell>
          <cell r="E349" t="str">
            <v>Registered Nurse</v>
          </cell>
          <cell r="F349" t="str">
            <v>2/28/2022</v>
          </cell>
          <cell r="H349" t="str">
            <v>IVFN2021</v>
          </cell>
          <cell r="I349" t="str">
            <v>NSW</v>
          </cell>
          <cell r="J349" t="str">
            <v>Part Time</v>
          </cell>
          <cell r="K349" t="str">
            <v>2/28/2022</v>
          </cell>
          <cell r="L349" t="str">
            <v>2/28/2022</v>
          </cell>
        </row>
        <row r="350">
          <cell r="A350">
            <v>20917</v>
          </cell>
          <cell r="B350" t="str">
            <v>3/25/1991</v>
          </cell>
          <cell r="C350" t="str">
            <v>NSW-QLD</v>
          </cell>
          <cell r="D350" t="str">
            <v>Virtus Health</v>
          </cell>
          <cell r="E350" t="str">
            <v>VSDH Quality and Operational Support Manager</v>
          </cell>
          <cell r="F350" t="str">
            <v>3/25/2013</v>
          </cell>
          <cell r="H350" t="str">
            <v>NSW</v>
          </cell>
          <cell r="I350" t="str">
            <v>NSW</v>
          </cell>
          <cell r="J350" t="str">
            <v>Full Time</v>
          </cell>
          <cell r="K350" t="str">
            <v>3/25/2013</v>
          </cell>
          <cell r="L350" t="str">
            <v>3/25/2013</v>
          </cell>
        </row>
        <row r="351">
          <cell r="A351">
            <v>20918</v>
          </cell>
          <cell r="B351" t="str">
            <v>3/20/2000</v>
          </cell>
          <cell r="C351" t="str">
            <v>NSW-QLD</v>
          </cell>
          <cell r="D351" t="str">
            <v>Virtus Health</v>
          </cell>
          <cell r="E351" t="str">
            <v>Embryologist</v>
          </cell>
          <cell r="F351" t="str">
            <v>3/21/2022</v>
          </cell>
          <cell r="H351" t="str">
            <v>IVFT2024</v>
          </cell>
          <cell r="I351" t="str">
            <v>NSW</v>
          </cell>
          <cell r="J351" t="str">
            <v>Full Time</v>
          </cell>
          <cell r="K351" t="str">
            <v>3/21/2022</v>
          </cell>
          <cell r="L351" t="str">
            <v>3/21/2022</v>
          </cell>
        </row>
        <row r="352">
          <cell r="A352">
            <v>20921</v>
          </cell>
          <cell r="B352">
            <v>36589</v>
          </cell>
          <cell r="C352" t="str">
            <v>NSW-QLD</v>
          </cell>
          <cell r="D352" t="str">
            <v>Virtus Health</v>
          </cell>
          <cell r="E352" t="str">
            <v>Registered Nurse</v>
          </cell>
          <cell r="F352">
            <v>44655</v>
          </cell>
          <cell r="H352" t="str">
            <v>IVFN2021</v>
          </cell>
          <cell r="I352" t="str">
            <v>NSW</v>
          </cell>
          <cell r="J352" t="str">
            <v>Full Time</v>
          </cell>
          <cell r="K352">
            <v>44655</v>
          </cell>
          <cell r="L352">
            <v>44655</v>
          </cell>
        </row>
        <row r="353">
          <cell r="A353">
            <v>20925</v>
          </cell>
          <cell r="B353" t="str">
            <v>4/18/2000</v>
          </cell>
          <cell r="C353" t="str">
            <v>NSW-QLD</v>
          </cell>
          <cell r="D353" t="str">
            <v>Virtus Health</v>
          </cell>
          <cell r="E353" t="str">
            <v xml:space="preserve">Senior Administration Officer and Facilities </v>
          </cell>
          <cell r="F353" t="str">
            <v>4/19/2022</v>
          </cell>
          <cell r="H353" t="str">
            <v>IVFS2023</v>
          </cell>
          <cell r="I353" t="str">
            <v>NSW</v>
          </cell>
          <cell r="J353" t="str">
            <v>Full Time</v>
          </cell>
          <cell r="K353" t="str">
            <v>4/19/2022</v>
          </cell>
          <cell r="L353" t="str">
            <v>4/19/2022</v>
          </cell>
        </row>
        <row r="354">
          <cell r="A354">
            <v>20926</v>
          </cell>
          <cell r="B354" t="str">
            <v>4/25/2000</v>
          </cell>
          <cell r="C354" t="str">
            <v>NSW-QLD</v>
          </cell>
          <cell r="D354" t="str">
            <v>Virtus Health</v>
          </cell>
          <cell r="E354" t="str">
            <v>Embryologist</v>
          </cell>
          <cell r="F354" t="str">
            <v>4/26/2022</v>
          </cell>
          <cell r="H354" t="str">
            <v>IVFT2024</v>
          </cell>
          <cell r="I354" t="str">
            <v>NSW</v>
          </cell>
          <cell r="J354" t="str">
            <v>Full Time</v>
          </cell>
          <cell r="K354" t="str">
            <v>4/26/2022</v>
          </cell>
          <cell r="L354" t="str">
            <v>4/26/2022</v>
          </cell>
        </row>
        <row r="355">
          <cell r="A355">
            <v>20927</v>
          </cell>
          <cell r="B355" t="str">
            <v>4/27/2000</v>
          </cell>
          <cell r="C355" t="str">
            <v>NSW-QLD</v>
          </cell>
          <cell r="D355" t="str">
            <v>Virtus Health</v>
          </cell>
          <cell r="E355" t="str">
            <v>Embryologist</v>
          </cell>
          <cell r="F355" t="str">
            <v>4/28/2022</v>
          </cell>
          <cell r="H355" t="str">
            <v>IVFT2024</v>
          </cell>
          <cell r="I355" t="str">
            <v>NSW</v>
          </cell>
          <cell r="J355" t="str">
            <v>Full Time</v>
          </cell>
          <cell r="K355" t="str">
            <v>4/28/2022</v>
          </cell>
          <cell r="L355" t="str">
            <v>4/28/2022</v>
          </cell>
        </row>
        <row r="356">
          <cell r="A356">
            <v>20933</v>
          </cell>
          <cell r="B356">
            <v>36743</v>
          </cell>
          <cell r="C356" t="str">
            <v>NSW-QLD</v>
          </cell>
          <cell r="D356" t="str">
            <v>Virtus Health</v>
          </cell>
          <cell r="E356" t="str">
            <v>Donor Team Leader</v>
          </cell>
          <cell r="F356">
            <v>44809</v>
          </cell>
          <cell r="H356" t="str">
            <v>IVFS2023</v>
          </cell>
          <cell r="I356" t="str">
            <v>NSW</v>
          </cell>
          <cell r="J356" t="str">
            <v>Full Time</v>
          </cell>
          <cell r="K356">
            <v>44809</v>
          </cell>
          <cell r="L356">
            <v>44809</v>
          </cell>
        </row>
        <row r="357">
          <cell r="A357">
            <v>20935</v>
          </cell>
          <cell r="B357" t="str">
            <v>5/18/2000</v>
          </cell>
          <cell r="C357" t="str">
            <v>NSW-QLD</v>
          </cell>
          <cell r="D357" t="str">
            <v>Virtus Health</v>
          </cell>
          <cell r="E357" t="str">
            <v>Geneticist</v>
          </cell>
          <cell r="F357" t="str">
            <v>5/19/2022</v>
          </cell>
          <cell r="H357" t="str">
            <v>NSW</v>
          </cell>
          <cell r="I357" t="str">
            <v>NSW</v>
          </cell>
          <cell r="J357" t="str">
            <v>Casual</v>
          </cell>
          <cell r="K357" t="str">
            <v>5/19/2022</v>
          </cell>
          <cell r="L357" t="str">
            <v>5/19/2022</v>
          </cell>
        </row>
        <row r="358">
          <cell r="A358">
            <v>20936</v>
          </cell>
          <cell r="B358">
            <v>36774</v>
          </cell>
          <cell r="C358" t="str">
            <v>NSW-QLD</v>
          </cell>
          <cell r="D358" t="str">
            <v>Virtus Health</v>
          </cell>
          <cell r="E358" t="str">
            <v>Counsellor</v>
          </cell>
          <cell r="F358">
            <v>44839</v>
          </cell>
          <cell r="H358" t="str">
            <v>IVFC2022</v>
          </cell>
          <cell r="I358" t="str">
            <v>NSW</v>
          </cell>
          <cell r="J358" t="str">
            <v>Full Time</v>
          </cell>
          <cell r="K358">
            <v>44839</v>
          </cell>
          <cell r="L358">
            <v>44839</v>
          </cell>
        </row>
        <row r="359">
          <cell r="A359">
            <v>20939</v>
          </cell>
          <cell r="B359">
            <v>36866</v>
          </cell>
          <cell r="C359" t="str">
            <v>NSW-QLD</v>
          </cell>
          <cell r="D359" t="str">
            <v>Virtus Health</v>
          </cell>
          <cell r="E359" t="str">
            <v>Clinical Nurse Specialist</v>
          </cell>
          <cell r="F359" t="str">
            <v>6/13/2022</v>
          </cell>
          <cell r="H359" t="str">
            <v>IVFN2021</v>
          </cell>
          <cell r="I359" t="str">
            <v>NSW</v>
          </cell>
          <cell r="J359" t="str">
            <v>Full Time</v>
          </cell>
          <cell r="K359" t="str">
            <v>6/13/2022</v>
          </cell>
          <cell r="L359" t="str">
            <v>6/13/2022</v>
          </cell>
        </row>
        <row r="360">
          <cell r="A360">
            <v>30003</v>
          </cell>
          <cell r="B360" t="str">
            <v>4/20/1987</v>
          </cell>
          <cell r="C360" t="str">
            <v>NSW-QLD</v>
          </cell>
          <cell r="D360" t="str">
            <v>Virtus Health</v>
          </cell>
          <cell r="E360" t="str">
            <v>Administration Clerk</v>
          </cell>
          <cell r="F360" t="str">
            <v>4/20/2009</v>
          </cell>
          <cell r="H360" t="str">
            <v>IVFS2023</v>
          </cell>
          <cell r="I360" t="str">
            <v>NSW</v>
          </cell>
          <cell r="J360" t="str">
            <v>Full Time</v>
          </cell>
          <cell r="K360" t="str">
            <v>4/20/2009</v>
          </cell>
          <cell r="L360" t="str">
            <v>4/20/2009</v>
          </cell>
        </row>
        <row r="361">
          <cell r="A361">
            <v>30006</v>
          </cell>
          <cell r="B361" t="str">
            <v>2/19/1986</v>
          </cell>
          <cell r="C361" t="str">
            <v>NSW-QLD</v>
          </cell>
          <cell r="D361" t="str">
            <v>Virtus Health</v>
          </cell>
          <cell r="E361" t="str">
            <v>Administration Clerk</v>
          </cell>
          <cell r="F361" t="str">
            <v>2/20/2008</v>
          </cell>
          <cell r="H361" t="str">
            <v>IVFS2023</v>
          </cell>
          <cell r="I361" t="str">
            <v>NSW</v>
          </cell>
          <cell r="J361" t="str">
            <v>Part Time</v>
          </cell>
          <cell r="K361" t="str">
            <v>2/20/2008</v>
          </cell>
          <cell r="L361" t="str">
            <v>2/20/2008</v>
          </cell>
        </row>
        <row r="362">
          <cell r="A362">
            <v>30017</v>
          </cell>
          <cell r="B362" t="str">
            <v>5/25/1987</v>
          </cell>
          <cell r="C362" t="str">
            <v>NSW-QLD</v>
          </cell>
          <cell r="D362" t="str">
            <v>Virtus Health</v>
          </cell>
          <cell r="E362" t="str">
            <v>Registered Nurse</v>
          </cell>
          <cell r="F362" t="str">
            <v>5/25/2009</v>
          </cell>
          <cell r="H362" t="str">
            <v>IVFN2021</v>
          </cell>
          <cell r="I362" t="str">
            <v>NSW</v>
          </cell>
          <cell r="J362" t="str">
            <v>Part Time</v>
          </cell>
          <cell r="K362" t="str">
            <v>5/25/2009</v>
          </cell>
          <cell r="L362" t="str">
            <v>5/25/2009</v>
          </cell>
        </row>
        <row r="363">
          <cell r="A363">
            <v>30020</v>
          </cell>
          <cell r="B363" t="str">
            <v>7/15/1987</v>
          </cell>
          <cell r="C363" t="str">
            <v>NSW-QLD</v>
          </cell>
          <cell r="D363" t="str">
            <v>Virtus Health</v>
          </cell>
          <cell r="E363" t="str">
            <v>Registered Nurse</v>
          </cell>
          <cell r="F363" t="str">
            <v>7/15/2009</v>
          </cell>
          <cell r="H363" t="str">
            <v>IVFN2021</v>
          </cell>
          <cell r="I363" t="str">
            <v>NSW</v>
          </cell>
          <cell r="J363" t="str">
            <v>Part Time</v>
          </cell>
          <cell r="K363" t="str">
            <v>7/15/2009</v>
          </cell>
          <cell r="L363" t="str">
            <v>7/15/2009</v>
          </cell>
        </row>
        <row r="364">
          <cell r="A364">
            <v>30021</v>
          </cell>
          <cell r="B364">
            <v>32021</v>
          </cell>
          <cell r="C364" t="str">
            <v>NSW-QLD</v>
          </cell>
          <cell r="D364" t="str">
            <v>Virtus Health</v>
          </cell>
          <cell r="E364" t="str">
            <v>Registered Nurse</v>
          </cell>
          <cell r="F364">
            <v>40057</v>
          </cell>
          <cell r="H364" t="str">
            <v>IVFN2021</v>
          </cell>
          <cell r="I364" t="str">
            <v>NSW</v>
          </cell>
          <cell r="J364" t="str">
            <v>Part Time</v>
          </cell>
          <cell r="K364">
            <v>40057</v>
          </cell>
          <cell r="L364">
            <v>40057</v>
          </cell>
        </row>
        <row r="365">
          <cell r="A365">
            <v>30024</v>
          </cell>
          <cell r="B365" t="str">
            <v>6/16/1986</v>
          </cell>
          <cell r="C365" t="str">
            <v>NSW-QLD</v>
          </cell>
          <cell r="D365" t="str">
            <v>Virtus Health</v>
          </cell>
          <cell r="E365" t="str">
            <v>Registered Nurse</v>
          </cell>
          <cell r="F365" t="str">
            <v>6/16/2008</v>
          </cell>
          <cell r="H365" t="str">
            <v>IVFN2021</v>
          </cell>
          <cell r="I365" t="str">
            <v>NSW</v>
          </cell>
          <cell r="J365" t="str">
            <v>Part Time</v>
          </cell>
          <cell r="K365" t="str">
            <v>6/16/2008</v>
          </cell>
          <cell r="L365" t="str">
            <v>6/16/2008</v>
          </cell>
        </row>
        <row r="366">
          <cell r="A366">
            <v>30052</v>
          </cell>
          <cell r="B366" t="str">
            <v>9/22/1988</v>
          </cell>
          <cell r="C366" t="str">
            <v>NSW-QLD</v>
          </cell>
          <cell r="D366" t="str">
            <v>Virtus Health</v>
          </cell>
          <cell r="E366" t="str">
            <v>Registered Nurse</v>
          </cell>
          <cell r="F366" t="str">
            <v>9/23/2010</v>
          </cell>
          <cell r="H366" t="str">
            <v>IVFN2021</v>
          </cell>
          <cell r="I366" t="str">
            <v>NSW</v>
          </cell>
          <cell r="J366" t="str">
            <v>Casual</v>
          </cell>
          <cell r="K366" t="str">
            <v>9/23/2010</v>
          </cell>
          <cell r="L366" t="str">
            <v>9/23/2010</v>
          </cell>
        </row>
        <row r="367">
          <cell r="A367">
            <v>30076</v>
          </cell>
          <cell r="B367" t="str">
            <v>9/13/1989</v>
          </cell>
          <cell r="C367" t="str">
            <v>NSW-QLD</v>
          </cell>
          <cell r="D367" t="str">
            <v>Virtus Health</v>
          </cell>
          <cell r="E367" t="str">
            <v>Administration Clerk</v>
          </cell>
          <cell r="F367" t="str">
            <v>9/14/2011</v>
          </cell>
          <cell r="H367" t="str">
            <v>IVFS2023</v>
          </cell>
          <cell r="I367" t="str">
            <v>NSW</v>
          </cell>
          <cell r="J367" t="str">
            <v>Casual</v>
          </cell>
          <cell r="K367" t="str">
            <v>9/14/2011</v>
          </cell>
          <cell r="L367" t="str">
            <v>9/14/2011</v>
          </cell>
        </row>
        <row r="368">
          <cell r="A368">
            <v>30078</v>
          </cell>
          <cell r="B368" t="str">
            <v>10/16/1989</v>
          </cell>
          <cell r="C368" t="str">
            <v>NSW-QLD</v>
          </cell>
          <cell r="D368" t="str">
            <v>Virtus Health</v>
          </cell>
          <cell r="E368" t="str">
            <v>Registered Nurse</v>
          </cell>
          <cell r="F368" t="str">
            <v>10/17/2011</v>
          </cell>
          <cell r="H368" t="str">
            <v>IVFN2021</v>
          </cell>
          <cell r="I368" t="str">
            <v>NSW</v>
          </cell>
          <cell r="J368" t="str">
            <v>Part Time</v>
          </cell>
          <cell r="K368" t="str">
            <v>10/17/2011</v>
          </cell>
          <cell r="L368" t="str">
            <v>10/17/2011</v>
          </cell>
        </row>
        <row r="369">
          <cell r="A369">
            <v>30101</v>
          </cell>
          <cell r="B369">
            <v>32881</v>
          </cell>
          <cell r="C369" t="str">
            <v>NSW-QLD</v>
          </cell>
          <cell r="D369" t="str">
            <v>Virtus Health</v>
          </cell>
          <cell r="E369" t="str">
            <v>Registered Nurse</v>
          </cell>
          <cell r="F369">
            <v>40916</v>
          </cell>
          <cell r="H369" t="str">
            <v>IVFN2021</v>
          </cell>
          <cell r="I369" t="str">
            <v>NSW</v>
          </cell>
          <cell r="J369" t="str">
            <v>Casual</v>
          </cell>
          <cell r="K369">
            <v>40916</v>
          </cell>
          <cell r="L369">
            <v>40916</v>
          </cell>
        </row>
        <row r="370">
          <cell r="A370">
            <v>30132</v>
          </cell>
          <cell r="B370" t="str">
            <v>11/20/1992</v>
          </cell>
          <cell r="C370" t="str">
            <v>NSW-QLD</v>
          </cell>
          <cell r="D370" t="str">
            <v>Virtus Health</v>
          </cell>
          <cell r="E370" t="str">
            <v>Registered Nurse</v>
          </cell>
          <cell r="F370" t="str">
            <v>11/21/2014</v>
          </cell>
          <cell r="H370" t="str">
            <v>IVFN2021</v>
          </cell>
          <cell r="I370" t="str">
            <v>NSW</v>
          </cell>
          <cell r="J370" t="str">
            <v>Casual</v>
          </cell>
          <cell r="K370" t="str">
            <v>11/21/2014</v>
          </cell>
          <cell r="L370" t="str">
            <v>11/21/2014</v>
          </cell>
        </row>
        <row r="371">
          <cell r="A371">
            <v>30139</v>
          </cell>
          <cell r="B371" t="str">
            <v>6/25/1993</v>
          </cell>
          <cell r="C371" t="str">
            <v>NSW-QLD</v>
          </cell>
          <cell r="D371" t="str">
            <v>Virtus Health</v>
          </cell>
          <cell r="E371" t="str">
            <v>Registered Nurse</v>
          </cell>
          <cell r="F371" t="str">
            <v>6/26/2015</v>
          </cell>
          <cell r="H371" t="str">
            <v>IVFN2021</v>
          </cell>
          <cell r="I371" t="str">
            <v>NSW</v>
          </cell>
          <cell r="J371" t="str">
            <v>Casual</v>
          </cell>
          <cell r="K371" t="str">
            <v>6/26/2015</v>
          </cell>
          <cell r="L371" t="str">
            <v>6/26/2015</v>
          </cell>
        </row>
        <row r="372">
          <cell r="A372">
            <v>30168</v>
          </cell>
          <cell r="B372">
            <v>35281</v>
          </cell>
          <cell r="C372" t="str">
            <v>NSW-QLD</v>
          </cell>
          <cell r="D372" t="str">
            <v>Virtus Health</v>
          </cell>
          <cell r="E372" t="str">
            <v>Registered Nurse</v>
          </cell>
          <cell r="F372">
            <v>43347</v>
          </cell>
          <cell r="H372" t="str">
            <v>IVFN2021</v>
          </cell>
          <cell r="I372" t="str">
            <v>NSW</v>
          </cell>
          <cell r="J372" t="str">
            <v>Part Time</v>
          </cell>
          <cell r="K372">
            <v>43347</v>
          </cell>
          <cell r="L372">
            <v>43347</v>
          </cell>
        </row>
        <row r="373">
          <cell r="A373">
            <v>30171</v>
          </cell>
          <cell r="B373" t="str">
            <v>2/17/1997</v>
          </cell>
          <cell r="C373" t="str">
            <v>NSW-QLD</v>
          </cell>
          <cell r="D373" t="str">
            <v>Virtus Health</v>
          </cell>
          <cell r="E373" t="str">
            <v>Theatre Orderly</v>
          </cell>
          <cell r="F373" t="str">
            <v>2/18/2019</v>
          </cell>
          <cell r="H373" t="str">
            <v>IVFS2023</v>
          </cell>
          <cell r="I373" t="str">
            <v>NSW</v>
          </cell>
          <cell r="J373" t="str">
            <v>Casual</v>
          </cell>
          <cell r="K373" t="str">
            <v>2/18/2019</v>
          </cell>
          <cell r="L373" t="str">
            <v>2/18/2019</v>
          </cell>
        </row>
        <row r="374">
          <cell r="A374">
            <v>30323</v>
          </cell>
          <cell r="B374">
            <v>34852</v>
          </cell>
          <cell r="C374" t="str">
            <v>NSW-QLD</v>
          </cell>
          <cell r="D374" t="str">
            <v>Virtus Health</v>
          </cell>
          <cell r="E374" t="str">
            <v>CSSD Tech</v>
          </cell>
          <cell r="F374">
            <v>42888</v>
          </cell>
          <cell r="H374" t="str">
            <v>IVFS2023</v>
          </cell>
          <cell r="I374" t="str">
            <v>NSW</v>
          </cell>
          <cell r="J374" t="str">
            <v>Part Time</v>
          </cell>
          <cell r="K374">
            <v>42888</v>
          </cell>
          <cell r="L374">
            <v>42888</v>
          </cell>
        </row>
        <row r="375">
          <cell r="A375">
            <v>30334</v>
          </cell>
          <cell r="B375" t="str">
            <v>1/15/1996</v>
          </cell>
          <cell r="C375" t="str">
            <v>NSW-QLD</v>
          </cell>
          <cell r="D375" t="str">
            <v>Virtus Health</v>
          </cell>
          <cell r="E375" t="str">
            <v>Registered Nurse</v>
          </cell>
          <cell r="F375" t="str">
            <v>1/15/2018</v>
          </cell>
          <cell r="H375" t="str">
            <v>IVFN2021</v>
          </cell>
          <cell r="I375" t="str">
            <v>NSW</v>
          </cell>
          <cell r="J375" t="str">
            <v>Part Time</v>
          </cell>
          <cell r="K375" t="str">
            <v>1/15/2018</v>
          </cell>
          <cell r="L375" t="str">
            <v>1/15/2018</v>
          </cell>
        </row>
        <row r="376">
          <cell r="A376">
            <v>30349</v>
          </cell>
          <cell r="B376">
            <v>35528</v>
          </cell>
          <cell r="C376" t="str">
            <v>NSW-QLD</v>
          </cell>
          <cell r="D376" t="str">
            <v>Virtus Health</v>
          </cell>
          <cell r="E376" t="str">
            <v>Registered Nurse</v>
          </cell>
          <cell r="F376">
            <v>43593</v>
          </cell>
          <cell r="H376" t="str">
            <v>IVFN2021</v>
          </cell>
          <cell r="I376" t="str">
            <v>NSW</v>
          </cell>
          <cell r="J376" t="str">
            <v>Part Time</v>
          </cell>
          <cell r="K376">
            <v>43593</v>
          </cell>
          <cell r="L376">
            <v>43593</v>
          </cell>
        </row>
        <row r="377">
          <cell r="A377">
            <v>30353</v>
          </cell>
          <cell r="B377">
            <v>35500</v>
          </cell>
          <cell r="C377" t="str">
            <v>NSW-QLD</v>
          </cell>
          <cell r="D377" t="str">
            <v>Virtus Health</v>
          </cell>
          <cell r="E377" t="str">
            <v>CSSD Tech</v>
          </cell>
          <cell r="F377">
            <v>43566</v>
          </cell>
          <cell r="H377" t="str">
            <v>IVFS2023</v>
          </cell>
          <cell r="I377" t="str">
            <v>NSW</v>
          </cell>
          <cell r="J377" t="str">
            <v>Full Time</v>
          </cell>
          <cell r="K377">
            <v>43566</v>
          </cell>
          <cell r="L377">
            <v>43566</v>
          </cell>
        </row>
        <row r="378">
          <cell r="A378">
            <v>30356</v>
          </cell>
          <cell r="B378">
            <v>36101</v>
          </cell>
          <cell r="C378" t="str">
            <v>NSW-QLD</v>
          </cell>
          <cell r="D378" t="str">
            <v>Virtus Health</v>
          </cell>
          <cell r="E378" t="str">
            <v>Registered Nurse</v>
          </cell>
          <cell r="F378">
            <v>44167</v>
          </cell>
          <cell r="H378" t="str">
            <v>IVFN2021</v>
          </cell>
          <cell r="I378" t="str">
            <v>NSW</v>
          </cell>
          <cell r="J378" t="str">
            <v>Casual</v>
          </cell>
          <cell r="K378">
            <v>44167</v>
          </cell>
          <cell r="L378">
            <v>44167</v>
          </cell>
        </row>
        <row r="379">
          <cell r="A379">
            <v>30359</v>
          </cell>
          <cell r="B379" t="str">
            <v>9/22/1998</v>
          </cell>
          <cell r="C379" t="str">
            <v>NSW-QLD</v>
          </cell>
          <cell r="D379" t="str">
            <v>Virtus Health</v>
          </cell>
          <cell r="E379" t="str">
            <v>Registered Nurse</v>
          </cell>
          <cell r="F379" t="str">
            <v>9/22/2020</v>
          </cell>
          <cell r="H379" t="str">
            <v>IVFN2021</v>
          </cell>
          <cell r="I379" t="str">
            <v>NSW</v>
          </cell>
          <cell r="J379" t="str">
            <v>Casual</v>
          </cell>
          <cell r="K379" t="str">
            <v>9/22/2020</v>
          </cell>
          <cell r="L379" t="str">
            <v>9/22/2020</v>
          </cell>
        </row>
        <row r="380">
          <cell r="A380">
            <v>30360</v>
          </cell>
          <cell r="B380">
            <v>35925</v>
          </cell>
          <cell r="C380" t="str">
            <v>NSW-QLD</v>
          </cell>
          <cell r="D380" t="str">
            <v>Virtus Health</v>
          </cell>
          <cell r="E380" t="str">
            <v>Registered Nurse</v>
          </cell>
          <cell r="F380">
            <v>43961</v>
          </cell>
          <cell r="H380" t="str">
            <v>IVFN2021</v>
          </cell>
          <cell r="I380" t="str">
            <v>NSW</v>
          </cell>
          <cell r="J380" t="str">
            <v>Casual</v>
          </cell>
          <cell r="K380">
            <v>43961</v>
          </cell>
          <cell r="L380">
            <v>43961</v>
          </cell>
        </row>
        <row r="381">
          <cell r="A381">
            <v>30361</v>
          </cell>
          <cell r="B381" t="str">
            <v>6/17/1998</v>
          </cell>
          <cell r="C381" t="str">
            <v>NSW-QLD</v>
          </cell>
          <cell r="D381" t="str">
            <v>Virtus Health</v>
          </cell>
          <cell r="E381" t="str">
            <v>Administration Team Leader</v>
          </cell>
          <cell r="F381" t="str">
            <v>6/17/2020</v>
          </cell>
          <cell r="H381" t="str">
            <v>IVFS2023</v>
          </cell>
          <cell r="I381" t="str">
            <v>NSW</v>
          </cell>
          <cell r="J381" t="str">
            <v>Full Time</v>
          </cell>
          <cell r="K381" t="str">
            <v>6/17/2020</v>
          </cell>
          <cell r="L381" t="str">
            <v>6/17/2020</v>
          </cell>
        </row>
        <row r="382">
          <cell r="A382">
            <v>30363</v>
          </cell>
          <cell r="B382">
            <v>35897</v>
          </cell>
          <cell r="C382" t="str">
            <v>NSW-QLD</v>
          </cell>
          <cell r="D382" t="str">
            <v>Virtus Health</v>
          </cell>
          <cell r="E382" t="str">
            <v>Registered Nurse</v>
          </cell>
          <cell r="F382">
            <v>43933</v>
          </cell>
          <cell r="H382" t="str">
            <v>IVFN2021</v>
          </cell>
          <cell r="I382" t="str">
            <v>NSW</v>
          </cell>
          <cell r="J382" t="str">
            <v>Casual</v>
          </cell>
          <cell r="K382">
            <v>43933</v>
          </cell>
          <cell r="L382">
            <v>43933</v>
          </cell>
        </row>
        <row r="383">
          <cell r="A383">
            <v>30369</v>
          </cell>
          <cell r="B383">
            <v>36285</v>
          </cell>
          <cell r="C383" t="str">
            <v>NSW-QLD</v>
          </cell>
          <cell r="D383" t="str">
            <v>Virtus Health</v>
          </cell>
          <cell r="E383" t="str">
            <v>Registered Nurse</v>
          </cell>
          <cell r="F383">
            <v>44321</v>
          </cell>
          <cell r="H383" t="str">
            <v>IVFN2021</v>
          </cell>
          <cell r="I383" t="str">
            <v>NSW</v>
          </cell>
          <cell r="J383" t="str">
            <v>Casual</v>
          </cell>
          <cell r="K383">
            <v>44321</v>
          </cell>
          <cell r="L383">
            <v>44321</v>
          </cell>
        </row>
        <row r="384">
          <cell r="A384">
            <v>30371</v>
          </cell>
          <cell r="B384">
            <v>36227</v>
          </cell>
          <cell r="C384" t="str">
            <v>NSW-QLD</v>
          </cell>
          <cell r="D384" t="str">
            <v>Virtus Health</v>
          </cell>
          <cell r="E384" t="str">
            <v>Registered Nurse</v>
          </cell>
          <cell r="F384">
            <v>44263</v>
          </cell>
          <cell r="H384" t="str">
            <v>IVFN2021</v>
          </cell>
          <cell r="I384" t="str">
            <v>NSW</v>
          </cell>
          <cell r="J384" t="str">
            <v>Part Time</v>
          </cell>
          <cell r="K384">
            <v>44263</v>
          </cell>
          <cell r="L384">
            <v>44263</v>
          </cell>
        </row>
        <row r="385">
          <cell r="A385">
            <v>30372</v>
          </cell>
          <cell r="B385">
            <v>36411</v>
          </cell>
          <cell r="C385" t="str">
            <v>NSW-QLD</v>
          </cell>
          <cell r="D385" t="str">
            <v>Virtus Health</v>
          </cell>
          <cell r="E385" t="str">
            <v>Registered Nurse</v>
          </cell>
          <cell r="F385">
            <v>44447</v>
          </cell>
          <cell r="H385" t="str">
            <v>IVFN2021</v>
          </cell>
          <cell r="I385" t="str">
            <v>NSW</v>
          </cell>
          <cell r="J385" t="str">
            <v>Casual</v>
          </cell>
          <cell r="K385">
            <v>44447</v>
          </cell>
          <cell r="L385">
            <v>44447</v>
          </cell>
        </row>
        <row r="386">
          <cell r="A386">
            <v>30378</v>
          </cell>
          <cell r="B386" t="str">
            <v>2/16/2000</v>
          </cell>
          <cell r="C386" t="str">
            <v>NSW-QLD</v>
          </cell>
          <cell r="D386" t="str">
            <v>Virtus Health</v>
          </cell>
          <cell r="E386" t="str">
            <v>Registered Nurse</v>
          </cell>
          <cell r="F386" t="str">
            <v>2/16/2022</v>
          </cell>
          <cell r="H386" t="str">
            <v>IVFN2021</v>
          </cell>
          <cell r="I386" t="str">
            <v>NSW</v>
          </cell>
          <cell r="J386" t="str">
            <v>Part Time</v>
          </cell>
          <cell r="K386" t="str">
            <v>2/16/2022</v>
          </cell>
          <cell r="L386" t="str">
            <v>2/16/2022</v>
          </cell>
        </row>
        <row r="387">
          <cell r="A387">
            <v>30381</v>
          </cell>
          <cell r="B387" t="str">
            <v>5/15/2000</v>
          </cell>
          <cell r="C387" t="str">
            <v>NSW-QLD</v>
          </cell>
          <cell r="D387" t="str">
            <v>Virtus Health</v>
          </cell>
          <cell r="E387" t="str">
            <v>Director of Nursing</v>
          </cell>
          <cell r="F387" t="str">
            <v>5/16/2022</v>
          </cell>
          <cell r="H387" t="str">
            <v>IVFN2021</v>
          </cell>
          <cell r="I387" t="str">
            <v>NSW</v>
          </cell>
          <cell r="J387" t="str">
            <v>Full Time</v>
          </cell>
          <cell r="K387" t="str">
            <v>5/16/2022</v>
          </cell>
          <cell r="L387" t="str">
            <v>5/16/2022</v>
          </cell>
        </row>
        <row r="388">
          <cell r="A388">
            <v>30382</v>
          </cell>
          <cell r="B388" t="str">
            <v>5/29/2000</v>
          </cell>
          <cell r="C388" t="str">
            <v>NSW-QLD</v>
          </cell>
          <cell r="D388" t="str">
            <v>Virtus Health</v>
          </cell>
          <cell r="E388" t="str">
            <v>Registered Nurse</v>
          </cell>
          <cell r="F388" t="str">
            <v>5/30/2022</v>
          </cell>
          <cell r="H388" t="str">
            <v>IVFN2021</v>
          </cell>
          <cell r="I388" t="str">
            <v>NSW</v>
          </cell>
          <cell r="J388" t="str">
            <v>Full Time</v>
          </cell>
          <cell r="K388" t="str">
            <v>5/30/2022</v>
          </cell>
          <cell r="L388" t="str">
            <v>5/30/2022</v>
          </cell>
        </row>
        <row r="389">
          <cell r="A389">
            <v>40005</v>
          </cell>
          <cell r="B389" t="str">
            <v>11/20/1985</v>
          </cell>
          <cell r="C389" t="str">
            <v>NSW-QLD</v>
          </cell>
          <cell r="D389" t="str">
            <v>Virtus Health</v>
          </cell>
          <cell r="E389" t="str">
            <v>Administration Clerk</v>
          </cell>
          <cell r="F389" t="str">
            <v>11/21/2007</v>
          </cell>
          <cell r="H389" t="str">
            <v>IVFS2023</v>
          </cell>
          <cell r="I389" t="str">
            <v>NSW</v>
          </cell>
          <cell r="J389" t="str">
            <v>Part Time</v>
          </cell>
          <cell r="K389" t="str">
            <v>11/21/2007</v>
          </cell>
          <cell r="L389" t="str">
            <v>11/21/2007</v>
          </cell>
        </row>
        <row r="390">
          <cell r="A390">
            <v>40007</v>
          </cell>
          <cell r="B390">
            <v>30998</v>
          </cell>
          <cell r="C390" t="str">
            <v>NSW-QLD</v>
          </cell>
          <cell r="D390" t="str">
            <v>Virtus Health</v>
          </cell>
          <cell r="E390" t="str">
            <v>Registered Nurse</v>
          </cell>
          <cell r="F390">
            <v>39063</v>
          </cell>
          <cell r="H390" t="str">
            <v>IVFN2021</v>
          </cell>
          <cell r="I390" t="str">
            <v>NSW</v>
          </cell>
          <cell r="J390" t="str">
            <v>Part Time</v>
          </cell>
          <cell r="K390">
            <v>39063</v>
          </cell>
          <cell r="L390">
            <v>39063</v>
          </cell>
        </row>
        <row r="391">
          <cell r="A391">
            <v>40013</v>
          </cell>
          <cell r="B391" t="str">
            <v>6/16/1979</v>
          </cell>
          <cell r="C391" t="str">
            <v>NSW-QLD</v>
          </cell>
          <cell r="D391" t="str">
            <v>Virtus Health</v>
          </cell>
          <cell r="E391" t="str">
            <v>Registered Nurse</v>
          </cell>
          <cell r="F391" t="str">
            <v>6/16/2001</v>
          </cell>
          <cell r="H391" t="str">
            <v>IVFN2021</v>
          </cell>
          <cell r="I391" t="str">
            <v>NSW</v>
          </cell>
          <cell r="J391" t="str">
            <v>Casual</v>
          </cell>
          <cell r="K391" t="str">
            <v>6/16/2001</v>
          </cell>
          <cell r="L391" t="str">
            <v>6/16/2001</v>
          </cell>
        </row>
        <row r="392">
          <cell r="A392">
            <v>40020</v>
          </cell>
          <cell r="B392" t="str">
            <v>5/23/1978</v>
          </cell>
          <cell r="C392" t="str">
            <v>NSW-QLD</v>
          </cell>
          <cell r="D392" t="str">
            <v>Virtus Health</v>
          </cell>
          <cell r="E392" t="str">
            <v>Enrolled Nurse</v>
          </cell>
          <cell r="F392" t="str">
            <v>5/23/2000</v>
          </cell>
          <cell r="H392" t="str">
            <v>IVFN2021</v>
          </cell>
          <cell r="I392" t="str">
            <v>NSW</v>
          </cell>
          <cell r="J392" t="str">
            <v>Part Time</v>
          </cell>
          <cell r="K392" t="str">
            <v>5/23/2000</v>
          </cell>
          <cell r="L392" t="str">
            <v>5/23/2000</v>
          </cell>
        </row>
        <row r="393">
          <cell r="A393">
            <v>40020</v>
          </cell>
          <cell r="B393" t="str">
            <v>5/23/1978</v>
          </cell>
          <cell r="C393" t="str">
            <v>NSW-QLD</v>
          </cell>
          <cell r="D393" t="str">
            <v>Virtus Health</v>
          </cell>
          <cell r="E393" t="str">
            <v>Enrolled Nurse</v>
          </cell>
          <cell r="F393" t="str">
            <v>12/18/2023</v>
          </cell>
          <cell r="G393" t="str">
            <v>8/31/2025</v>
          </cell>
          <cell r="H393" t="str">
            <v>IVFN2021</v>
          </cell>
          <cell r="I393" t="str">
            <v>NSW</v>
          </cell>
          <cell r="J393" t="str">
            <v>Part Time</v>
          </cell>
          <cell r="K393" t="str">
            <v>5/23/2000</v>
          </cell>
          <cell r="L393" t="str">
            <v>5/23/2000</v>
          </cell>
        </row>
        <row r="394">
          <cell r="A394">
            <v>40020</v>
          </cell>
          <cell r="B394" t="str">
            <v>5/23/1978</v>
          </cell>
          <cell r="C394" t="str">
            <v>NSW-QLD</v>
          </cell>
          <cell r="D394" t="str">
            <v>Virtus Health</v>
          </cell>
          <cell r="E394" t="str">
            <v>Enrolled Nurse</v>
          </cell>
          <cell r="F394">
            <v>45666</v>
          </cell>
          <cell r="H394" t="str">
            <v>IVFN2021</v>
          </cell>
          <cell r="I394" t="str">
            <v>NSW</v>
          </cell>
          <cell r="J394" t="str">
            <v>Part Time</v>
          </cell>
          <cell r="K394" t="str">
            <v>5/23/2000</v>
          </cell>
          <cell r="L394" t="str">
            <v>5/23/2000</v>
          </cell>
        </row>
        <row r="395">
          <cell r="A395">
            <v>40029</v>
          </cell>
          <cell r="B395" t="str">
            <v>5/22/1989</v>
          </cell>
          <cell r="C395" t="str">
            <v>NSW-QLD</v>
          </cell>
          <cell r="D395" t="str">
            <v>Virtus Health</v>
          </cell>
          <cell r="E395" t="str">
            <v>Registered Nurse</v>
          </cell>
          <cell r="F395" t="str">
            <v>5/23/2011</v>
          </cell>
          <cell r="H395" t="str">
            <v>IVFN2021</v>
          </cell>
          <cell r="I395" t="str">
            <v>NSW</v>
          </cell>
          <cell r="J395" t="str">
            <v>Full Time</v>
          </cell>
          <cell r="K395" t="str">
            <v>5/23/2011</v>
          </cell>
          <cell r="L395" t="str">
            <v>5/23/2011</v>
          </cell>
        </row>
        <row r="396">
          <cell r="A396">
            <v>40036</v>
          </cell>
          <cell r="B396">
            <v>32520</v>
          </cell>
          <cell r="C396" t="str">
            <v>NSW-QLD</v>
          </cell>
          <cell r="D396" t="str">
            <v>Virtus Health</v>
          </cell>
          <cell r="E396" t="str">
            <v>Administration Team Leader</v>
          </cell>
          <cell r="F396">
            <v>40586</v>
          </cell>
          <cell r="H396" t="str">
            <v>IVFS2023</v>
          </cell>
          <cell r="I396" t="str">
            <v>NSW</v>
          </cell>
          <cell r="J396" t="str">
            <v>Full Time</v>
          </cell>
          <cell r="K396">
            <v>40586</v>
          </cell>
          <cell r="L396">
            <v>40586</v>
          </cell>
        </row>
        <row r="397">
          <cell r="A397">
            <v>40040</v>
          </cell>
          <cell r="B397">
            <v>32876</v>
          </cell>
          <cell r="C397" t="str">
            <v>NSW-QLD</v>
          </cell>
          <cell r="D397" t="str">
            <v>Virtus Health</v>
          </cell>
          <cell r="E397" t="str">
            <v>Registered Nurse</v>
          </cell>
          <cell r="F397">
            <v>40911</v>
          </cell>
          <cell r="H397" t="str">
            <v>IVFN2021</v>
          </cell>
          <cell r="I397" t="str">
            <v>NSW</v>
          </cell>
          <cell r="J397" t="str">
            <v>Full Time</v>
          </cell>
          <cell r="K397">
            <v>40911</v>
          </cell>
          <cell r="L397">
            <v>40911</v>
          </cell>
        </row>
        <row r="398">
          <cell r="A398">
            <v>40047</v>
          </cell>
          <cell r="B398" t="str">
            <v>9/27/1990</v>
          </cell>
          <cell r="C398" t="str">
            <v>NSW-QLD</v>
          </cell>
          <cell r="D398" t="str">
            <v>Virtus Health</v>
          </cell>
          <cell r="E398" t="str">
            <v>Administration Clerk</v>
          </cell>
          <cell r="F398" t="str">
            <v>9/27/2012</v>
          </cell>
          <cell r="H398" t="str">
            <v>IVFS2023</v>
          </cell>
          <cell r="I398" t="str">
            <v>NSW</v>
          </cell>
          <cell r="J398" t="str">
            <v>Part Time</v>
          </cell>
          <cell r="K398" t="str">
            <v>9/27/2012</v>
          </cell>
          <cell r="L398" t="str">
            <v>9/27/2012</v>
          </cell>
        </row>
        <row r="399">
          <cell r="A399">
            <v>40050</v>
          </cell>
          <cell r="B399" t="str">
            <v>2/27/1991</v>
          </cell>
          <cell r="C399" t="str">
            <v>NSW-QLD</v>
          </cell>
          <cell r="D399" t="str">
            <v>Virtus Health</v>
          </cell>
          <cell r="E399" t="str">
            <v>Enrolled Nurse</v>
          </cell>
          <cell r="F399" t="str">
            <v>2/27/2013</v>
          </cell>
          <cell r="H399" t="str">
            <v>IVFN2021</v>
          </cell>
          <cell r="I399" t="str">
            <v>NSW</v>
          </cell>
          <cell r="J399" t="str">
            <v>Casual</v>
          </cell>
          <cell r="K399" t="str">
            <v>2/27/2013</v>
          </cell>
          <cell r="L399" t="str">
            <v>2/27/2013</v>
          </cell>
        </row>
        <row r="400">
          <cell r="A400">
            <v>40056</v>
          </cell>
          <cell r="B400">
            <v>33427</v>
          </cell>
          <cell r="C400" t="str">
            <v>NSW-QLD</v>
          </cell>
          <cell r="D400" t="str">
            <v>Virtus Health</v>
          </cell>
          <cell r="E400" t="str">
            <v>Administration Clerk</v>
          </cell>
          <cell r="F400">
            <v>41463</v>
          </cell>
          <cell r="H400" t="str">
            <v>IVFS2023</v>
          </cell>
          <cell r="I400" t="str">
            <v>NSW</v>
          </cell>
          <cell r="J400" t="str">
            <v>Casual</v>
          </cell>
          <cell r="K400">
            <v>41463</v>
          </cell>
          <cell r="L400">
            <v>41463</v>
          </cell>
        </row>
        <row r="401">
          <cell r="A401">
            <v>40064</v>
          </cell>
          <cell r="B401" t="str">
            <v>7/20/1992</v>
          </cell>
          <cell r="C401" t="str">
            <v>NSW-QLD</v>
          </cell>
          <cell r="D401" t="str">
            <v>Virtus Health</v>
          </cell>
          <cell r="E401" t="str">
            <v>Registered Nurse</v>
          </cell>
          <cell r="F401" t="str">
            <v>7/21/2014</v>
          </cell>
          <cell r="H401" t="str">
            <v>IVFN2021</v>
          </cell>
          <cell r="I401" t="str">
            <v>NSW</v>
          </cell>
          <cell r="J401" t="str">
            <v>Part Time</v>
          </cell>
          <cell r="K401" t="str">
            <v>7/21/2014</v>
          </cell>
          <cell r="L401" t="str">
            <v>7/21/2014</v>
          </cell>
        </row>
        <row r="402">
          <cell r="A402">
            <v>40079</v>
          </cell>
          <cell r="B402">
            <v>34250</v>
          </cell>
          <cell r="C402" t="str">
            <v>NSW-QLD</v>
          </cell>
          <cell r="D402" t="str">
            <v>Virtus Health</v>
          </cell>
          <cell r="E402" t="str">
            <v>CSSD Tech</v>
          </cell>
          <cell r="F402">
            <v>42316</v>
          </cell>
          <cell r="H402" t="str">
            <v>IVFS2023</v>
          </cell>
          <cell r="I402" t="str">
            <v>NSW</v>
          </cell>
          <cell r="J402" t="str">
            <v>Full Time</v>
          </cell>
          <cell r="K402">
            <v>42316</v>
          </cell>
          <cell r="L402">
            <v>42316</v>
          </cell>
        </row>
        <row r="403">
          <cell r="A403">
            <v>40100</v>
          </cell>
          <cell r="B403">
            <v>35221</v>
          </cell>
          <cell r="C403" t="str">
            <v>NSW-QLD</v>
          </cell>
          <cell r="D403" t="str">
            <v>Virtus Health</v>
          </cell>
          <cell r="E403" t="str">
            <v>Unit Nurse Manager</v>
          </cell>
          <cell r="F403">
            <v>43286</v>
          </cell>
          <cell r="H403" t="str">
            <v>IVFN2021</v>
          </cell>
          <cell r="I403" t="str">
            <v>NSW</v>
          </cell>
          <cell r="J403" t="str">
            <v>Full Time</v>
          </cell>
          <cell r="K403">
            <v>43286</v>
          </cell>
          <cell r="L403">
            <v>43286</v>
          </cell>
        </row>
        <row r="404">
          <cell r="A404">
            <v>40107</v>
          </cell>
          <cell r="B404">
            <v>35705</v>
          </cell>
          <cell r="C404" t="str">
            <v>NSW-QLD</v>
          </cell>
          <cell r="D404" t="str">
            <v>Virtus Health</v>
          </cell>
          <cell r="E404" t="str">
            <v>Registered Nurse</v>
          </cell>
          <cell r="F404">
            <v>43771</v>
          </cell>
          <cell r="H404" t="str">
            <v>IVFN2021</v>
          </cell>
          <cell r="I404" t="str">
            <v>NSW</v>
          </cell>
          <cell r="J404" t="str">
            <v>Full Time</v>
          </cell>
          <cell r="K404">
            <v>43771</v>
          </cell>
          <cell r="L404">
            <v>43771</v>
          </cell>
        </row>
        <row r="405">
          <cell r="A405">
            <v>40110</v>
          </cell>
          <cell r="B405">
            <v>35615</v>
          </cell>
          <cell r="C405" t="str">
            <v>NSW-QLD</v>
          </cell>
          <cell r="D405" t="str">
            <v>Virtus Health</v>
          </cell>
          <cell r="E405" t="str">
            <v>Registered Nurse</v>
          </cell>
          <cell r="F405">
            <v>43681</v>
          </cell>
          <cell r="H405" t="str">
            <v>IVFN2021</v>
          </cell>
          <cell r="I405" t="str">
            <v>NSW</v>
          </cell>
          <cell r="J405" t="str">
            <v>Part Time</v>
          </cell>
          <cell r="K405">
            <v>43681</v>
          </cell>
          <cell r="L405">
            <v>43681</v>
          </cell>
        </row>
        <row r="406">
          <cell r="A406">
            <v>40116</v>
          </cell>
          <cell r="B406">
            <v>36041</v>
          </cell>
          <cell r="C406" t="str">
            <v>NSW-QLD</v>
          </cell>
          <cell r="D406" t="str">
            <v>Virtus Health</v>
          </cell>
          <cell r="E406" t="str">
            <v>CSSD Tech</v>
          </cell>
          <cell r="F406">
            <v>44077</v>
          </cell>
          <cell r="H406" t="str">
            <v>IVFS2023</v>
          </cell>
          <cell r="I406" t="str">
            <v>NSW</v>
          </cell>
          <cell r="J406" t="str">
            <v>Part Time</v>
          </cell>
          <cell r="K406">
            <v>44077</v>
          </cell>
          <cell r="L406">
            <v>44077</v>
          </cell>
        </row>
        <row r="407">
          <cell r="A407">
            <v>40121</v>
          </cell>
          <cell r="B407" t="str">
            <v>7/27/1998</v>
          </cell>
          <cell r="C407" t="str">
            <v>NSW-QLD</v>
          </cell>
          <cell r="D407" t="str">
            <v>Virtus Health</v>
          </cell>
          <cell r="E407" t="str">
            <v>Enrolled Nurse</v>
          </cell>
          <cell r="F407" t="str">
            <v>7/27/2020</v>
          </cell>
          <cell r="H407" t="str">
            <v>IVFN2021</v>
          </cell>
          <cell r="I407" t="str">
            <v>NSW</v>
          </cell>
          <cell r="J407" t="str">
            <v>Part Time</v>
          </cell>
          <cell r="K407" t="str">
            <v>7/27/2020</v>
          </cell>
          <cell r="L407" t="str">
            <v>7/27/2020</v>
          </cell>
        </row>
        <row r="408">
          <cell r="A408">
            <v>40137</v>
          </cell>
          <cell r="B408">
            <v>36315</v>
          </cell>
          <cell r="C408" t="str">
            <v>NSW-QLD</v>
          </cell>
          <cell r="D408" t="str">
            <v>Virtus Health</v>
          </cell>
          <cell r="E408" t="str">
            <v>Registered Nurse</v>
          </cell>
          <cell r="F408">
            <v>44351</v>
          </cell>
          <cell r="H408" t="str">
            <v>IVFN2021</v>
          </cell>
          <cell r="I408" t="str">
            <v>NSW</v>
          </cell>
          <cell r="J408" t="str">
            <v>Casual</v>
          </cell>
          <cell r="K408">
            <v>44351</v>
          </cell>
          <cell r="L408">
            <v>44351</v>
          </cell>
        </row>
        <row r="409">
          <cell r="A409">
            <v>40144</v>
          </cell>
          <cell r="B409" t="str">
            <v>9/29/1999</v>
          </cell>
          <cell r="C409" t="str">
            <v>NSW-QLD</v>
          </cell>
          <cell r="D409" t="str">
            <v>Virtus Health</v>
          </cell>
          <cell r="E409" t="str">
            <v>Director of Nursing-City West and Liverpool</v>
          </cell>
          <cell r="F409" t="str">
            <v>9/29/2021</v>
          </cell>
          <cell r="H409" t="str">
            <v>IVFN2021</v>
          </cell>
          <cell r="I409" t="str">
            <v>NSW</v>
          </cell>
          <cell r="J409" t="str">
            <v>Full Time</v>
          </cell>
          <cell r="K409" t="str">
            <v>9/29/2021</v>
          </cell>
          <cell r="L409" t="str">
            <v>9/29/2021</v>
          </cell>
        </row>
        <row r="410">
          <cell r="A410">
            <v>40150</v>
          </cell>
          <cell r="B410" t="str">
            <v>2/22/2000</v>
          </cell>
          <cell r="C410" t="str">
            <v>NSW-QLD</v>
          </cell>
          <cell r="D410" t="str">
            <v>Virtus Health</v>
          </cell>
          <cell r="E410" t="str">
            <v>Registered Nurse</v>
          </cell>
          <cell r="F410" t="str">
            <v>2/22/2022</v>
          </cell>
          <cell r="H410" t="str">
            <v>IVFN2021</v>
          </cell>
          <cell r="I410" t="str">
            <v>NSW</v>
          </cell>
          <cell r="J410" t="str">
            <v>Casual</v>
          </cell>
          <cell r="K410" t="str">
            <v>2/22/2022</v>
          </cell>
          <cell r="L410" t="str">
            <v>2/22/2022</v>
          </cell>
        </row>
        <row r="411">
          <cell r="A411">
            <v>40156</v>
          </cell>
          <cell r="B411">
            <v>36834</v>
          </cell>
          <cell r="C411" t="str">
            <v>NSW-QLD</v>
          </cell>
          <cell r="D411" t="str">
            <v>Virtus Health</v>
          </cell>
          <cell r="E411" t="str">
            <v>Registered Nurse</v>
          </cell>
          <cell r="F411">
            <v>44899</v>
          </cell>
          <cell r="H411" t="str">
            <v>IVFN2021</v>
          </cell>
          <cell r="I411" t="str">
            <v>NSW</v>
          </cell>
          <cell r="J411" t="str">
            <v>Part Time</v>
          </cell>
          <cell r="K411">
            <v>44899</v>
          </cell>
          <cell r="L411">
            <v>44899</v>
          </cell>
        </row>
        <row r="412">
          <cell r="A412">
            <v>40159</v>
          </cell>
          <cell r="B412">
            <v>36743</v>
          </cell>
          <cell r="C412" t="str">
            <v>NSW-QLD</v>
          </cell>
          <cell r="D412" t="str">
            <v>Virtus Health</v>
          </cell>
          <cell r="E412" t="str">
            <v>Registered Nurse</v>
          </cell>
          <cell r="F412">
            <v>44809</v>
          </cell>
          <cell r="H412" t="str">
            <v>IVFN2021</v>
          </cell>
          <cell r="I412" t="str">
            <v>NSW</v>
          </cell>
          <cell r="J412" t="str">
            <v>Casual</v>
          </cell>
          <cell r="K412">
            <v>44809</v>
          </cell>
          <cell r="L412">
            <v>44809</v>
          </cell>
        </row>
        <row r="413">
          <cell r="A413">
            <v>50003</v>
          </cell>
          <cell r="B413">
            <v>32394</v>
          </cell>
          <cell r="C413" t="str">
            <v>NSW-QLD</v>
          </cell>
          <cell r="D413" t="str">
            <v>Virtus Health</v>
          </cell>
          <cell r="E413" t="str">
            <v>Theatre Orderly</v>
          </cell>
          <cell r="F413">
            <v>40459</v>
          </cell>
          <cell r="H413" t="str">
            <v>IVFS2023</v>
          </cell>
          <cell r="I413" t="str">
            <v>NSW</v>
          </cell>
          <cell r="J413" t="str">
            <v>Part Time</v>
          </cell>
          <cell r="K413">
            <v>40459</v>
          </cell>
          <cell r="L413">
            <v>40459</v>
          </cell>
        </row>
        <row r="414">
          <cell r="A414">
            <v>50009</v>
          </cell>
          <cell r="B414">
            <v>31844</v>
          </cell>
          <cell r="C414" t="str">
            <v>NSW-QLD</v>
          </cell>
          <cell r="D414" t="str">
            <v>Virtus Health</v>
          </cell>
          <cell r="E414" t="str">
            <v>Patient Accounts Team Leader</v>
          </cell>
          <cell r="F414">
            <v>39880</v>
          </cell>
          <cell r="H414" t="str">
            <v>IVFS2023</v>
          </cell>
          <cell r="I414" t="str">
            <v>NSW</v>
          </cell>
          <cell r="J414" t="str">
            <v>Full Time</v>
          </cell>
          <cell r="K414">
            <v>39880</v>
          </cell>
          <cell r="L414">
            <v>39880</v>
          </cell>
        </row>
        <row r="415">
          <cell r="A415">
            <v>50027</v>
          </cell>
          <cell r="B415">
            <v>31360</v>
          </cell>
          <cell r="C415" t="str">
            <v>NSW-QLD</v>
          </cell>
          <cell r="D415" t="str">
            <v>Virtus Health</v>
          </cell>
          <cell r="E415" t="str">
            <v>Registered Nurse</v>
          </cell>
          <cell r="F415">
            <v>39425</v>
          </cell>
          <cell r="H415" t="str">
            <v>IVFN2021</v>
          </cell>
          <cell r="I415" t="str">
            <v>NSW</v>
          </cell>
          <cell r="J415" t="str">
            <v>Part Time</v>
          </cell>
          <cell r="K415">
            <v>39425</v>
          </cell>
          <cell r="L415">
            <v>39425</v>
          </cell>
        </row>
        <row r="416">
          <cell r="A416">
            <v>50077</v>
          </cell>
          <cell r="B416" t="str">
            <v>7/30/1993</v>
          </cell>
          <cell r="C416" t="str">
            <v>NSW-QLD</v>
          </cell>
          <cell r="D416" t="str">
            <v>Virtus Health</v>
          </cell>
          <cell r="E416" t="str">
            <v>Registered Nurse</v>
          </cell>
          <cell r="F416" t="str">
            <v>7/31/2015</v>
          </cell>
          <cell r="H416" t="str">
            <v>IVFN2021</v>
          </cell>
          <cell r="I416" t="str">
            <v>NSW</v>
          </cell>
          <cell r="J416" t="str">
            <v>Casual</v>
          </cell>
          <cell r="K416" t="str">
            <v>7/31/2015</v>
          </cell>
          <cell r="L416" t="str">
            <v>7/31/2015</v>
          </cell>
        </row>
        <row r="417">
          <cell r="A417">
            <v>50080</v>
          </cell>
          <cell r="B417" t="str">
            <v>10/25/1993</v>
          </cell>
          <cell r="C417" t="str">
            <v>NSW-QLD</v>
          </cell>
          <cell r="D417" t="str">
            <v>Virtus Health</v>
          </cell>
          <cell r="E417" t="str">
            <v>Administration Clerk</v>
          </cell>
          <cell r="F417" t="str">
            <v>10/26/2015</v>
          </cell>
          <cell r="H417" t="str">
            <v>IVFS2023</v>
          </cell>
          <cell r="I417" t="str">
            <v>NSW</v>
          </cell>
          <cell r="J417" t="str">
            <v>Part Time</v>
          </cell>
          <cell r="K417" t="str">
            <v>10/26/2015</v>
          </cell>
          <cell r="L417" t="str">
            <v>10/26/2015</v>
          </cell>
        </row>
        <row r="418">
          <cell r="A418">
            <v>50092</v>
          </cell>
          <cell r="B418" t="str">
            <v>4/18/1994</v>
          </cell>
          <cell r="C418" t="str">
            <v>NSW-QLD</v>
          </cell>
          <cell r="D418" t="str">
            <v>Virtus Health</v>
          </cell>
          <cell r="E418" t="str">
            <v>Registered Nurse</v>
          </cell>
          <cell r="F418" t="str">
            <v>4/18/2016</v>
          </cell>
          <cell r="H418" t="str">
            <v>IVFN2021</v>
          </cell>
          <cell r="I418" t="str">
            <v>NSW</v>
          </cell>
          <cell r="J418" t="str">
            <v>Part Time</v>
          </cell>
          <cell r="K418" t="str">
            <v>4/18/2016</v>
          </cell>
          <cell r="L418" t="str">
            <v>4/18/2016</v>
          </cell>
        </row>
        <row r="419">
          <cell r="A419">
            <v>50115</v>
          </cell>
          <cell r="B419">
            <v>35405</v>
          </cell>
          <cell r="C419" t="str">
            <v>NSW-QLD</v>
          </cell>
          <cell r="D419" t="str">
            <v>Virtus Health</v>
          </cell>
          <cell r="E419" t="str">
            <v>Registered Nurse</v>
          </cell>
          <cell r="F419" t="str">
            <v>6/13/2018</v>
          </cell>
          <cell r="H419" t="str">
            <v>IVFN2021</v>
          </cell>
          <cell r="I419" t="str">
            <v>NSW</v>
          </cell>
          <cell r="J419" t="str">
            <v>Casual</v>
          </cell>
          <cell r="K419" t="str">
            <v>6/13/2018</v>
          </cell>
          <cell r="L419" t="str">
            <v>6/13/2018</v>
          </cell>
        </row>
        <row r="420">
          <cell r="A420">
            <v>50122</v>
          </cell>
          <cell r="B420" t="str">
            <v>10/14/1996</v>
          </cell>
          <cell r="C420" t="str">
            <v>NSW-QLD</v>
          </cell>
          <cell r="D420" t="str">
            <v>Virtus Health</v>
          </cell>
          <cell r="E420" t="str">
            <v>Registered Nurse</v>
          </cell>
          <cell r="F420" t="str">
            <v>10/15/2018</v>
          </cell>
          <cell r="H420" t="str">
            <v>IVFN2021</v>
          </cell>
          <cell r="I420" t="str">
            <v>NSW</v>
          </cell>
          <cell r="J420" t="str">
            <v>Casual</v>
          </cell>
          <cell r="K420" t="str">
            <v>10/15/2018</v>
          </cell>
          <cell r="L420" t="str">
            <v>10/15/2018</v>
          </cell>
        </row>
        <row r="421">
          <cell r="A421">
            <v>50127</v>
          </cell>
          <cell r="B421">
            <v>35492</v>
          </cell>
          <cell r="C421" t="str">
            <v>NSW-QLD</v>
          </cell>
          <cell r="D421" t="str">
            <v>Virtus Health</v>
          </cell>
          <cell r="E421" t="str">
            <v>Registered Nurse</v>
          </cell>
          <cell r="F421">
            <v>43558</v>
          </cell>
          <cell r="H421" t="str">
            <v>IVFN2021</v>
          </cell>
          <cell r="I421" t="str">
            <v>NSW</v>
          </cell>
          <cell r="J421" t="str">
            <v>Casual</v>
          </cell>
          <cell r="K421">
            <v>43558</v>
          </cell>
          <cell r="L421">
            <v>43558</v>
          </cell>
        </row>
        <row r="422">
          <cell r="A422">
            <v>50139</v>
          </cell>
          <cell r="B422" t="str">
            <v>6/23/1997</v>
          </cell>
          <cell r="C422" t="str">
            <v>NSW-QLD</v>
          </cell>
          <cell r="D422" t="str">
            <v>Virtus Health</v>
          </cell>
          <cell r="E422" t="str">
            <v>Registered Nurse</v>
          </cell>
          <cell r="F422" t="str">
            <v>6/24/2019</v>
          </cell>
          <cell r="H422" t="str">
            <v>IVFN2021</v>
          </cell>
          <cell r="I422" t="str">
            <v>NSW</v>
          </cell>
          <cell r="J422" t="str">
            <v>Casual</v>
          </cell>
          <cell r="K422" t="str">
            <v>6/24/2019</v>
          </cell>
          <cell r="L422" t="str">
            <v>6/24/2019</v>
          </cell>
        </row>
        <row r="423">
          <cell r="A423">
            <v>50140</v>
          </cell>
          <cell r="B423" t="str">
            <v>6/23/1997</v>
          </cell>
          <cell r="C423" t="str">
            <v>NSW-QLD</v>
          </cell>
          <cell r="D423" t="str">
            <v>Virtus Health</v>
          </cell>
          <cell r="E423" t="str">
            <v>Registered Nurse</v>
          </cell>
          <cell r="F423" t="str">
            <v>6/24/2019</v>
          </cell>
          <cell r="H423" t="str">
            <v>IVFN2021</v>
          </cell>
          <cell r="I423" t="str">
            <v>NSW</v>
          </cell>
          <cell r="J423" t="str">
            <v>Part Time</v>
          </cell>
          <cell r="K423" t="str">
            <v>6/24/2019</v>
          </cell>
          <cell r="L423" t="str">
            <v>6/24/2019</v>
          </cell>
        </row>
        <row r="424">
          <cell r="A424">
            <v>50142</v>
          </cell>
          <cell r="B424" t="str">
            <v>7/22/1997</v>
          </cell>
          <cell r="C424" t="str">
            <v>NSW-QLD</v>
          </cell>
          <cell r="D424" t="str">
            <v>Virtus Health</v>
          </cell>
          <cell r="E424" t="str">
            <v>Administration Clerk</v>
          </cell>
          <cell r="F424" t="str">
            <v>7/23/2019</v>
          </cell>
          <cell r="H424" t="str">
            <v>IVFS2023</v>
          </cell>
          <cell r="I424" t="str">
            <v>NSW</v>
          </cell>
          <cell r="J424" t="str">
            <v>Part Time</v>
          </cell>
          <cell r="K424" t="str">
            <v>7/23/2019</v>
          </cell>
          <cell r="L424" t="str">
            <v>7/23/2019</v>
          </cell>
        </row>
        <row r="425">
          <cell r="A425">
            <v>50145</v>
          </cell>
          <cell r="B425" t="str">
            <v>7/28/1997</v>
          </cell>
          <cell r="C425" t="str">
            <v>NSW-QLD</v>
          </cell>
          <cell r="D425" t="str">
            <v>Virtus Health</v>
          </cell>
          <cell r="E425" t="str">
            <v>Registered Nurse</v>
          </cell>
          <cell r="F425" t="str">
            <v>7/29/2019</v>
          </cell>
          <cell r="H425" t="str">
            <v>IVFN2021</v>
          </cell>
          <cell r="I425" t="str">
            <v>NSW</v>
          </cell>
          <cell r="J425" t="str">
            <v>Casual</v>
          </cell>
          <cell r="K425" t="str">
            <v>7/29/2019</v>
          </cell>
          <cell r="L425" t="str">
            <v>7/29/2019</v>
          </cell>
        </row>
        <row r="426">
          <cell r="A426">
            <v>50160</v>
          </cell>
          <cell r="B426" t="str">
            <v>3/16/1998</v>
          </cell>
          <cell r="C426" t="str">
            <v>NSW-QLD</v>
          </cell>
          <cell r="D426" t="str">
            <v>Virtus Health</v>
          </cell>
          <cell r="E426" t="str">
            <v>Enrolled Nurse</v>
          </cell>
          <cell r="F426" t="str">
            <v>3/16/2020</v>
          </cell>
          <cell r="H426" t="str">
            <v>IVFN2021</v>
          </cell>
          <cell r="I426" t="str">
            <v>NSW</v>
          </cell>
          <cell r="J426" t="str">
            <v>Part Time</v>
          </cell>
          <cell r="K426" t="str">
            <v>3/16/2020</v>
          </cell>
          <cell r="L426" t="str">
            <v>3/16/2020</v>
          </cell>
        </row>
        <row r="427">
          <cell r="A427">
            <v>50166</v>
          </cell>
          <cell r="B427">
            <v>35802</v>
          </cell>
          <cell r="C427" t="str">
            <v>NSW-QLD</v>
          </cell>
          <cell r="D427" t="str">
            <v>Virtus Health</v>
          </cell>
          <cell r="E427" t="str">
            <v>Registered Nurse</v>
          </cell>
          <cell r="F427">
            <v>43837</v>
          </cell>
          <cell r="H427" t="str">
            <v>IVFN2021</v>
          </cell>
          <cell r="I427" t="str">
            <v>NSW</v>
          </cell>
          <cell r="J427" t="str">
            <v>Full Time</v>
          </cell>
          <cell r="K427">
            <v>43837</v>
          </cell>
          <cell r="L427">
            <v>43837</v>
          </cell>
        </row>
        <row r="428">
          <cell r="A428">
            <v>50167</v>
          </cell>
          <cell r="B428">
            <v>35677</v>
          </cell>
          <cell r="C428" t="str">
            <v>NSW-QLD</v>
          </cell>
          <cell r="D428" t="str">
            <v>Virtus Health</v>
          </cell>
          <cell r="E428" t="str">
            <v>Administration Team Leader</v>
          </cell>
          <cell r="F428">
            <v>43742</v>
          </cell>
          <cell r="H428" t="str">
            <v>IVFS2023</v>
          </cell>
          <cell r="I428" t="str">
            <v>NSW</v>
          </cell>
          <cell r="J428" t="str">
            <v>Full Time</v>
          </cell>
          <cell r="K428">
            <v>43742</v>
          </cell>
          <cell r="L428">
            <v>43742</v>
          </cell>
        </row>
        <row r="429">
          <cell r="A429">
            <v>50168</v>
          </cell>
          <cell r="B429" t="str">
            <v>7/20/1998</v>
          </cell>
          <cell r="C429" t="str">
            <v>NSW-QLD</v>
          </cell>
          <cell r="D429" t="str">
            <v>Virtus Health</v>
          </cell>
          <cell r="E429" t="str">
            <v>Registered Nurse</v>
          </cell>
          <cell r="F429" t="str">
            <v>7/20/2020</v>
          </cell>
          <cell r="H429" t="str">
            <v>IVFN2021</v>
          </cell>
          <cell r="I429" t="str">
            <v>NSW</v>
          </cell>
          <cell r="J429" t="str">
            <v>Casual</v>
          </cell>
          <cell r="K429" t="str">
            <v>7/20/2020</v>
          </cell>
          <cell r="L429" t="str">
            <v>7/20/2020</v>
          </cell>
        </row>
        <row r="430">
          <cell r="A430">
            <v>50176</v>
          </cell>
          <cell r="B430" t="str">
            <v>9/14/1998</v>
          </cell>
          <cell r="C430" t="str">
            <v>NSW-QLD</v>
          </cell>
          <cell r="D430" t="str">
            <v>Virtus Health</v>
          </cell>
          <cell r="E430" t="str">
            <v>Registered Nurse</v>
          </cell>
          <cell r="F430" t="str">
            <v>9/14/2020</v>
          </cell>
          <cell r="H430" t="str">
            <v>IVFN2021</v>
          </cell>
          <cell r="I430" t="str">
            <v>NSW</v>
          </cell>
          <cell r="J430" t="str">
            <v>Casual</v>
          </cell>
          <cell r="K430" t="str">
            <v>9/14/2020</v>
          </cell>
          <cell r="L430" t="str">
            <v>9/14/2020</v>
          </cell>
        </row>
        <row r="431">
          <cell r="A431">
            <v>50180</v>
          </cell>
          <cell r="B431" t="str">
            <v>10/26/1998</v>
          </cell>
          <cell r="C431" t="str">
            <v>NSW-QLD</v>
          </cell>
          <cell r="D431" t="str">
            <v>Virtus Health</v>
          </cell>
          <cell r="E431" t="str">
            <v>Registered Nurse</v>
          </cell>
          <cell r="F431" t="str">
            <v>10/26/2020</v>
          </cell>
          <cell r="H431" t="str">
            <v>IVFN2021</v>
          </cell>
          <cell r="I431" t="str">
            <v>NSW</v>
          </cell>
          <cell r="J431" t="str">
            <v>Part Time</v>
          </cell>
          <cell r="K431" t="str">
            <v>10/26/2020</v>
          </cell>
          <cell r="L431" t="str">
            <v>10/26/2020</v>
          </cell>
        </row>
        <row r="432">
          <cell r="A432">
            <v>50184</v>
          </cell>
          <cell r="B432">
            <v>35837</v>
          </cell>
          <cell r="C432" t="str">
            <v>NSW-QLD</v>
          </cell>
          <cell r="D432" t="str">
            <v>Virtus Health</v>
          </cell>
          <cell r="E432" t="str">
            <v>CSSD Tech</v>
          </cell>
          <cell r="F432">
            <v>43872</v>
          </cell>
          <cell r="H432" t="str">
            <v>IVFS2023</v>
          </cell>
          <cell r="I432" t="str">
            <v>NSW</v>
          </cell>
          <cell r="J432" t="str">
            <v>Full Time</v>
          </cell>
          <cell r="K432">
            <v>43872</v>
          </cell>
          <cell r="L432">
            <v>43872</v>
          </cell>
        </row>
        <row r="433">
          <cell r="A433">
            <v>50191</v>
          </cell>
          <cell r="B433" t="str">
            <v>1/29/1999</v>
          </cell>
          <cell r="C433" t="str">
            <v>NSW-QLD</v>
          </cell>
          <cell r="D433" t="str">
            <v>Virtus Health</v>
          </cell>
          <cell r="E433" t="str">
            <v>Registered Nurse</v>
          </cell>
          <cell r="F433" t="str">
            <v>1/29/2021</v>
          </cell>
          <cell r="H433" t="str">
            <v>IVFN2021</v>
          </cell>
          <cell r="I433" t="str">
            <v>NSW</v>
          </cell>
          <cell r="J433" t="str">
            <v>Part Time</v>
          </cell>
          <cell r="K433" t="str">
            <v>1/29/2021</v>
          </cell>
          <cell r="L433" t="str">
            <v>1/29/2021</v>
          </cell>
        </row>
        <row r="434">
          <cell r="A434">
            <v>50195</v>
          </cell>
          <cell r="B434" t="str">
            <v>2/22/1999</v>
          </cell>
          <cell r="C434" t="str">
            <v>NSW-QLD</v>
          </cell>
          <cell r="D434" t="str">
            <v>Virtus Health</v>
          </cell>
          <cell r="E434" t="str">
            <v>Registered Nurse</v>
          </cell>
          <cell r="F434" t="str">
            <v>2/22/2021</v>
          </cell>
          <cell r="H434" t="str">
            <v>IVFN2021</v>
          </cell>
          <cell r="I434" t="str">
            <v>NSW</v>
          </cell>
          <cell r="J434" t="str">
            <v>Part Time</v>
          </cell>
          <cell r="K434" t="str">
            <v>2/22/2021</v>
          </cell>
          <cell r="L434" t="str">
            <v>2/22/2021</v>
          </cell>
        </row>
        <row r="435">
          <cell r="A435">
            <v>50198</v>
          </cell>
          <cell r="B435" t="str">
            <v>3/25/1999</v>
          </cell>
          <cell r="C435" t="str">
            <v>NSW-QLD</v>
          </cell>
          <cell r="D435" t="str">
            <v>Virtus Health</v>
          </cell>
          <cell r="E435" t="str">
            <v>Registered Nurse</v>
          </cell>
          <cell r="F435" t="str">
            <v>3/25/2021</v>
          </cell>
          <cell r="H435" t="str">
            <v>IVFN2021</v>
          </cell>
          <cell r="I435" t="str">
            <v>NSW</v>
          </cell>
          <cell r="J435" t="str">
            <v>Casual</v>
          </cell>
          <cell r="K435" t="str">
            <v>3/25/2021</v>
          </cell>
          <cell r="L435" t="str">
            <v>3/25/2021</v>
          </cell>
        </row>
        <row r="436">
          <cell r="A436">
            <v>50199</v>
          </cell>
          <cell r="B436" t="str">
            <v>3/29/1999</v>
          </cell>
          <cell r="C436" t="str">
            <v>NSW-QLD</v>
          </cell>
          <cell r="D436" t="str">
            <v>Virtus Health</v>
          </cell>
          <cell r="E436" t="str">
            <v>Administration Clerk</v>
          </cell>
          <cell r="F436" t="str">
            <v>3/29/2021</v>
          </cell>
          <cell r="H436" t="str">
            <v>IVFS2023</v>
          </cell>
          <cell r="I436" t="str">
            <v>NSW</v>
          </cell>
          <cell r="J436" t="str">
            <v>Part Time</v>
          </cell>
          <cell r="K436" t="str">
            <v>3/29/2021</v>
          </cell>
          <cell r="L436" t="str">
            <v>3/29/2021</v>
          </cell>
        </row>
        <row r="437">
          <cell r="A437">
            <v>50200</v>
          </cell>
          <cell r="B437">
            <v>36224</v>
          </cell>
          <cell r="C437" t="str">
            <v>NSW-QLD</v>
          </cell>
          <cell r="D437" t="str">
            <v>Virtus Health</v>
          </cell>
          <cell r="E437" t="str">
            <v>Administration Clerk</v>
          </cell>
          <cell r="F437">
            <v>44260</v>
          </cell>
          <cell r="H437" t="str">
            <v>IVFS2023</v>
          </cell>
          <cell r="I437" t="str">
            <v>NSW</v>
          </cell>
          <cell r="J437" t="str">
            <v>Part Time</v>
          </cell>
          <cell r="K437">
            <v>44260</v>
          </cell>
          <cell r="L437">
            <v>44260</v>
          </cell>
        </row>
        <row r="438">
          <cell r="A438">
            <v>50202</v>
          </cell>
          <cell r="B438">
            <v>36347</v>
          </cell>
          <cell r="C438" t="str">
            <v>NSW-QLD</v>
          </cell>
          <cell r="D438" t="str">
            <v>Virtus Health</v>
          </cell>
          <cell r="E438" t="str">
            <v>Clinical Nurse Specialist</v>
          </cell>
          <cell r="F438">
            <v>44383</v>
          </cell>
          <cell r="H438" t="str">
            <v>IVFN2021</v>
          </cell>
          <cell r="I438" t="str">
            <v>NSW</v>
          </cell>
          <cell r="J438" t="str">
            <v>Part Time</v>
          </cell>
          <cell r="K438">
            <v>44383</v>
          </cell>
          <cell r="L438">
            <v>44383</v>
          </cell>
        </row>
        <row r="439">
          <cell r="A439">
            <v>50208</v>
          </cell>
          <cell r="B439" t="str">
            <v>2/21/2000</v>
          </cell>
          <cell r="C439" t="str">
            <v>NSW-QLD</v>
          </cell>
          <cell r="D439" t="str">
            <v>Virtus Health</v>
          </cell>
          <cell r="E439" t="str">
            <v>Registered Nurse</v>
          </cell>
          <cell r="F439" t="str">
            <v>2/21/2022</v>
          </cell>
          <cell r="H439" t="str">
            <v>IVFN2021</v>
          </cell>
          <cell r="I439" t="str">
            <v>NSW</v>
          </cell>
          <cell r="J439" t="str">
            <v>Casual</v>
          </cell>
          <cell r="K439" t="str">
            <v>2/21/2022</v>
          </cell>
          <cell r="L439" t="str">
            <v>2/21/2022</v>
          </cell>
        </row>
        <row r="440">
          <cell r="A440">
            <v>50209</v>
          </cell>
          <cell r="B440" t="str">
            <v>2/28/2000</v>
          </cell>
          <cell r="C440" t="str">
            <v>NSW-QLD</v>
          </cell>
          <cell r="D440" t="str">
            <v>Virtus Health</v>
          </cell>
          <cell r="E440" t="str">
            <v>Administration Clerk</v>
          </cell>
          <cell r="F440" t="str">
            <v>2/28/2022</v>
          </cell>
          <cell r="H440" t="str">
            <v>IVFS2023</v>
          </cell>
          <cell r="I440" t="str">
            <v>NSW</v>
          </cell>
          <cell r="J440" t="str">
            <v>Casual</v>
          </cell>
          <cell r="K440" t="str">
            <v>2/28/2022</v>
          </cell>
          <cell r="L440" t="str">
            <v>2/28/2022</v>
          </cell>
        </row>
        <row r="441">
          <cell r="A441">
            <v>50212</v>
          </cell>
          <cell r="B441" t="str">
            <v>3/20/2000</v>
          </cell>
          <cell r="C441" t="str">
            <v>NSW-QLD</v>
          </cell>
          <cell r="D441" t="str">
            <v>Virtus Health</v>
          </cell>
          <cell r="E441" t="str">
            <v>CSSD Tech</v>
          </cell>
          <cell r="F441" t="str">
            <v>3/21/2022</v>
          </cell>
          <cell r="H441" t="str">
            <v>IVFS2023</v>
          </cell>
          <cell r="I441" t="str">
            <v>NSW</v>
          </cell>
          <cell r="J441" t="str">
            <v>Casual</v>
          </cell>
          <cell r="K441" t="str">
            <v>3/21/2022</v>
          </cell>
          <cell r="L441" t="str">
            <v>3/21/2022</v>
          </cell>
        </row>
        <row r="442">
          <cell r="A442">
            <v>50214</v>
          </cell>
          <cell r="B442" t="str">
            <v>4/24/2000</v>
          </cell>
          <cell r="C442" t="str">
            <v>NSW-QLD</v>
          </cell>
          <cell r="D442" t="str">
            <v>Virtus Health</v>
          </cell>
          <cell r="E442" t="str">
            <v>Stores Coordinator/Theatre Orderly</v>
          </cell>
          <cell r="F442" t="str">
            <v>4/25/2022</v>
          </cell>
          <cell r="H442" t="str">
            <v>IVFS2023</v>
          </cell>
          <cell r="I442" t="str">
            <v>NSW</v>
          </cell>
          <cell r="J442" t="str">
            <v>Full Time</v>
          </cell>
          <cell r="K442" t="str">
            <v>4/25/2022</v>
          </cell>
          <cell r="L442" t="str">
            <v>4/25/2022</v>
          </cell>
        </row>
        <row r="443">
          <cell r="A443">
            <v>50216</v>
          </cell>
          <cell r="B443">
            <v>36530</v>
          </cell>
          <cell r="C443" t="str">
            <v>NSW-QLD</v>
          </cell>
          <cell r="D443" t="str">
            <v>Virtus Health</v>
          </cell>
          <cell r="E443" t="str">
            <v>Enrolled Nurse</v>
          </cell>
          <cell r="F443">
            <v>44597</v>
          </cell>
          <cell r="H443" t="str">
            <v>IVFN2021</v>
          </cell>
          <cell r="I443" t="str">
            <v>NSW</v>
          </cell>
          <cell r="J443" t="str">
            <v>Part Time</v>
          </cell>
          <cell r="K443">
            <v>44597</v>
          </cell>
          <cell r="L443">
            <v>44597</v>
          </cell>
        </row>
        <row r="444">
          <cell r="A444">
            <v>50217</v>
          </cell>
          <cell r="B444" t="str">
            <v>5/22/2000</v>
          </cell>
          <cell r="C444" t="str">
            <v>NSW-QLD</v>
          </cell>
          <cell r="D444" t="str">
            <v>Virtus Health</v>
          </cell>
          <cell r="E444" t="str">
            <v>Registered Nurse</v>
          </cell>
          <cell r="F444" t="str">
            <v>5/23/2022</v>
          </cell>
          <cell r="H444" t="str">
            <v>IVFN2021</v>
          </cell>
          <cell r="I444" t="str">
            <v>NSW</v>
          </cell>
          <cell r="J444" t="str">
            <v>Casual</v>
          </cell>
          <cell r="K444" t="str">
            <v>5/23/2022</v>
          </cell>
          <cell r="L444" t="str">
            <v>5/23/2022</v>
          </cell>
        </row>
        <row r="445">
          <cell r="A445">
            <v>60013</v>
          </cell>
          <cell r="B445" t="str">
            <v>10/19/1987</v>
          </cell>
          <cell r="C445" t="str">
            <v>NSW-QLD</v>
          </cell>
          <cell r="D445" t="str">
            <v>Virtus Health</v>
          </cell>
          <cell r="E445" t="str">
            <v>Registered Nurse</v>
          </cell>
          <cell r="F445" t="str">
            <v>10/19/2009</v>
          </cell>
          <cell r="H445" t="str">
            <v>QN2025</v>
          </cell>
          <cell r="I445" t="str">
            <v>QLD</v>
          </cell>
          <cell r="J445" t="str">
            <v>Part Time</v>
          </cell>
          <cell r="K445" t="str">
            <v>10/19/2009</v>
          </cell>
          <cell r="L445" t="str">
            <v>10/19/2009</v>
          </cell>
        </row>
        <row r="446">
          <cell r="A446">
            <v>60018</v>
          </cell>
          <cell r="B446">
            <v>29198</v>
          </cell>
          <cell r="C446" t="str">
            <v>NSW-QLD</v>
          </cell>
          <cell r="D446" t="str">
            <v>Virtus Health</v>
          </cell>
          <cell r="E446" t="str">
            <v>Registered Nurse</v>
          </cell>
          <cell r="F446">
            <v>37234</v>
          </cell>
          <cell r="H446" t="str">
            <v>QN2025</v>
          </cell>
          <cell r="I446" t="str">
            <v>QLD</v>
          </cell>
          <cell r="J446" t="str">
            <v>Part Time</v>
          </cell>
          <cell r="K446">
            <v>37234</v>
          </cell>
          <cell r="L446">
            <v>37234</v>
          </cell>
        </row>
        <row r="447">
          <cell r="A447">
            <v>60020</v>
          </cell>
          <cell r="B447" t="str">
            <v>6/18/1986</v>
          </cell>
          <cell r="C447" t="str">
            <v>NSW-QLD</v>
          </cell>
          <cell r="D447" t="str">
            <v>Virtus Health</v>
          </cell>
          <cell r="E447" t="str">
            <v>Assistant in Nursing</v>
          </cell>
          <cell r="F447" t="str">
            <v>6/18/2008</v>
          </cell>
          <cell r="H447" t="str">
            <v>QN2025</v>
          </cell>
          <cell r="I447" t="str">
            <v>QLD</v>
          </cell>
          <cell r="J447" t="str">
            <v>Casual</v>
          </cell>
          <cell r="K447" t="str">
            <v>6/18/2008</v>
          </cell>
          <cell r="L447" t="str">
            <v>6/18/2008</v>
          </cell>
        </row>
        <row r="448">
          <cell r="A448">
            <v>60022</v>
          </cell>
          <cell r="B448" t="str">
            <v>2/16/1982</v>
          </cell>
          <cell r="C448" t="str">
            <v>NSW-QLD</v>
          </cell>
          <cell r="D448" t="str">
            <v>Virtus Health</v>
          </cell>
          <cell r="E448" t="str">
            <v>Administration Team Leader</v>
          </cell>
          <cell r="F448" t="str">
            <v>2/17/2004</v>
          </cell>
          <cell r="H448" t="str">
            <v>IVFS2023</v>
          </cell>
          <cell r="I448" t="str">
            <v>QLD</v>
          </cell>
          <cell r="J448" t="str">
            <v>Full Time</v>
          </cell>
          <cell r="K448" t="str">
            <v>2/17/2004</v>
          </cell>
          <cell r="L448" t="str">
            <v>2/17/2004</v>
          </cell>
        </row>
        <row r="449">
          <cell r="A449">
            <v>60024</v>
          </cell>
          <cell r="B449">
            <v>32179</v>
          </cell>
          <cell r="C449" t="str">
            <v>NSW-QLD</v>
          </cell>
          <cell r="D449" t="str">
            <v>Virtus Health</v>
          </cell>
          <cell r="E449" t="str">
            <v>Registered Nurse</v>
          </cell>
          <cell r="F449">
            <v>40243</v>
          </cell>
          <cell r="G449">
            <v>45818</v>
          </cell>
          <cell r="H449" t="str">
            <v>QN2025</v>
          </cell>
          <cell r="I449" t="str">
            <v>QLD</v>
          </cell>
          <cell r="J449" t="str">
            <v>Part Time</v>
          </cell>
          <cell r="K449">
            <v>40243</v>
          </cell>
          <cell r="L449">
            <v>40243</v>
          </cell>
        </row>
        <row r="450">
          <cell r="A450">
            <v>60024</v>
          </cell>
          <cell r="B450">
            <v>32179</v>
          </cell>
          <cell r="C450" t="str">
            <v>NSW-QLD</v>
          </cell>
          <cell r="D450" t="str">
            <v>Virtus Health</v>
          </cell>
          <cell r="E450" t="str">
            <v>Registered Nurse</v>
          </cell>
          <cell r="F450">
            <v>45848</v>
          </cell>
          <cell r="H450" t="str">
            <v>QN2025</v>
          </cell>
          <cell r="I450" t="str">
            <v>QLD</v>
          </cell>
          <cell r="J450" t="str">
            <v>Part Time</v>
          </cell>
          <cell r="K450">
            <v>40243</v>
          </cell>
          <cell r="L450">
            <v>40243</v>
          </cell>
        </row>
        <row r="451">
          <cell r="A451">
            <v>60037</v>
          </cell>
          <cell r="B451" t="str">
            <v>11/20/1995</v>
          </cell>
          <cell r="C451" t="str">
            <v>NSW-QLD</v>
          </cell>
          <cell r="D451" t="str">
            <v>Virtus Health</v>
          </cell>
          <cell r="E451" t="str">
            <v>Clinical Nurse</v>
          </cell>
          <cell r="F451" t="str">
            <v>11/20/2017</v>
          </cell>
          <cell r="H451" t="str">
            <v>QN2025</v>
          </cell>
          <cell r="I451" t="str">
            <v>QLD</v>
          </cell>
          <cell r="J451" t="str">
            <v>Part Time</v>
          </cell>
          <cell r="K451" t="str">
            <v>11/20/2017</v>
          </cell>
          <cell r="L451" t="str">
            <v>11/20/2017</v>
          </cell>
        </row>
        <row r="452">
          <cell r="A452">
            <v>60038</v>
          </cell>
          <cell r="B452">
            <v>35582</v>
          </cell>
          <cell r="C452" t="str">
            <v>NSW-QLD</v>
          </cell>
          <cell r="D452" t="str">
            <v>Virtus Health</v>
          </cell>
          <cell r="E452" t="str">
            <v>Director of Nursing</v>
          </cell>
          <cell r="F452">
            <v>43647</v>
          </cell>
          <cell r="H452" t="str">
            <v>QN2025</v>
          </cell>
          <cell r="I452" t="str">
            <v>QLD</v>
          </cell>
          <cell r="J452" t="str">
            <v>Part Time</v>
          </cell>
          <cell r="K452">
            <v>43647</v>
          </cell>
          <cell r="L452">
            <v>43647</v>
          </cell>
        </row>
        <row r="453">
          <cell r="A453">
            <v>60041</v>
          </cell>
          <cell r="B453" t="str">
            <v>7/14/1997</v>
          </cell>
          <cell r="C453" t="str">
            <v>NSW-QLD</v>
          </cell>
          <cell r="D453" t="str">
            <v>Virtus Health</v>
          </cell>
          <cell r="E453" t="str">
            <v>Registered Nurse</v>
          </cell>
          <cell r="F453" t="str">
            <v>7/15/2019</v>
          </cell>
          <cell r="H453" t="str">
            <v>QN2025</v>
          </cell>
          <cell r="I453" t="str">
            <v>QLD</v>
          </cell>
          <cell r="J453" t="str">
            <v>Casual</v>
          </cell>
          <cell r="K453" t="str">
            <v>7/15/2019</v>
          </cell>
          <cell r="L453" t="str">
            <v>7/15/2019</v>
          </cell>
        </row>
        <row r="454">
          <cell r="A454">
            <v>60043</v>
          </cell>
          <cell r="B454" t="str">
            <v>8/17/1998</v>
          </cell>
          <cell r="C454" t="str">
            <v>NSW-QLD</v>
          </cell>
          <cell r="D454" t="str">
            <v>Virtus Health</v>
          </cell>
          <cell r="E454" t="str">
            <v>Registered Nurse</v>
          </cell>
          <cell r="F454" t="str">
            <v>8/17/2020</v>
          </cell>
          <cell r="H454" t="str">
            <v>QN2025</v>
          </cell>
          <cell r="I454" t="str">
            <v>QLD</v>
          </cell>
          <cell r="J454" t="str">
            <v>Casual</v>
          </cell>
          <cell r="K454" t="str">
            <v>8/17/2020</v>
          </cell>
          <cell r="L454" t="str">
            <v>8/17/2020</v>
          </cell>
        </row>
        <row r="455">
          <cell r="A455">
            <v>60045</v>
          </cell>
          <cell r="B455" t="str">
            <v>4/29/1999</v>
          </cell>
          <cell r="C455" t="str">
            <v>NSW-QLD</v>
          </cell>
          <cell r="D455" t="str">
            <v>Virtus Health</v>
          </cell>
          <cell r="E455" t="str">
            <v>Registered Nurse</v>
          </cell>
          <cell r="F455" t="str">
            <v>4/29/2021</v>
          </cell>
          <cell r="H455" t="str">
            <v>QN2025</v>
          </cell>
          <cell r="I455" t="str">
            <v>QLD</v>
          </cell>
          <cell r="J455" t="str">
            <v>Casual</v>
          </cell>
          <cell r="K455" t="str">
            <v>4/29/2021</v>
          </cell>
          <cell r="L455" t="str">
            <v>4/29/2021</v>
          </cell>
        </row>
        <row r="456">
          <cell r="A456">
            <v>60046</v>
          </cell>
          <cell r="B456" t="str">
            <v>5/27/1999</v>
          </cell>
          <cell r="C456" t="str">
            <v>NSW-QLD</v>
          </cell>
          <cell r="D456" t="str">
            <v>Virtus Health</v>
          </cell>
          <cell r="E456" t="str">
            <v>Registered Nurse</v>
          </cell>
          <cell r="F456" t="str">
            <v>5/27/2021</v>
          </cell>
          <cell r="H456" t="str">
            <v>QN2025</v>
          </cell>
          <cell r="I456" t="str">
            <v>QLD</v>
          </cell>
          <cell r="J456" t="str">
            <v>Casual</v>
          </cell>
          <cell r="K456" t="str">
            <v>5/27/2021</v>
          </cell>
          <cell r="L456" t="str">
            <v>5/27/2021</v>
          </cell>
        </row>
        <row r="457">
          <cell r="A457">
            <v>60048</v>
          </cell>
          <cell r="B457" t="str">
            <v>2/21/2000</v>
          </cell>
          <cell r="C457" t="str">
            <v>NSW-QLD</v>
          </cell>
          <cell r="D457" t="str">
            <v>Virtus Health</v>
          </cell>
          <cell r="E457" t="str">
            <v>CSSD Tech</v>
          </cell>
          <cell r="F457" t="str">
            <v>2/21/2022</v>
          </cell>
          <cell r="H457" t="str">
            <v>IVFS2023</v>
          </cell>
          <cell r="I457" t="str">
            <v>QLD</v>
          </cell>
          <cell r="J457" t="str">
            <v>Part Time</v>
          </cell>
          <cell r="K457" t="str">
            <v>2/21/2022</v>
          </cell>
          <cell r="L457" t="str">
            <v>2/21/2022</v>
          </cell>
        </row>
        <row r="458">
          <cell r="A458">
            <v>60050</v>
          </cell>
          <cell r="B458" t="str">
            <v>4/18/2000</v>
          </cell>
          <cell r="C458" t="str">
            <v>NSW-QLD</v>
          </cell>
          <cell r="D458" t="str">
            <v>Virtus Health</v>
          </cell>
          <cell r="E458" t="str">
            <v>Registered Nurse</v>
          </cell>
          <cell r="F458" t="str">
            <v>4/19/2022</v>
          </cell>
          <cell r="H458" t="str">
            <v>QN2025</v>
          </cell>
          <cell r="I458" t="str">
            <v>QLD</v>
          </cell>
          <cell r="J458" t="str">
            <v>Casual</v>
          </cell>
          <cell r="K458" t="str">
            <v>4/19/2022</v>
          </cell>
          <cell r="L458" t="str">
            <v>4/19/2022</v>
          </cell>
        </row>
        <row r="459">
          <cell r="A459">
            <v>60104</v>
          </cell>
          <cell r="B459" t="str">
            <v>5/21/1990</v>
          </cell>
          <cell r="C459" t="str">
            <v>NSW-QLD</v>
          </cell>
          <cell r="D459" t="str">
            <v>Virtus Health</v>
          </cell>
          <cell r="E459" t="str">
            <v>CSSD Tech</v>
          </cell>
          <cell r="F459" t="str">
            <v>5/21/2012</v>
          </cell>
          <cell r="G459" t="str">
            <v>12/22/2024</v>
          </cell>
          <cell r="H459" t="str">
            <v>IVFS2023</v>
          </cell>
          <cell r="I459" t="str">
            <v>QLD</v>
          </cell>
          <cell r="J459" t="str">
            <v>Part Time</v>
          </cell>
          <cell r="K459" t="str">
            <v>5/21/2012</v>
          </cell>
          <cell r="L459" t="str">
            <v>5/21/2012</v>
          </cell>
        </row>
        <row r="460">
          <cell r="A460">
            <v>60104</v>
          </cell>
          <cell r="B460" t="str">
            <v>5/21/1990</v>
          </cell>
          <cell r="C460" t="str">
            <v>NSW-QLD</v>
          </cell>
          <cell r="D460" t="str">
            <v>Virtus Health</v>
          </cell>
          <cell r="E460" t="str">
            <v>CSSD Tech</v>
          </cell>
          <cell r="F460" t="str">
            <v>12/23/2024</v>
          </cell>
          <cell r="H460" t="str">
            <v>IVFS2023</v>
          </cell>
          <cell r="I460" t="str">
            <v>QLD</v>
          </cell>
          <cell r="J460" t="str">
            <v>Part Time</v>
          </cell>
          <cell r="K460" t="str">
            <v>5/21/2012</v>
          </cell>
          <cell r="L460" t="str">
            <v>5/21/2012</v>
          </cell>
        </row>
        <row r="461">
          <cell r="A461">
            <v>60112</v>
          </cell>
          <cell r="B461">
            <v>30477</v>
          </cell>
          <cell r="C461" t="str">
            <v>NSW-QLD</v>
          </cell>
          <cell r="D461" t="str">
            <v>Virtus Health</v>
          </cell>
          <cell r="E461" t="str">
            <v>Registered Nurse</v>
          </cell>
          <cell r="F461">
            <v>38513</v>
          </cell>
          <cell r="H461" t="str">
            <v>QN2025</v>
          </cell>
          <cell r="I461" t="str">
            <v>QLD</v>
          </cell>
          <cell r="J461" t="str">
            <v>Casual</v>
          </cell>
          <cell r="K461">
            <v>38513</v>
          </cell>
          <cell r="L461">
            <v>38513</v>
          </cell>
        </row>
        <row r="462">
          <cell r="A462">
            <v>60118</v>
          </cell>
          <cell r="B462">
            <v>28986</v>
          </cell>
          <cell r="C462" t="str">
            <v>NSW-QLD</v>
          </cell>
          <cell r="D462" t="str">
            <v>Virtus Health</v>
          </cell>
          <cell r="E462" t="str">
            <v>Registered Nurse</v>
          </cell>
          <cell r="F462">
            <v>37022</v>
          </cell>
          <cell r="H462" t="str">
            <v>QN2025</v>
          </cell>
          <cell r="I462" t="str">
            <v>QLD</v>
          </cell>
          <cell r="J462" t="str">
            <v>Part Time</v>
          </cell>
          <cell r="K462">
            <v>37022</v>
          </cell>
          <cell r="L462">
            <v>37022</v>
          </cell>
        </row>
        <row r="463">
          <cell r="A463">
            <v>60125</v>
          </cell>
          <cell r="B463">
            <v>26331</v>
          </cell>
          <cell r="C463" t="str">
            <v>NSW-QLD</v>
          </cell>
          <cell r="D463" t="str">
            <v>Virtus Health</v>
          </cell>
          <cell r="E463" t="str">
            <v>Registered Nurse</v>
          </cell>
          <cell r="F463">
            <v>34367</v>
          </cell>
          <cell r="H463" t="str">
            <v>QN2025</v>
          </cell>
          <cell r="I463" t="str">
            <v>QLD</v>
          </cell>
          <cell r="J463" t="str">
            <v>Full Time</v>
          </cell>
          <cell r="K463">
            <v>34367</v>
          </cell>
          <cell r="L463">
            <v>34367</v>
          </cell>
        </row>
        <row r="464">
          <cell r="A464">
            <v>60129</v>
          </cell>
          <cell r="B464">
            <v>31564</v>
          </cell>
          <cell r="C464" t="str">
            <v>NSW-QLD</v>
          </cell>
          <cell r="D464" t="str">
            <v>Virtus Health</v>
          </cell>
          <cell r="E464" t="str">
            <v>Registered Nurse</v>
          </cell>
          <cell r="F464">
            <v>39630</v>
          </cell>
          <cell r="H464" t="str">
            <v>QN2025</v>
          </cell>
          <cell r="I464" t="str">
            <v>QLD</v>
          </cell>
          <cell r="J464" t="str">
            <v>Part Time</v>
          </cell>
          <cell r="K464">
            <v>39630</v>
          </cell>
          <cell r="L464">
            <v>39630</v>
          </cell>
        </row>
        <row r="465">
          <cell r="A465">
            <v>60150</v>
          </cell>
          <cell r="B465" t="str">
            <v>11/29/1993</v>
          </cell>
          <cell r="C465" t="str">
            <v>NSW-QLD</v>
          </cell>
          <cell r="D465" t="str">
            <v>Virtus Health</v>
          </cell>
          <cell r="E465" t="str">
            <v>Registered Nurse</v>
          </cell>
          <cell r="F465" t="str">
            <v>11/30/2015</v>
          </cell>
          <cell r="H465" t="str">
            <v>QN2025</v>
          </cell>
          <cell r="I465" t="str">
            <v>QLD</v>
          </cell>
          <cell r="J465" t="str">
            <v>Part Time</v>
          </cell>
          <cell r="K465" t="str">
            <v>11/30/2015</v>
          </cell>
          <cell r="L465" t="str">
            <v>11/30/2015</v>
          </cell>
        </row>
        <row r="466">
          <cell r="A466">
            <v>60162</v>
          </cell>
          <cell r="B466" t="str">
            <v>7/13/1998</v>
          </cell>
          <cell r="C466" t="str">
            <v>NSW-QLD</v>
          </cell>
          <cell r="D466" t="str">
            <v>Virtus Health</v>
          </cell>
          <cell r="E466" t="str">
            <v>Registered Nurse</v>
          </cell>
          <cell r="F466" t="str">
            <v>7/13/2020</v>
          </cell>
          <cell r="H466" t="str">
            <v>QN2025</v>
          </cell>
          <cell r="I466" t="str">
            <v>QLD</v>
          </cell>
          <cell r="J466" t="str">
            <v>Casual</v>
          </cell>
          <cell r="K466" t="str">
            <v>7/13/2020</v>
          </cell>
          <cell r="L466" t="str">
            <v>7/13/2020</v>
          </cell>
        </row>
        <row r="467">
          <cell r="A467">
            <v>60163</v>
          </cell>
          <cell r="B467" t="str">
            <v>9/14/1998</v>
          </cell>
          <cell r="C467" t="str">
            <v>NSW-QLD</v>
          </cell>
          <cell r="D467" t="str">
            <v>Virtus Health</v>
          </cell>
          <cell r="E467" t="str">
            <v>Registered Nurse</v>
          </cell>
          <cell r="F467" t="str">
            <v>9/14/2020</v>
          </cell>
          <cell r="H467" t="str">
            <v>QN2025</v>
          </cell>
          <cell r="I467" t="str">
            <v>QLD</v>
          </cell>
          <cell r="J467" t="str">
            <v>Part Time</v>
          </cell>
          <cell r="K467" t="str">
            <v>9/14/2020</v>
          </cell>
          <cell r="L467" t="str">
            <v>9/14/2020</v>
          </cell>
        </row>
        <row r="468">
          <cell r="A468">
            <v>60177</v>
          </cell>
          <cell r="B468" t="str">
            <v>7/19/1999</v>
          </cell>
          <cell r="C468" t="str">
            <v>NSW-QLD</v>
          </cell>
          <cell r="D468" t="str">
            <v>Virtus Health</v>
          </cell>
          <cell r="E468" t="str">
            <v>Director of Nursing</v>
          </cell>
          <cell r="F468" t="str">
            <v>7/19/2021</v>
          </cell>
          <cell r="H468" t="str">
            <v>QN2025</v>
          </cell>
          <cell r="I468" t="str">
            <v>QLD</v>
          </cell>
          <cell r="J468" t="str">
            <v>Full Time</v>
          </cell>
          <cell r="K468" t="str">
            <v>7/19/2021</v>
          </cell>
          <cell r="L468" t="str">
            <v>7/19/2021</v>
          </cell>
        </row>
        <row r="469">
          <cell r="A469">
            <v>60180</v>
          </cell>
          <cell r="B469" t="str">
            <v>7/14/1986</v>
          </cell>
          <cell r="C469" t="str">
            <v>NSW-QLD</v>
          </cell>
          <cell r="D469" t="str">
            <v>Virtus Health</v>
          </cell>
          <cell r="E469" t="str">
            <v>Administration Clerk</v>
          </cell>
          <cell r="F469" t="str">
            <v>7/14/2008</v>
          </cell>
          <cell r="H469" t="str">
            <v>IVFS2023</v>
          </cell>
          <cell r="I469" t="str">
            <v>QLD</v>
          </cell>
          <cell r="J469" t="str">
            <v>Full Time</v>
          </cell>
          <cell r="K469" t="str">
            <v>7/14/2008</v>
          </cell>
          <cell r="L469" t="str">
            <v>7/14/2008</v>
          </cell>
        </row>
        <row r="470">
          <cell r="A470">
            <v>60182</v>
          </cell>
          <cell r="B470">
            <v>33756</v>
          </cell>
          <cell r="C470" t="str">
            <v>NSW-QLD</v>
          </cell>
          <cell r="D470" t="str">
            <v>Virtus Health</v>
          </cell>
          <cell r="E470" t="str">
            <v>CSSD Tech</v>
          </cell>
          <cell r="F470">
            <v>41791</v>
          </cell>
          <cell r="G470">
            <v>45303</v>
          </cell>
          <cell r="H470" t="str">
            <v>IVFS2023</v>
          </cell>
          <cell r="I470" t="str">
            <v>QLD</v>
          </cell>
          <cell r="J470" t="str">
            <v>Part Time</v>
          </cell>
          <cell r="K470">
            <v>41791</v>
          </cell>
          <cell r="L470">
            <v>41791</v>
          </cell>
        </row>
        <row r="471">
          <cell r="A471">
            <v>60182</v>
          </cell>
          <cell r="B471">
            <v>33756</v>
          </cell>
          <cell r="C471" t="str">
            <v>NSW-QLD</v>
          </cell>
          <cell r="D471" t="str">
            <v>Virtus Health</v>
          </cell>
          <cell r="E471" t="str">
            <v>CSSD Tech</v>
          </cell>
          <cell r="F471">
            <v>45334</v>
          </cell>
          <cell r="H471" t="str">
            <v>IVFS2023</v>
          </cell>
          <cell r="I471" t="str">
            <v>QLD</v>
          </cell>
          <cell r="J471" t="str">
            <v>Part Time</v>
          </cell>
          <cell r="K471">
            <v>41791</v>
          </cell>
          <cell r="L471">
            <v>41791</v>
          </cell>
        </row>
        <row r="472">
          <cell r="A472">
            <v>60185</v>
          </cell>
          <cell r="B472" t="str">
            <v>2/25/2000</v>
          </cell>
          <cell r="C472" t="str">
            <v>NSW-QLD</v>
          </cell>
          <cell r="D472" t="str">
            <v>Virtus Health</v>
          </cell>
          <cell r="E472" t="str">
            <v>CSSD Team Leader</v>
          </cell>
          <cell r="F472" t="str">
            <v>2/25/2022</v>
          </cell>
          <cell r="H472" t="str">
            <v>IVFS2023</v>
          </cell>
          <cell r="I472" t="str">
            <v>QLD</v>
          </cell>
          <cell r="J472" t="str">
            <v>Full Time</v>
          </cell>
          <cell r="K472" t="str">
            <v>2/25/2022</v>
          </cell>
          <cell r="L472" t="str">
            <v>2/25/2022</v>
          </cell>
        </row>
        <row r="473">
          <cell r="A473">
            <v>61005</v>
          </cell>
          <cell r="B473">
            <v>34342</v>
          </cell>
          <cell r="C473" t="str">
            <v>NSW-QLD</v>
          </cell>
          <cell r="D473" t="str">
            <v>Virtus Health</v>
          </cell>
          <cell r="E473" t="str">
            <v>Senior Service Desk Operator</v>
          </cell>
          <cell r="F473">
            <v>42377</v>
          </cell>
          <cell r="H473" t="str">
            <v>QLD</v>
          </cell>
          <cell r="I473" t="str">
            <v>QLD</v>
          </cell>
          <cell r="J473" t="str">
            <v>Full Time</v>
          </cell>
          <cell r="K473">
            <v>42377</v>
          </cell>
          <cell r="L473">
            <v>42377</v>
          </cell>
        </row>
        <row r="474">
          <cell r="A474">
            <v>61012</v>
          </cell>
          <cell r="B474" t="str">
            <v>10/25/1999</v>
          </cell>
          <cell r="C474" t="str">
            <v>NSW-QLD</v>
          </cell>
          <cell r="D474" t="str">
            <v>Virtus Health</v>
          </cell>
          <cell r="E474" t="str">
            <v>Service Desk Operator</v>
          </cell>
          <cell r="F474" t="str">
            <v>10/25/2021</v>
          </cell>
          <cell r="H474" t="str">
            <v>QLD</v>
          </cell>
          <cell r="I474" t="str">
            <v>QLD</v>
          </cell>
          <cell r="J474" t="str">
            <v>Full Time</v>
          </cell>
          <cell r="K474" t="str">
            <v>10/25/2021</v>
          </cell>
          <cell r="L474" t="str">
            <v>10/25/2021</v>
          </cell>
        </row>
        <row r="475">
          <cell r="A475">
            <v>70004</v>
          </cell>
          <cell r="B475" t="str">
            <v>11/22/1982</v>
          </cell>
          <cell r="C475" t="str">
            <v>NSW-QLD</v>
          </cell>
          <cell r="D475" t="str">
            <v>Virtus Health</v>
          </cell>
          <cell r="E475" t="str">
            <v>Regional Clinical Nurse Specialist</v>
          </cell>
          <cell r="F475" t="str">
            <v>11/22/2004</v>
          </cell>
          <cell r="H475" t="str">
            <v>QN2025</v>
          </cell>
          <cell r="I475" t="str">
            <v>QLD</v>
          </cell>
          <cell r="J475" t="str">
            <v>Full Time</v>
          </cell>
          <cell r="K475" t="str">
            <v>11/22/2004</v>
          </cell>
          <cell r="L475" t="str">
            <v>11/22/2004</v>
          </cell>
        </row>
        <row r="476">
          <cell r="A476">
            <v>70009</v>
          </cell>
          <cell r="B476" t="str">
            <v>7/25/1988</v>
          </cell>
          <cell r="C476" t="str">
            <v>NSW-QLD</v>
          </cell>
          <cell r="D476" t="str">
            <v>Virtus Health</v>
          </cell>
          <cell r="E476" t="str">
            <v>Nurse Coordinator</v>
          </cell>
          <cell r="F476" t="str">
            <v>7/26/2010</v>
          </cell>
          <cell r="H476" t="str">
            <v>QN2025</v>
          </cell>
          <cell r="I476" t="str">
            <v>QLD</v>
          </cell>
          <cell r="J476" t="str">
            <v>Part Time</v>
          </cell>
          <cell r="K476" t="str">
            <v>7/26/2010</v>
          </cell>
          <cell r="L476" t="str">
            <v>7/26/2010</v>
          </cell>
        </row>
        <row r="477">
          <cell r="A477">
            <v>70011</v>
          </cell>
          <cell r="B477" t="str">
            <v>6/30/1986</v>
          </cell>
          <cell r="C477" t="str">
            <v>NSW-QLD</v>
          </cell>
          <cell r="D477" t="str">
            <v>Virtus Health</v>
          </cell>
          <cell r="E477" t="str">
            <v>Embryologist</v>
          </cell>
          <cell r="F477" t="str">
            <v>6/30/2008</v>
          </cell>
          <cell r="H477" t="str">
            <v>QS2024</v>
          </cell>
          <cell r="I477" t="str">
            <v>QLD</v>
          </cell>
          <cell r="J477" t="str">
            <v>Part Time</v>
          </cell>
          <cell r="K477" t="str">
            <v>6/30/2008</v>
          </cell>
          <cell r="L477" t="str">
            <v>6/30/2008</v>
          </cell>
        </row>
        <row r="478">
          <cell r="A478">
            <v>70013</v>
          </cell>
          <cell r="B478" t="str">
            <v>6/28/1993</v>
          </cell>
          <cell r="C478" t="str">
            <v>NSW-QLD</v>
          </cell>
          <cell r="D478" t="str">
            <v>Virtus Health</v>
          </cell>
          <cell r="E478" t="str">
            <v>Regional Clinical Nurse Specialist</v>
          </cell>
          <cell r="F478" t="str">
            <v>6/29/2015</v>
          </cell>
          <cell r="H478" t="str">
            <v>QN2025</v>
          </cell>
          <cell r="I478" t="str">
            <v>QLD</v>
          </cell>
          <cell r="J478" t="str">
            <v>Part Time</v>
          </cell>
          <cell r="K478" t="str">
            <v>6/29/2015</v>
          </cell>
          <cell r="L478" t="str">
            <v>6/29/2015</v>
          </cell>
        </row>
        <row r="479">
          <cell r="A479">
            <v>70027</v>
          </cell>
          <cell r="B479">
            <v>35622</v>
          </cell>
          <cell r="C479" t="str">
            <v>NSW-QLD</v>
          </cell>
          <cell r="D479" t="str">
            <v>Virtus Health</v>
          </cell>
          <cell r="E479" t="str">
            <v>Laboratory Supervisor</v>
          </cell>
          <cell r="F479">
            <v>43688</v>
          </cell>
          <cell r="H479" t="str">
            <v>QS2024</v>
          </cell>
          <cell r="I479" t="str">
            <v>QLD</v>
          </cell>
          <cell r="J479" t="str">
            <v>Full Time</v>
          </cell>
          <cell r="K479">
            <v>43688</v>
          </cell>
          <cell r="L479">
            <v>43688</v>
          </cell>
        </row>
        <row r="480">
          <cell r="A480">
            <v>70030</v>
          </cell>
          <cell r="B480" t="str">
            <v>4/21/1999</v>
          </cell>
          <cell r="C480" t="str">
            <v>NSW-QLD</v>
          </cell>
          <cell r="D480" t="str">
            <v>Virtus Health</v>
          </cell>
          <cell r="E480" t="str">
            <v>Registered Nurse</v>
          </cell>
          <cell r="F480" t="str">
            <v>4/21/2021</v>
          </cell>
          <cell r="H480" t="str">
            <v>QN2025</v>
          </cell>
          <cell r="I480" t="str">
            <v>QLD</v>
          </cell>
          <cell r="J480" t="str">
            <v>Part Time</v>
          </cell>
          <cell r="K480" t="str">
            <v>4/21/2021</v>
          </cell>
          <cell r="L480" t="str">
            <v>4/21/2021</v>
          </cell>
        </row>
        <row r="481">
          <cell r="A481">
            <v>80010</v>
          </cell>
          <cell r="B481" t="str">
            <v>5/19/1986</v>
          </cell>
          <cell r="C481" t="str">
            <v>NSW-QLD</v>
          </cell>
          <cell r="D481" t="str">
            <v>Virtus Health</v>
          </cell>
          <cell r="E481" t="str">
            <v>Pathology Scientist</v>
          </cell>
          <cell r="F481" t="str">
            <v>5/19/2008</v>
          </cell>
          <cell r="H481" t="str">
            <v>QS2024</v>
          </cell>
          <cell r="I481" t="str">
            <v>QLD</v>
          </cell>
          <cell r="J481" t="str">
            <v>Full Time</v>
          </cell>
          <cell r="K481" t="str">
            <v>5/19/2008</v>
          </cell>
          <cell r="L481" t="str">
            <v>5/19/2008</v>
          </cell>
        </row>
        <row r="482">
          <cell r="A482">
            <v>80024</v>
          </cell>
          <cell r="B482" t="str">
            <v>8/18/1986</v>
          </cell>
          <cell r="C482" t="str">
            <v>NSW-QLD</v>
          </cell>
          <cell r="D482" t="str">
            <v>Virtus Health</v>
          </cell>
          <cell r="E482" t="str">
            <v>Embryologist</v>
          </cell>
          <cell r="F482" t="str">
            <v>8/18/2008</v>
          </cell>
          <cell r="H482" t="str">
            <v>QS2024</v>
          </cell>
          <cell r="I482" t="str">
            <v>QLD</v>
          </cell>
          <cell r="J482" t="str">
            <v>Part Time</v>
          </cell>
          <cell r="K482" t="str">
            <v>8/18/2008</v>
          </cell>
          <cell r="L482" t="str">
            <v>8/18/2008</v>
          </cell>
        </row>
        <row r="483">
          <cell r="A483">
            <v>80026</v>
          </cell>
          <cell r="B483">
            <v>28862</v>
          </cell>
          <cell r="C483" t="str">
            <v>NSW-QLD</v>
          </cell>
          <cell r="D483" t="str">
            <v>Virtus Health</v>
          </cell>
          <cell r="E483" t="str">
            <v>Regional Clinic Manager/Clinical Nurse Specialist</v>
          </cell>
          <cell r="F483">
            <v>36898</v>
          </cell>
          <cell r="G483">
            <v>45236</v>
          </cell>
          <cell r="H483" t="str">
            <v>QLD</v>
          </cell>
          <cell r="I483" t="str">
            <v>QLD</v>
          </cell>
          <cell r="J483" t="str">
            <v>Part Time</v>
          </cell>
          <cell r="K483">
            <v>36898</v>
          </cell>
          <cell r="L483">
            <v>36898</v>
          </cell>
        </row>
        <row r="484">
          <cell r="A484">
            <v>80026</v>
          </cell>
          <cell r="B484">
            <v>28862</v>
          </cell>
          <cell r="C484" t="str">
            <v>NSW-QLD</v>
          </cell>
          <cell r="D484" t="str">
            <v>Virtus Health</v>
          </cell>
          <cell r="E484" t="str">
            <v>Regional Clinic Manager/Clinical Nurse Specialist</v>
          </cell>
          <cell r="F484">
            <v>45266</v>
          </cell>
          <cell r="H484" t="str">
            <v>QLD</v>
          </cell>
          <cell r="I484" t="str">
            <v>QLD</v>
          </cell>
          <cell r="J484" t="str">
            <v>Part Time</v>
          </cell>
          <cell r="K484">
            <v>36898</v>
          </cell>
          <cell r="L484">
            <v>36898</v>
          </cell>
        </row>
        <row r="485">
          <cell r="A485">
            <v>80031</v>
          </cell>
          <cell r="B485">
            <v>30498</v>
          </cell>
          <cell r="C485" t="str">
            <v>NSW-QLD</v>
          </cell>
          <cell r="D485" t="str">
            <v>Virtus Health</v>
          </cell>
          <cell r="E485" t="str">
            <v>Registered Nurse</v>
          </cell>
          <cell r="F485">
            <v>38534</v>
          </cell>
          <cell r="G485" t="str">
            <v>3/26/2023</v>
          </cell>
          <cell r="H485" t="str">
            <v>QN2025</v>
          </cell>
          <cell r="I485" t="str">
            <v>QLD</v>
          </cell>
          <cell r="J485" t="str">
            <v>Part Time</v>
          </cell>
          <cell r="K485">
            <v>38534</v>
          </cell>
          <cell r="L485">
            <v>38534</v>
          </cell>
        </row>
        <row r="486">
          <cell r="A486">
            <v>80031</v>
          </cell>
          <cell r="B486">
            <v>30498</v>
          </cell>
          <cell r="C486" t="str">
            <v>NSW-QLD</v>
          </cell>
          <cell r="D486" t="str">
            <v>Virtus Health</v>
          </cell>
          <cell r="E486" t="str">
            <v>Registered Nurse</v>
          </cell>
          <cell r="F486" t="str">
            <v>3/27/2023</v>
          </cell>
          <cell r="H486" t="str">
            <v>QN2025</v>
          </cell>
          <cell r="I486" t="str">
            <v>QLD</v>
          </cell>
          <cell r="J486" t="str">
            <v>Part Time</v>
          </cell>
          <cell r="K486">
            <v>38534</v>
          </cell>
          <cell r="L486">
            <v>38534</v>
          </cell>
        </row>
        <row r="487">
          <cell r="A487">
            <v>80033</v>
          </cell>
          <cell r="B487" t="str">
            <v>1/14/1980</v>
          </cell>
          <cell r="C487" t="str">
            <v>NSW-QLD</v>
          </cell>
          <cell r="D487" t="str">
            <v>Virtus Health</v>
          </cell>
          <cell r="E487" t="str">
            <v>Embryologist - Team Leader</v>
          </cell>
          <cell r="F487" t="str">
            <v>1/14/2002</v>
          </cell>
          <cell r="H487" t="str">
            <v>QS2024</v>
          </cell>
          <cell r="I487" t="str">
            <v>QLD</v>
          </cell>
          <cell r="J487" t="str">
            <v>Full Time</v>
          </cell>
          <cell r="K487" t="str">
            <v>1/14/2002</v>
          </cell>
          <cell r="L487" t="str">
            <v>1/14/2002</v>
          </cell>
        </row>
        <row r="488">
          <cell r="A488">
            <v>80042</v>
          </cell>
          <cell r="B488" t="str">
            <v>4/30/1980</v>
          </cell>
          <cell r="C488" t="str">
            <v>NSW-QLD</v>
          </cell>
          <cell r="D488" t="str">
            <v>Virtus Health</v>
          </cell>
          <cell r="E488" t="str">
            <v>Embryologist</v>
          </cell>
          <cell r="F488">
            <v>37261</v>
          </cell>
          <cell r="H488" t="str">
            <v>QS2024</v>
          </cell>
          <cell r="I488" t="str">
            <v>QLD</v>
          </cell>
          <cell r="J488" t="str">
            <v>Full Time</v>
          </cell>
          <cell r="K488">
            <v>37261</v>
          </cell>
          <cell r="L488">
            <v>37261</v>
          </cell>
        </row>
        <row r="489">
          <cell r="A489">
            <v>80046</v>
          </cell>
          <cell r="B489">
            <v>33274</v>
          </cell>
          <cell r="C489" t="str">
            <v>NSW-QLD</v>
          </cell>
          <cell r="D489" t="str">
            <v>Virtus Health</v>
          </cell>
          <cell r="E489" t="str">
            <v>Embryologist</v>
          </cell>
          <cell r="F489">
            <v>41310</v>
          </cell>
          <cell r="H489" t="str">
            <v>QS2024</v>
          </cell>
          <cell r="I489" t="str">
            <v>QLD</v>
          </cell>
          <cell r="J489" t="str">
            <v>Part Time</v>
          </cell>
          <cell r="K489">
            <v>41310</v>
          </cell>
          <cell r="L489">
            <v>41310</v>
          </cell>
        </row>
        <row r="490">
          <cell r="A490">
            <v>80047</v>
          </cell>
          <cell r="B490" t="str">
            <v>1/26/1982</v>
          </cell>
          <cell r="C490" t="str">
            <v>NSW-QLD</v>
          </cell>
          <cell r="D490" t="str">
            <v>Virtus Health</v>
          </cell>
          <cell r="E490" t="str">
            <v>Embryologist</v>
          </cell>
          <cell r="F490" t="str">
            <v>1/27/2004</v>
          </cell>
          <cell r="H490" t="str">
            <v>QS2024</v>
          </cell>
          <cell r="I490" t="str">
            <v>QLD</v>
          </cell>
          <cell r="J490" t="str">
            <v>Part Time</v>
          </cell>
          <cell r="K490" t="str">
            <v>1/27/2004</v>
          </cell>
          <cell r="L490" t="str">
            <v>1/27/2004</v>
          </cell>
        </row>
        <row r="491">
          <cell r="A491">
            <v>80053</v>
          </cell>
          <cell r="B491" t="str">
            <v>7/14/1983</v>
          </cell>
          <cell r="C491" t="str">
            <v>NSW-QLD</v>
          </cell>
          <cell r="D491" t="str">
            <v>Virtus Health</v>
          </cell>
          <cell r="E491" t="str">
            <v>Embryologist</v>
          </cell>
          <cell r="F491" t="str">
            <v>7/14/2005</v>
          </cell>
          <cell r="H491" t="str">
            <v>QS2024</v>
          </cell>
          <cell r="I491" t="str">
            <v>QLD</v>
          </cell>
          <cell r="J491" t="str">
            <v>Part Time</v>
          </cell>
          <cell r="K491" t="str">
            <v>7/14/2005</v>
          </cell>
          <cell r="L491" t="str">
            <v>7/14/2005</v>
          </cell>
        </row>
        <row r="492">
          <cell r="A492">
            <v>80055</v>
          </cell>
          <cell r="B492" t="str">
            <v>11/25/1991</v>
          </cell>
          <cell r="C492" t="str">
            <v>NSW-QLD</v>
          </cell>
          <cell r="D492" t="str">
            <v>Virtus Health</v>
          </cell>
          <cell r="E492" t="str">
            <v>Nurse Coordinator</v>
          </cell>
          <cell r="F492" t="str">
            <v>11/25/2013</v>
          </cell>
          <cell r="H492" t="str">
            <v>QN2025</v>
          </cell>
          <cell r="I492" t="str">
            <v>QLD</v>
          </cell>
          <cell r="J492" t="str">
            <v>Part Time</v>
          </cell>
          <cell r="K492" t="str">
            <v>11/25/2013</v>
          </cell>
          <cell r="L492" t="str">
            <v>11/25/2013</v>
          </cell>
        </row>
        <row r="493">
          <cell r="A493">
            <v>80061</v>
          </cell>
          <cell r="B493">
            <v>32996</v>
          </cell>
          <cell r="C493" t="str">
            <v>NSW-QLD</v>
          </cell>
          <cell r="D493" t="str">
            <v>Virtus Health</v>
          </cell>
          <cell r="E493" t="str">
            <v>Embryologist - Team Leader</v>
          </cell>
          <cell r="F493">
            <v>41032</v>
          </cell>
          <cell r="H493" t="str">
            <v>QS2024</v>
          </cell>
          <cell r="I493" t="str">
            <v>QLD</v>
          </cell>
          <cell r="J493" t="str">
            <v>Part Time</v>
          </cell>
          <cell r="K493">
            <v>41032</v>
          </cell>
          <cell r="L493">
            <v>41032</v>
          </cell>
        </row>
        <row r="494">
          <cell r="A494">
            <v>80065</v>
          </cell>
          <cell r="B494" t="str">
            <v>2/26/1990</v>
          </cell>
          <cell r="C494" t="str">
            <v>NSW-QLD</v>
          </cell>
          <cell r="D494" t="str">
            <v>Virtus Health</v>
          </cell>
          <cell r="E494" t="str">
            <v>Clinical Nurse</v>
          </cell>
          <cell r="F494" t="str">
            <v>2/27/2012</v>
          </cell>
          <cell r="H494" t="str">
            <v>QN2025</v>
          </cell>
          <cell r="I494" t="str">
            <v>QLD</v>
          </cell>
          <cell r="J494" t="str">
            <v>Part Time</v>
          </cell>
          <cell r="K494" t="str">
            <v>2/27/2012</v>
          </cell>
          <cell r="L494" t="str">
            <v>2/27/2012</v>
          </cell>
        </row>
        <row r="495">
          <cell r="A495">
            <v>80066</v>
          </cell>
          <cell r="B495" t="str">
            <v>7/24/1991</v>
          </cell>
          <cell r="C495" t="str">
            <v>NSW-QLD</v>
          </cell>
          <cell r="D495" t="str">
            <v>Virtus Health</v>
          </cell>
          <cell r="E495" t="str">
            <v>Administration</v>
          </cell>
          <cell r="F495" t="str">
            <v>7/24/2013</v>
          </cell>
          <cell r="H495" t="str">
            <v>IVFS2023</v>
          </cell>
          <cell r="I495" t="str">
            <v>QLD</v>
          </cell>
          <cell r="J495" t="str">
            <v>Part Time</v>
          </cell>
          <cell r="K495" t="str">
            <v>7/24/2013</v>
          </cell>
          <cell r="L495" t="str">
            <v>7/24/2013</v>
          </cell>
        </row>
        <row r="496">
          <cell r="A496">
            <v>80067</v>
          </cell>
          <cell r="B496">
            <v>32849</v>
          </cell>
          <cell r="C496" t="str">
            <v>NSW-QLD</v>
          </cell>
          <cell r="D496" t="str">
            <v>Virtus Health</v>
          </cell>
          <cell r="E496" t="str">
            <v>Clinical Nurse</v>
          </cell>
          <cell r="F496" t="str">
            <v>7/13/2011</v>
          </cell>
          <cell r="H496" t="str">
            <v>QN2025</v>
          </cell>
          <cell r="I496" t="str">
            <v>QLD</v>
          </cell>
          <cell r="J496" t="str">
            <v>Casual</v>
          </cell>
          <cell r="K496" t="str">
            <v>7/13/2011</v>
          </cell>
          <cell r="L496" t="str">
            <v>7/13/2011</v>
          </cell>
        </row>
        <row r="497">
          <cell r="A497">
            <v>80068</v>
          </cell>
          <cell r="B497" t="str">
            <v>1/30/1990</v>
          </cell>
          <cell r="C497" t="str">
            <v>NSW-QLD</v>
          </cell>
          <cell r="D497" t="str">
            <v>Virtus Health</v>
          </cell>
          <cell r="E497" t="str">
            <v>Clinical Nurse</v>
          </cell>
          <cell r="F497" t="str">
            <v>1/31/2012</v>
          </cell>
          <cell r="G497">
            <v>45390</v>
          </cell>
          <cell r="H497" t="str">
            <v>QN2025</v>
          </cell>
          <cell r="I497" t="str">
            <v>QLD</v>
          </cell>
          <cell r="J497" t="str">
            <v>Part Time</v>
          </cell>
          <cell r="K497" t="str">
            <v>1/31/2012</v>
          </cell>
          <cell r="L497" t="str">
            <v>1/31/2012</v>
          </cell>
        </row>
        <row r="498">
          <cell r="A498">
            <v>80068</v>
          </cell>
          <cell r="B498" t="str">
            <v>1/30/1990</v>
          </cell>
          <cell r="C498" t="str">
            <v>NSW-QLD</v>
          </cell>
          <cell r="D498" t="str">
            <v>Virtus Health</v>
          </cell>
          <cell r="E498" t="str">
            <v>Clinical Nurse</v>
          </cell>
          <cell r="F498">
            <v>45420</v>
          </cell>
          <cell r="G498" t="str">
            <v>9/16/2025</v>
          </cell>
          <cell r="H498" t="str">
            <v>QN2025</v>
          </cell>
          <cell r="I498" t="str">
            <v>QLD</v>
          </cell>
          <cell r="J498" t="str">
            <v>Part Time</v>
          </cell>
          <cell r="K498" t="str">
            <v>1/31/2012</v>
          </cell>
          <cell r="L498" t="str">
            <v>1/31/2012</v>
          </cell>
        </row>
        <row r="499">
          <cell r="A499">
            <v>80068</v>
          </cell>
          <cell r="B499" t="str">
            <v>1/30/1990</v>
          </cell>
          <cell r="C499" t="str">
            <v>NSW-QLD</v>
          </cell>
          <cell r="D499" t="str">
            <v>Virtus Health</v>
          </cell>
          <cell r="E499" t="str">
            <v>Clinical Nurse</v>
          </cell>
          <cell r="F499" t="str">
            <v>9/17/2025</v>
          </cell>
          <cell r="H499" t="str">
            <v>QN2025</v>
          </cell>
          <cell r="I499" t="str">
            <v>QLD</v>
          </cell>
          <cell r="J499" t="str">
            <v>Part Time</v>
          </cell>
          <cell r="K499" t="str">
            <v>1/31/2012</v>
          </cell>
          <cell r="L499" t="str">
            <v>1/31/2012</v>
          </cell>
        </row>
        <row r="500">
          <cell r="A500">
            <v>80071</v>
          </cell>
          <cell r="B500">
            <v>33056</v>
          </cell>
          <cell r="C500" t="str">
            <v>NSW-QLD</v>
          </cell>
          <cell r="D500" t="str">
            <v>Virtus Health</v>
          </cell>
          <cell r="E500" t="str">
            <v>Administration</v>
          </cell>
          <cell r="F500">
            <v>41123</v>
          </cell>
          <cell r="H500" t="str">
            <v>IVFS2023</v>
          </cell>
          <cell r="I500" t="str">
            <v>QLD</v>
          </cell>
          <cell r="J500" t="str">
            <v>Part Time</v>
          </cell>
          <cell r="K500">
            <v>41123</v>
          </cell>
          <cell r="L500">
            <v>41123</v>
          </cell>
        </row>
        <row r="501">
          <cell r="A501">
            <v>80079</v>
          </cell>
          <cell r="B501" t="str">
            <v>2/17/1986</v>
          </cell>
          <cell r="C501" t="str">
            <v>NSW-QLD</v>
          </cell>
          <cell r="D501" t="str">
            <v>Virtus Health</v>
          </cell>
          <cell r="E501" t="str">
            <v>Phlebotomist</v>
          </cell>
          <cell r="F501" t="str">
            <v>2/18/2008</v>
          </cell>
          <cell r="H501" t="str">
            <v>IVFS2023</v>
          </cell>
          <cell r="I501" t="str">
            <v>QLD</v>
          </cell>
          <cell r="J501" t="str">
            <v>Full Time</v>
          </cell>
          <cell r="K501" t="str">
            <v>2/18/2008</v>
          </cell>
          <cell r="L501" t="str">
            <v>2/18/2008</v>
          </cell>
        </row>
        <row r="502">
          <cell r="A502">
            <v>80081</v>
          </cell>
          <cell r="B502" t="str">
            <v>11/24/1987</v>
          </cell>
          <cell r="C502" t="str">
            <v>NSW-QLD</v>
          </cell>
          <cell r="D502" t="str">
            <v>Virtus Health</v>
          </cell>
          <cell r="E502" t="str">
            <v>Revenue and Billing Team Leader</v>
          </cell>
          <cell r="F502" t="str">
            <v>11/24/2009</v>
          </cell>
          <cell r="H502" t="str">
            <v>IVFS2023</v>
          </cell>
          <cell r="I502" t="str">
            <v>QLD</v>
          </cell>
          <cell r="J502" t="str">
            <v>Full Time</v>
          </cell>
          <cell r="K502" t="str">
            <v>11/24/2009</v>
          </cell>
          <cell r="L502" t="str">
            <v>11/24/2009</v>
          </cell>
        </row>
        <row r="503">
          <cell r="A503">
            <v>80089</v>
          </cell>
          <cell r="B503" t="str">
            <v>1/15/1991</v>
          </cell>
          <cell r="C503" t="str">
            <v>NSW-QLD</v>
          </cell>
          <cell r="D503" t="str">
            <v>Virtus Health</v>
          </cell>
          <cell r="E503" t="str">
            <v>Donor Liaison</v>
          </cell>
          <cell r="F503" t="str">
            <v>1/15/2013</v>
          </cell>
          <cell r="H503" t="str">
            <v>IVFS2023</v>
          </cell>
          <cell r="I503" t="str">
            <v>QLD</v>
          </cell>
          <cell r="J503" t="str">
            <v>Full Time</v>
          </cell>
          <cell r="K503" t="str">
            <v>1/15/2013</v>
          </cell>
          <cell r="L503" t="str">
            <v>1/15/2013</v>
          </cell>
        </row>
        <row r="504">
          <cell r="A504">
            <v>80098</v>
          </cell>
          <cell r="B504" t="str">
            <v>8/27/1979</v>
          </cell>
          <cell r="C504" t="str">
            <v>NSW-QLD</v>
          </cell>
          <cell r="D504" t="str">
            <v>Virtus Health</v>
          </cell>
          <cell r="E504" t="str">
            <v>Pathology Supervising Scientist</v>
          </cell>
          <cell r="F504" t="str">
            <v>8/27/2001</v>
          </cell>
          <cell r="H504" t="str">
            <v>QS2024</v>
          </cell>
          <cell r="I504" t="str">
            <v>QLD</v>
          </cell>
          <cell r="J504" t="str">
            <v>Full Time</v>
          </cell>
          <cell r="K504" t="str">
            <v>8/27/2001</v>
          </cell>
          <cell r="L504" t="str">
            <v>8/27/2001</v>
          </cell>
        </row>
        <row r="505">
          <cell r="A505">
            <v>80101</v>
          </cell>
          <cell r="B505" t="str">
            <v>5/24/1990</v>
          </cell>
          <cell r="C505" t="str">
            <v>NSW-QLD</v>
          </cell>
          <cell r="D505" t="str">
            <v>Virtus Health</v>
          </cell>
          <cell r="E505" t="str">
            <v>Andrologist</v>
          </cell>
          <cell r="F505" t="str">
            <v>5/24/2012</v>
          </cell>
          <cell r="H505" t="str">
            <v>QS2024</v>
          </cell>
          <cell r="I505" t="str">
            <v>QLD</v>
          </cell>
          <cell r="J505" t="str">
            <v>Full Time</v>
          </cell>
          <cell r="K505" t="str">
            <v>5/24/2012</v>
          </cell>
          <cell r="L505" t="str">
            <v>5/24/2012</v>
          </cell>
        </row>
        <row r="506">
          <cell r="A506">
            <v>80102</v>
          </cell>
          <cell r="B506" t="str">
            <v>2/27/1967</v>
          </cell>
          <cell r="C506" t="str">
            <v>NSW-QLD</v>
          </cell>
          <cell r="D506" t="str">
            <v>Virtus Health</v>
          </cell>
          <cell r="E506" t="str">
            <v>Embryologist</v>
          </cell>
          <cell r="F506" t="str">
            <v>2/27/1989</v>
          </cell>
          <cell r="G506" t="str">
            <v>12/27/2022</v>
          </cell>
          <cell r="H506" t="str">
            <v>QS2024</v>
          </cell>
          <cell r="I506" t="str">
            <v>QLD</v>
          </cell>
          <cell r="J506" t="str">
            <v>Part Time</v>
          </cell>
          <cell r="K506" t="str">
            <v>2/27/1989</v>
          </cell>
          <cell r="L506" t="str">
            <v>2/27/1989</v>
          </cell>
        </row>
        <row r="507">
          <cell r="A507">
            <v>80102</v>
          </cell>
          <cell r="B507" t="str">
            <v>2/27/1967</v>
          </cell>
          <cell r="C507" t="str">
            <v>NSW-QLD</v>
          </cell>
          <cell r="D507" t="str">
            <v>Virtus Health</v>
          </cell>
          <cell r="E507" t="str">
            <v>Embryologist</v>
          </cell>
          <cell r="F507" t="str">
            <v>12/28/2022</v>
          </cell>
          <cell r="H507" t="str">
            <v>QS2024</v>
          </cell>
          <cell r="I507" t="str">
            <v>QLD</v>
          </cell>
          <cell r="J507" t="str">
            <v>Part Time</v>
          </cell>
          <cell r="K507" t="str">
            <v>2/27/1989</v>
          </cell>
          <cell r="L507" t="str">
            <v>2/27/1989</v>
          </cell>
        </row>
        <row r="508">
          <cell r="A508">
            <v>80103</v>
          </cell>
          <cell r="B508">
            <v>32023</v>
          </cell>
          <cell r="C508" t="str">
            <v>NSW-QLD</v>
          </cell>
          <cell r="D508" t="str">
            <v>Virtus Health</v>
          </cell>
          <cell r="E508" t="str">
            <v>Embryologist</v>
          </cell>
          <cell r="F508">
            <v>40059</v>
          </cell>
          <cell r="H508" t="str">
            <v>QS2024</v>
          </cell>
          <cell r="I508" t="str">
            <v>QLD</v>
          </cell>
          <cell r="J508" t="str">
            <v>Full Time</v>
          </cell>
          <cell r="K508">
            <v>40059</v>
          </cell>
          <cell r="L508">
            <v>40059</v>
          </cell>
        </row>
        <row r="509">
          <cell r="A509">
            <v>80105</v>
          </cell>
          <cell r="B509">
            <v>31688</v>
          </cell>
          <cell r="C509" t="str">
            <v>NSW-QLD</v>
          </cell>
          <cell r="D509" t="str">
            <v>Virtus Health</v>
          </cell>
          <cell r="E509" t="str">
            <v xml:space="preserve">Senior Scientist - </v>
          </cell>
          <cell r="F509">
            <v>39724</v>
          </cell>
          <cell r="H509" t="str">
            <v>QS2024</v>
          </cell>
          <cell r="I509" t="str">
            <v>QLD</v>
          </cell>
          <cell r="J509" t="str">
            <v>Full Time</v>
          </cell>
          <cell r="K509">
            <v>39724</v>
          </cell>
          <cell r="L509">
            <v>39724</v>
          </cell>
        </row>
        <row r="510">
          <cell r="A510">
            <v>80106</v>
          </cell>
          <cell r="B510" t="str">
            <v>10/14/1974</v>
          </cell>
          <cell r="C510" t="str">
            <v>NSW-QLD</v>
          </cell>
          <cell r="D510" t="str">
            <v>Virtus Health</v>
          </cell>
          <cell r="E510" t="str">
            <v>Embryologist</v>
          </cell>
          <cell r="F510" t="str">
            <v>10/14/1996</v>
          </cell>
          <cell r="H510" t="str">
            <v>QS2024</v>
          </cell>
          <cell r="I510" t="str">
            <v>QLD</v>
          </cell>
          <cell r="J510" t="str">
            <v>Full Time</v>
          </cell>
          <cell r="K510" t="str">
            <v>10/14/1996</v>
          </cell>
          <cell r="L510" t="str">
            <v>10/14/1996</v>
          </cell>
        </row>
        <row r="511">
          <cell r="A511">
            <v>80108</v>
          </cell>
          <cell r="B511">
            <v>27094</v>
          </cell>
          <cell r="C511" t="str">
            <v>NSW-QLD</v>
          </cell>
          <cell r="D511" t="str">
            <v>Virtus Health</v>
          </cell>
          <cell r="E511" t="str">
            <v>Embryologist</v>
          </cell>
          <cell r="F511">
            <v>35130</v>
          </cell>
          <cell r="G511" t="str">
            <v>5/28/2023</v>
          </cell>
          <cell r="H511" t="str">
            <v>QS2024</v>
          </cell>
          <cell r="I511" t="str">
            <v>QLD</v>
          </cell>
          <cell r="J511" t="str">
            <v>Part Time</v>
          </cell>
          <cell r="K511">
            <v>35130</v>
          </cell>
          <cell r="L511">
            <v>35130</v>
          </cell>
        </row>
        <row r="512">
          <cell r="A512">
            <v>80108</v>
          </cell>
          <cell r="B512">
            <v>27094</v>
          </cell>
          <cell r="C512" t="str">
            <v>NSW-QLD</v>
          </cell>
          <cell r="D512" t="str">
            <v>Virtus Health</v>
          </cell>
          <cell r="E512" t="str">
            <v>Embryologist</v>
          </cell>
          <cell r="F512" t="str">
            <v>5/29/2023</v>
          </cell>
          <cell r="H512" t="str">
            <v>QS2024</v>
          </cell>
          <cell r="I512" t="str">
            <v>QLD</v>
          </cell>
          <cell r="J512" t="str">
            <v>Part Time</v>
          </cell>
          <cell r="K512">
            <v>35130</v>
          </cell>
          <cell r="L512">
            <v>35130</v>
          </cell>
        </row>
        <row r="513">
          <cell r="A513">
            <v>80110</v>
          </cell>
          <cell r="B513">
            <v>32454</v>
          </cell>
          <cell r="C513" t="str">
            <v>NSW-QLD</v>
          </cell>
          <cell r="D513" t="str">
            <v>Virtus Health</v>
          </cell>
          <cell r="E513" t="str">
            <v>Embryologist</v>
          </cell>
          <cell r="F513">
            <v>40519</v>
          </cell>
          <cell r="H513" t="str">
            <v>QS2024</v>
          </cell>
          <cell r="I513" t="str">
            <v>QLD</v>
          </cell>
          <cell r="J513" t="str">
            <v>Part Time</v>
          </cell>
          <cell r="K513">
            <v>40519</v>
          </cell>
          <cell r="L513">
            <v>40519</v>
          </cell>
        </row>
        <row r="514">
          <cell r="A514">
            <v>80116</v>
          </cell>
          <cell r="B514" t="str">
            <v>5/28/1991</v>
          </cell>
          <cell r="C514" t="str">
            <v>NSW-QLD</v>
          </cell>
          <cell r="D514" t="str">
            <v>Virtus Health</v>
          </cell>
          <cell r="E514" t="str">
            <v>Genetic Senior Scientist</v>
          </cell>
          <cell r="F514" t="str">
            <v>5/28/2013</v>
          </cell>
          <cell r="H514" t="str">
            <v>QS2024</v>
          </cell>
          <cell r="I514" t="str">
            <v>QLD</v>
          </cell>
          <cell r="J514" t="str">
            <v>Full Time</v>
          </cell>
          <cell r="K514" t="str">
            <v>5/28/2013</v>
          </cell>
          <cell r="L514" t="str">
            <v>5/28/2013</v>
          </cell>
        </row>
        <row r="515">
          <cell r="A515">
            <v>80117</v>
          </cell>
          <cell r="B515">
            <v>32571</v>
          </cell>
          <cell r="C515" t="str">
            <v>NSW-QLD</v>
          </cell>
          <cell r="D515" t="str">
            <v>Virtus Health</v>
          </cell>
          <cell r="E515" t="str">
            <v>Genetic Scientist</v>
          </cell>
          <cell r="F515">
            <v>40637</v>
          </cell>
          <cell r="H515" t="str">
            <v>QS2024</v>
          </cell>
          <cell r="I515" t="str">
            <v>QLD</v>
          </cell>
          <cell r="J515" t="str">
            <v>Part Time</v>
          </cell>
          <cell r="K515">
            <v>40637</v>
          </cell>
          <cell r="L515">
            <v>40637</v>
          </cell>
        </row>
        <row r="516">
          <cell r="A516">
            <v>80119</v>
          </cell>
          <cell r="B516" t="str">
            <v>6/17/1991</v>
          </cell>
          <cell r="C516" t="str">
            <v>NSW-QLD</v>
          </cell>
          <cell r="D516" t="str">
            <v>Virtus Health</v>
          </cell>
          <cell r="E516" t="str">
            <v>Genetic Senior Scientist</v>
          </cell>
          <cell r="F516" t="str">
            <v>6/17/2013</v>
          </cell>
          <cell r="H516" t="str">
            <v>QS2024</v>
          </cell>
          <cell r="I516" t="str">
            <v>QLD</v>
          </cell>
          <cell r="J516" t="str">
            <v>Full Time</v>
          </cell>
          <cell r="K516" t="str">
            <v>6/17/2013</v>
          </cell>
          <cell r="L516" t="str">
            <v>6/17/2013</v>
          </cell>
        </row>
        <row r="517">
          <cell r="A517">
            <v>80122</v>
          </cell>
          <cell r="B517">
            <v>32544</v>
          </cell>
          <cell r="C517" t="str">
            <v>NSW-QLD</v>
          </cell>
          <cell r="D517" t="str">
            <v>Virtus Health</v>
          </cell>
          <cell r="E517" t="str">
            <v>Genetic Scientist</v>
          </cell>
          <cell r="F517">
            <v>40607</v>
          </cell>
          <cell r="H517" t="str">
            <v>QS2024</v>
          </cell>
          <cell r="I517" t="str">
            <v>QLD</v>
          </cell>
          <cell r="J517" t="str">
            <v>Part Time</v>
          </cell>
          <cell r="K517">
            <v>40607</v>
          </cell>
          <cell r="L517">
            <v>40607</v>
          </cell>
        </row>
        <row r="518">
          <cell r="A518">
            <v>80123</v>
          </cell>
          <cell r="B518" t="str">
            <v>3/25/1991</v>
          </cell>
          <cell r="C518" t="str">
            <v>NSW-QLD</v>
          </cell>
          <cell r="D518" t="str">
            <v>Virtus Health</v>
          </cell>
          <cell r="E518" t="str">
            <v>Genetic Senior Scientist</v>
          </cell>
          <cell r="F518" t="str">
            <v>3/25/2013</v>
          </cell>
          <cell r="H518" t="str">
            <v>QS2024</v>
          </cell>
          <cell r="I518" t="str">
            <v>QLD</v>
          </cell>
          <cell r="J518" t="str">
            <v>Full Time</v>
          </cell>
          <cell r="K518" t="str">
            <v>3/25/2013</v>
          </cell>
          <cell r="L518" t="str">
            <v>3/25/2013</v>
          </cell>
        </row>
        <row r="519">
          <cell r="A519">
            <v>80125</v>
          </cell>
          <cell r="B519">
            <v>33490</v>
          </cell>
          <cell r="C519" t="str">
            <v>NSW-QLD</v>
          </cell>
          <cell r="D519" t="str">
            <v>Virtus Health</v>
          </cell>
          <cell r="E519" t="str">
            <v>Genetic Scientist</v>
          </cell>
          <cell r="F519">
            <v>41526</v>
          </cell>
          <cell r="H519" t="str">
            <v>QS2024</v>
          </cell>
          <cell r="I519" t="str">
            <v>QLD</v>
          </cell>
          <cell r="J519" t="str">
            <v>Full Time</v>
          </cell>
          <cell r="K519">
            <v>41526</v>
          </cell>
          <cell r="L519">
            <v>41526</v>
          </cell>
        </row>
        <row r="520">
          <cell r="A520">
            <v>80131</v>
          </cell>
          <cell r="B520" t="str">
            <v>7/29/1985</v>
          </cell>
          <cell r="C520" t="str">
            <v>NSW-QLD</v>
          </cell>
          <cell r="D520" t="str">
            <v>Virtus Health</v>
          </cell>
          <cell r="E520" t="str">
            <v>Donor Coordinator</v>
          </cell>
          <cell r="F520" t="str">
            <v>7/30/2007</v>
          </cell>
          <cell r="H520" t="str">
            <v>QN2025</v>
          </cell>
          <cell r="I520" t="str">
            <v>QLD</v>
          </cell>
          <cell r="J520" t="str">
            <v>Part Time</v>
          </cell>
          <cell r="K520" t="str">
            <v>7/30/2007</v>
          </cell>
          <cell r="L520" t="str">
            <v>7/30/2007</v>
          </cell>
        </row>
        <row r="521">
          <cell r="A521">
            <v>80137</v>
          </cell>
          <cell r="B521">
            <v>33913</v>
          </cell>
          <cell r="C521" t="str">
            <v>NSW-QLD</v>
          </cell>
          <cell r="D521" t="str">
            <v>Virtus Health</v>
          </cell>
          <cell r="E521" t="str">
            <v>Operation Projects</v>
          </cell>
          <cell r="F521">
            <v>41978</v>
          </cell>
          <cell r="H521" t="str">
            <v>QLD</v>
          </cell>
          <cell r="I521" t="str">
            <v>QLD</v>
          </cell>
          <cell r="J521" t="str">
            <v>Full Time</v>
          </cell>
          <cell r="K521">
            <v>41978</v>
          </cell>
          <cell r="L521">
            <v>41978</v>
          </cell>
        </row>
        <row r="522">
          <cell r="A522">
            <v>80139</v>
          </cell>
          <cell r="B522">
            <v>33911</v>
          </cell>
          <cell r="C522" t="str">
            <v>NSW-QLD</v>
          </cell>
          <cell r="D522" t="str">
            <v>Virtus Health</v>
          </cell>
          <cell r="E522" t="str">
            <v>Phlebotomist</v>
          </cell>
          <cell r="F522">
            <v>41976</v>
          </cell>
          <cell r="H522" t="str">
            <v>IVFS2023</v>
          </cell>
          <cell r="I522" t="str">
            <v>QLD</v>
          </cell>
          <cell r="J522" t="str">
            <v>Part Time</v>
          </cell>
          <cell r="K522">
            <v>41976</v>
          </cell>
          <cell r="L522">
            <v>41976</v>
          </cell>
        </row>
        <row r="523">
          <cell r="A523">
            <v>80146</v>
          </cell>
          <cell r="B523" t="str">
            <v>10/29/1990</v>
          </cell>
          <cell r="C523" t="str">
            <v>NSW-QLD</v>
          </cell>
          <cell r="D523" t="str">
            <v>Virtus Health</v>
          </cell>
          <cell r="E523" t="str">
            <v>Nurse Coordinator</v>
          </cell>
          <cell r="F523" t="str">
            <v>10/29/2012</v>
          </cell>
          <cell r="H523" t="str">
            <v>QN2025</v>
          </cell>
          <cell r="I523" t="str">
            <v>QLD</v>
          </cell>
          <cell r="J523" t="str">
            <v>Part Time</v>
          </cell>
          <cell r="K523" t="str">
            <v>10/29/2012</v>
          </cell>
          <cell r="L523" t="str">
            <v>10/29/2012</v>
          </cell>
        </row>
        <row r="524">
          <cell r="A524">
            <v>80167</v>
          </cell>
          <cell r="B524" t="str">
            <v>2/22/1993</v>
          </cell>
          <cell r="C524" t="str">
            <v>NSW-QLD</v>
          </cell>
          <cell r="D524" t="str">
            <v>Virtus Health</v>
          </cell>
          <cell r="E524" t="str">
            <v>Genetic Scientist</v>
          </cell>
          <cell r="F524" t="str">
            <v>2/23/2015</v>
          </cell>
          <cell r="H524" t="str">
            <v>QS2024</v>
          </cell>
          <cell r="I524" t="str">
            <v>QLD</v>
          </cell>
          <cell r="J524" t="str">
            <v>Part Time</v>
          </cell>
          <cell r="K524" t="str">
            <v>2/23/2015</v>
          </cell>
          <cell r="L524" t="str">
            <v>2/23/2015</v>
          </cell>
        </row>
        <row r="525">
          <cell r="A525">
            <v>80187</v>
          </cell>
          <cell r="B525">
            <v>34099</v>
          </cell>
          <cell r="C525" t="str">
            <v>NSW-QLD</v>
          </cell>
          <cell r="D525" t="str">
            <v>Virtus Health</v>
          </cell>
          <cell r="E525" t="str">
            <v>Embryologist</v>
          </cell>
          <cell r="F525">
            <v>42165</v>
          </cell>
          <cell r="H525" t="str">
            <v>QS2024</v>
          </cell>
          <cell r="I525" t="str">
            <v>QLD</v>
          </cell>
          <cell r="J525" t="str">
            <v>Full Time</v>
          </cell>
          <cell r="K525">
            <v>42165</v>
          </cell>
          <cell r="L525">
            <v>42165</v>
          </cell>
        </row>
        <row r="526">
          <cell r="A526">
            <v>80202</v>
          </cell>
          <cell r="B526" t="str">
            <v>1/17/1994</v>
          </cell>
          <cell r="C526" t="str">
            <v>NSW-QLD</v>
          </cell>
          <cell r="D526" t="str">
            <v>Virtus Health</v>
          </cell>
          <cell r="E526" t="str">
            <v>Phlebotomist</v>
          </cell>
          <cell r="F526" t="str">
            <v>1/18/2016</v>
          </cell>
          <cell r="H526" t="str">
            <v>IVFS2023</v>
          </cell>
          <cell r="I526" t="str">
            <v>QLD</v>
          </cell>
          <cell r="J526" t="str">
            <v>Casual</v>
          </cell>
          <cell r="K526" t="str">
            <v>1/18/2016</v>
          </cell>
          <cell r="L526" t="str">
            <v>1/18/2016</v>
          </cell>
        </row>
        <row r="527">
          <cell r="A527">
            <v>80204</v>
          </cell>
          <cell r="B527" t="str">
            <v>1/24/1994</v>
          </cell>
          <cell r="C527" t="str">
            <v>NSW-QLD</v>
          </cell>
          <cell r="D527" t="str">
            <v>Virtus Health</v>
          </cell>
          <cell r="E527" t="str">
            <v>Senior Embryologist/Quality Management</v>
          </cell>
          <cell r="F527" t="str">
            <v>1/25/2016</v>
          </cell>
          <cell r="H527" t="str">
            <v>QS2024</v>
          </cell>
          <cell r="I527" t="str">
            <v>TAS</v>
          </cell>
          <cell r="J527" t="str">
            <v>Part Time</v>
          </cell>
          <cell r="K527" t="str">
            <v>1/25/2016</v>
          </cell>
          <cell r="L527" t="str">
            <v>1/25/2016</v>
          </cell>
        </row>
        <row r="528">
          <cell r="A528">
            <v>80216</v>
          </cell>
          <cell r="B528" t="str">
            <v>6/20/1994</v>
          </cell>
          <cell r="C528" t="str">
            <v>NSW-QLD</v>
          </cell>
          <cell r="D528" t="str">
            <v>Virtus Health</v>
          </cell>
          <cell r="E528" t="str">
            <v>Nurse Coordinator</v>
          </cell>
          <cell r="F528" t="str">
            <v>6/20/2016</v>
          </cell>
          <cell r="H528" t="str">
            <v>QN2025</v>
          </cell>
          <cell r="I528" t="str">
            <v>QLD</v>
          </cell>
          <cell r="J528" t="str">
            <v>Full Time</v>
          </cell>
          <cell r="K528" t="str">
            <v>6/20/2016</v>
          </cell>
          <cell r="L528" t="str">
            <v>6/20/2016</v>
          </cell>
        </row>
        <row r="529">
          <cell r="A529">
            <v>80222</v>
          </cell>
          <cell r="B529" t="str">
            <v>6/20/1994</v>
          </cell>
          <cell r="C529" t="str">
            <v>NSW-QLD</v>
          </cell>
          <cell r="D529" t="str">
            <v>Virtus Health</v>
          </cell>
          <cell r="E529" t="str">
            <v>Laboratory Technician</v>
          </cell>
          <cell r="F529" t="str">
            <v>6/20/2016</v>
          </cell>
          <cell r="H529" t="str">
            <v>QS2024</v>
          </cell>
          <cell r="I529" t="str">
            <v>QLD</v>
          </cell>
          <cell r="J529" t="str">
            <v>Part Time</v>
          </cell>
          <cell r="K529" t="str">
            <v>6/20/2016</v>
          </cell>
          <cell r="L529" t="str">
            <v>6/20/2016</v>
          </cell>
        </row>
        <row r="530">
          <cell r="A530">
            <v>80229</v>
          </cell>
          <cell r="B530">
            <v>34617</v>
          </cell>
          <cell r="C530" t="str">
            <v>NSW-QLD</v>
          </cell>
          <cell r="D530" t="str">
            <v>Virtus Health</v>
          </cell>
          <cell r="E530" t="str">
            <v>Administration</v>
          </cell>
          <cell r="F530">
            <v>42653</v>
          </cell>
          <cell r="H530" t="str">
            <v>IVFS2023</v>
          </cell>
          <cell r="I530" t="str">
            <v>QLD</v>
          </cell>
          <cell r="J530" t="str">
            <v>Full Time</v>
          </cell>
          <cell r="K530">
            <v>42653</v>
          </cell>
          <cell r="L530">
            <v>42653</v>
          </cell>
        </row>
        <row r="531">
          <cell r="A531">
            <v>80255</v>
          </cell>
          <cell r="B531">
            <v>34735</v>
          </cell>
          <cell r="C531" t="str">
            <v>NSW-QLD</v>
          </cell>
          <cell r="D531" t="str">
            <v>Virtus Health</v>
          </cell>
          <cell r="E531" t="str">
            <v>Trainee Embryologist</v>
          </cell>
          <cell r="F531">
            <v>42771</v>
          </cell>
          <cell r="H531" t="str">
            <v>QS2024</v>
          </cell>
          <cell r="I531" t="str">
            <v>QLD</v>
          </cell>
          <cell r="J531" t="str">
            <v>Part Time</v>
          </cell>
          <cell r="K531">
            <v>42771</v>
          </cell>
          <cell r="L531">
            <v>42771</v>
          </cell>
        </row>
        <row r="532">
          <cell r="A532">
            <v>80260</v>
          </cell>
          <cell r="B532">
            <v>34979</v>
          </cell>
          <cell r="C532" t="str">
            <v>NSW-QLD</v>
          </cell>
          <cell r="D532" t="str">
            <v>Virtus Health</v>
          </cell>
          <cell r="E532" t="str">
            <v>Accounts Receivable Officer</v>
          </cell>
          <cell r="F532">
            <v>43015</v>
          </cell>
          <cell r="H532" t="str">
            <v>IVFS2023</v>
          </cell>
          <cell r="I532" t="str">
            <v>QLD</v>
          </cell>
          <cell r="J532" t="str">
            <v>Part Time</v>
          </cell>
          <cell r="K532">
            <v>43015</v>
          </cell>
          <cell r="L532">
            <v>43015</v>
          </cell>
        </row>
        <row r="533">
          <cell r="A533">
            <v>80293</v>
          </cell>
          <cell r="B533">
            <v>32234</v>
          </cell>
          <cell r="C533" t="str">
            <v>NSW-QLD</v>
          </cell>
          <cell r="D533" t="str">
            <v>Virtus Health</v>
          </cell>
          <cell r="E533" t="str">
            <v>Registered Nurse</v>
          </cell>
          <cell r="F533">
            <v>40269</v>
          </cell>
          <cell r="H533" t="str">
            <v>QN2025</v>
          </cell>
          <cell r="I533" t="str">
            <v>QLD</v>
          </cell>
          <cell r="J533" t="str">
            <v>Casual</v>
          </cell>
          <cell r="K533">
            <v>40269</v>
          </cell>
          <cell r="L533">
            <v>40269</v>
          </cell>
        </row>
        <row r="534">
          <cell r="A534">
            <v>80300</v>
          </cell>
          <cell r="B534">
            <v>35071</v>
          </cell>
          <cell r="C534" t="str">
            <v>NSW-QLD</v>
          </cell>
          <cell r="D534" t="str">
            <v>Virtus Health</v>
          </cell>
          <cell r="E534" t="str">
            <v>Registered Nurse/Clinic Co-Ordinator</v>
          </cell>
          <cell r="F534">
            <v>43138</v>
          </cell>
          <cell r="H534" t="str">
            <v>QN2025</v>
          </cell>
          <cell r="I534" t="str">
            <v>QLD</v>
          </cell>
          <cell r="J534" t="str">
            <v>Full Time</v>
          </cell>
          <cell r="K534">
            <v>43138</v>
          </cell>
          <cell r="L534">
            <v>43138</v>
          </cell>
        </row>
        <row r="535">
          <cell r="A535">
            <v>80301</v>
          </cell>
          <cell r="B535">
            <v>35345</v>
          </cell>
          <cell r="C535" t="str">
            <v>NSW-QLD</v>
          </cell>
          <cell r="D535" t="str">
            <v>Virtus Health</v>
          </cell>
          <cell r="E535" t="str">
            <v>Courier</v>
          </cell>
          <cell r="F535">
            <v>43411</v>
          </cell>
          <cell r="H535" t="str">
            <v>IVFS2023</v>
          </cell>
          <cell r="I535" t="str">
            <v>QLD</v>
          </cell>
          <cell r="J535" t="str">
            <v>Part Time</v>
          </cell>
          <cell r="K535">
            <v>43411</v>
          </cell>
          <cell r="L535">
            <v>43411</v>
          </cell>
        </row>
        <row r="536">
          <cell r="A536">
            <v>80315</v>
          </cell>
          <cell r="B536" t="str">
            <v>5/26/1997</v>
          </cell>
          <cell r="C536" t="str">
            <v>NSW-QLD</v>
          </cell>
          <cell r="D536" t="str">
            <v>Virtus Health</v>
          </cell>
          <cell r="E536" t="str">
            <v>Laboratory Technician</v>
          </cell>
          <cell r="F536" t="str">
            <v>5/27/2019</v>
          </cell>
          <cell r="H536" t="str">
            <v>QS2024</v>
          </cell>
          <cell r="I536" t="str">
            <v>QLD</v>
          </cell>
          <cell r="J536" t="str">
            <v>Full Time</v>
          </cell>
          <cell r="K536" t="str">
            <v>5/27/2019</v>
          </cell>
          <cell r="L536" t="str">
            <v>5/27/2019</v>
          </cell>
        </row>
        <row r="537">
          <cell r="A537">
            <v>80327</v>
          </cell>
          <cell r="B537" t="str">
            <v>9/22/1997</v>
          </cell>
          <cell r="C537" t="str">
            <v>NSW-QLD</v>
          </cell>
          <cell r="D537" t="str">
            <v>Virtus Health</v>
          </cell>
          <cell r="E537" t="str">
            <v>Financial Accountant</v>
          </cell>
          <cell r="F537" t="str">
            <v>9/23/2019</v>
          </cell>
          <cell r="H537" t="str">
            <v>QLD</v>
          </cell>
          <cell r="I537" t="str">
            <v>QLD</v>
          </cell>
          <cell r="J537" t="str">
            <v>Full Time</v>
          </cell>
          <cell r="K537" t="str">
            <v>9/23/2019</v>
          </cell>
          <cell r="L537" t="str">
            <v>9/23/2019</v>
          </cell>
        </row>
        <row r="538">
          <cell r="A538">
            <v>80329</v>
          </cell>
          <cell r="B538" t="str">
            <v>10/16/1997</v>
          </cell>
          <cell r="C538" t="str">
            <v>NSW-QLD</v>
          </cell>
          <cell r="D538" t="str">
            <v>Virtus Health</v>
          </cell>
          <cell r="E538" t="str">
            <v>Pathology Scientist</v>
          </cell>
          <cell r="F538" t="str">
            <v>10/17/2019</v>
          </cell>
          <cell r="H538" t="str">
            <v>QS2024</v>
          </cell>
          <cell r="I538" t="str">
            <v>QLD</v>
          </cell>
          <cell r="J538" t="str">
            <v>Full Time</v>
          </cell>
          <cell r="K538" t="str">
            <v>10/17/2019</v>
          </cell>
          <cell r="L538" t="str">
            <v>10/17/2019</v>
          </cell>
        </row>
        <row r="539">
          <cell r="A539">
            <v>80330</v>
          </cell>
          <cell r="B539" t="str">
            <v>5/23/1997</v>
          </cell>
          <cell r="C539" t="str">
            <v>NSW-QLD</v>
          </cell>
          <cell r="D539" t="str">
            <v>Virtus Health</v>
          </cell>
          <cell r="E539" t="str">
            <v>Enrolled Nurse</v>
          </cell>
          <cell r="F539" t="str">
            <v>5/24/2019</v>
          </cell>
          <cell r="H539" t="str">
            <v>QN2025</v>
          </cell>
          <cell r="I539" t="str">
            <v>QLD</v>
          </cell>
          <cell r="J539" t="str">
            <v>Part Time</v>
          </cell>
          <cell r="K539" t="str">
            <v>5/24/2019</v>
          </cell>
          <cell r="L539" t="str">
            <v>5/24/2019</v>
          </cell>
        </row>
        <row r="540">
          <cell r="A540">
            <v>80338</v>
          </cell>
          <cell r="B540">
            <v>35828</v>
          </cell>
          <cell r="C540" t="str">
            <v>NSW-QLD</v>
          </cell>
          <cell r="D540" t="str">
            <v>Virtus Health</v>
          </cell>
          <cell r="E540" t="str">
            <v>National Operations Manager - Diagnostics</v>
          </cell>
          <cell r="F540">
            <v>43892</v>
          </cell>
          <cell r="H540" t="str">
            <v>QLD</v>
          </cell>
          <cell r="I540" t="str">
            <v>QLD</v>
          </cell>
          <cell r="J540" t="str">
            <v>Full Time</v>
          </cell>
          <cell r="K540">
            <v>43892</v>
          </cell>
          <cell r="L540">
            <v>43892</v>
          </cell>
        </row>
        <row r="541">
          <cell r="A541">
            <v>80342</v>
          </cell>
          <cell r="B541">
            <v>36104</v>
          </cell>
          <cell r="C541" t="str">
            <v>NSW-QLD</v>
          </cell>
          <cell r="D541" t="str">
            <v>Virtus Health</v>
          </cell>
          <cell r="E541" t="str">
            <v>Embryologist</v>
          </cell>
          <cell r="F541">
            <v>44140</v>
          </cell>
          <cell r="H541" t="str">
            <v>QS2024</v>
          </cell>
          <cell r="I541" t="str">
            <v>QLD</v>
          </cell>
          <cell r="J541" t="str">
            <v>Full Time</v>
          </cell>
          <cell r="K541">
            <v>44140</v>
          </cell>
          <cell r="L541">
            <v>44140</v>
          </cell>
        </row>
        <row r="542">
          <cell r="A542">
            <v>80343</v>
          </cell>
          <cell r="B542">
            <v>36104</v>
          </cell>
          <cell r="C542" t="str">
            <v>NSW-QLD</v>
          </cell>
          <cell r="D542" t="str">
            <v>Virtus Health</v>
          </cell>
          <cell r="E542" t="str">
            <v>Nurse Coordinator</v>
          </cell>
          <cell r="F542">
            <v>44140</v>
          </cell>
          <cell r="H542" t="str">
            <v>QN2025</v>
          </cell>
          <cell r="I542" t="str">
            <v>QLD</v>
          </cell>
          <cell r="J542" t="str">
            <v>Part Time</v>
          </cell>
          <cell r="K542">
            <v>44140</v>
          </cell>
          <cell r="L542">
            <v>44140</v>
          </cell>
        </row>
        <row r="543">
          <cell r="A543">
            <v>80348</v>
          </cell>
          <cell r="B543" t="str">
            <v>5/25/1998</v>
          </cell>
          <cell r="C543" t="str">
            <v>NSW-QLD</v>
          </cell>
          <cell r="D543" t="str">
            <v>Virtus Health</v>
          </cell>
          <cell r="E543" t="str">
            <v>Embryologist</v>
          </cell>
          <cell r="F543" t="str">
            <v>5/25/2020</v>
          </cell>
          <cell r="H543" t="str">
            <v>QS2024</v>
          </cell>
          <cell r="I543" t="str">
            <v>QLD</v>
          </cell>
          <cell r="J543" t="str">
            <v>Full Time</v>
          </cell>
          <cell r="K543" t="str">
            <v>5/25/2020</v>
          </cell>
          <cell r="L543" t="str">
            <v>5/25/2020</v>
          </cell>
        </row>
        <row r="544">
          <cell r="A544">
            <v>80351</v>
          </cell>
          <cell r="B544">
            <v>35801</v>
          </cell>
          <cell r="C544" t="str">
            <v>NSW-QLD</v>
          </cell>
          <cell r="D544" t="str">
            <v>Virtus Health</v>
          </cell>
          <cell r="E544" t="str">
            <v>Fertility Lab Manager</v>
          </cell>
          <cell r="F544">
            <v>43836</v>
          </cell>
          <cell r="H544" t="str">
            <v>QLD</v>
          </cell>
          <cell r="I544" t="str">
            <v>QLD</v>
          </cell>
          <cell r="J544" t="str">
            <v>Full Time</v>
          </cell>
          <cell r="K544">
            <v>43836</v>
          </cell>
          <cell r="L544">
            <v>43836</v>
          </cell>
        </row>
        <row r="545">
          <cell r="A545">
            <v>80359</v>
          </cell>
          <cell r="B545" t="str">
            <v>7/13/1998</v>
          </cell>
          <cell r="C545" t="str">
            <v>NSW-QLD</v>
          </cell>
          <cell r="D545" t="str">
            <v>Virtus Health</v>
          </cell>
          <cell r="E545" t="str">
            <v>Clinical Administration-Nursing</v>
          </cell>
          <cell r="F545" t="str">
            <v>7/13/2020</v>
          </cell>
          <cell r="H545" t="str">
            <v>IVFS2023</v>
          </cell>
          <cell r="I545" t="str">
            <v>QLD</v>
          </cell>
          <cell r="J545" t="str">
            <v>Full Time</v>
          </cell>
          <cell r="K545" t="str">
            <v>7/13/2020</v>
          </cell>
          <cell r="L545" t="str">
            <v>7/13/2020</v>
          </cell>
        </row>
        <row r="546">
          <cell r="A546">
            <v>80364</v>
          </cell>
          <cell r="B546">
            <v>36107</v>
          </cell>
          <cell r="C546" t="str">
            <v>NSW-QLD</v>
          </cell>
          <cell r="D546" t="str">
            <v>Virtus Health</v>
          </cell>
          <cell r="E546" t="str">
            <v xml:space="preserve"> Acc Receivable Mgr</v>
          </cell>
          <cell r="F546">
            <v>44143</v>
          </cell>
          <cell r="H546" t="str">
            <v>IVFS2023</v>
          </cell>
          <cell r="I546" t="str">
            <v>QLD</v>
          </cell>
          <cell r="J546" t="str">
            <v>Full Time</v>
          </cell>
          <cell r="K546">
            <v>44143</v>
          </cell>
          <cell r="L546">
            <v>44143</v>
          </cell>
        </row>
        <row r="547">
          <cell r="A547">
            <v>80372</v>
          </cell>
          <cell r="B547" t="str">
            <v>9/14/1998</v>
          </cell>
          <cell r="C547" t="str">
            <v>NSW-QLD</v>
          </cell>
          <cell r="D547" t="str">
            <v>Virtus Health</v>
          </cell>
          <cell r="E547" t="str">
            <v xml:space="preserve"> Embryologist</v>
          </cell>
          <cell r="F547" t="str">
            <v>9/14/2020</v>
          </cell>
          <cell r="H547" t="str">
            <v>QS2024</v>
          </cell>
          <cell r="I547" t="str">
            <v>QLD</v>
          </cell>
          <cell r="J547" t="str">
            <v>Full Time</v>
          </cell>
          <cell r="K547" t="str">
            <v>9/14/2020</v>
          </cell>
          <cell r="L547" t="str">
            <v>9/14/2020</v>
          </cell>
        </row>
        <row r="548">
          <cell r="A548">
            <v>80375</v>
          </cell>
          <cell r="B548" t="str">
            <v>9/21/1998</v>
          </cell>
          <cell r="C548" t="str">
            <v>NSW-QLD</v>
          </cell>
          <cell r="D548" t="str">
            <v>Virtus Health</v>
          </cell>
          <cell r="E548" t="str">
            <v>Executive Assistant &amp; HR Administration</v>
          </cell>
          <cell r="F548" t="str">
            <v>9/21/2020</v>
          </cell>
          <cell r="H548" t="str">
            <v>QLD</v>
          </cell>
          <cell r="I548" t="str">
            <v>QLD</v>
          </cell>
          <cell r="J548" t="str">
            <v>Full Time</v>
          </cell>
          <cell r="K548" t="str">
            <v>9/21/2020</v>
          </cell>
          <cell r="L548" t="str">
            <v>9/21/2020</v>
          </cell>
        </row>
        <row r="549">
          <cell r="A549">
            <v>80378</v>
          </cell>
          <cell r="B549" t="str">
            <v>9/28/1998</v>
          </cell>
          <cell r="C549" t="str">
            <v>NSW-QLD</v>
          </cell>
          <cell r="D549" t="str">
            <v>Virtus Health</v>
          </cell>
          <cell r="E549" t="str">
            <v>Laboratory Technician</v>
          </cell>
          <cell r="F549" t="str">
            <v>9/28/2020</v>
          </cell>
          <cell r="H549" t="str">
            <v>QS2024</v>
          </cell>
          <cell r="I549" t="str">
            <v>QLD</v>
          </cell>
          <cell r="J549" t="str">
            <v>Part Time</v>
          </cell>
          <cell r="K549" t="str">
            <v>9/28/2020</v>
          </cell>
          <cell r="L549" t="str">
            <v>9/28/2020</v>
          </cell>
        </row>
        <row r="550">
          <cell r="A550">
            <v>80385</v>
          </cell>
          <cell r="B550" t="str">
            <v>10/20/1998</v>
          </cell>
          <cell r="C550" t="str">
            <v>NSW-QLD</v>
          </cell>
          <cell r="D550" t="str">
            <v>Virtus Health</v>
          </cell>
          <cell r="E550" t="str">
            <v>Courier</v>
          </cell>
          <cell r="F550" t="str">
            <v>10/20/2020</v>
          </cell>
          <cell r="H550" t="str">
            <v>IVFS2023</v>
          </cell>
          <cell r="I550" t="str">
            <v>QLD</v>
          </cell>
          <cell r="J550" t="str">
            <v>Part Time</v>
          </cell>
          <cell r="K550" t="str">
            <v>10/20/2020</v>
          </cell>
          <cell r="L550" t="str">
            <v>10/20/2020</v>
          </cell>
        </row>
        <row r="551">
          <cell r="A551">
            <v>80392</v>
          </cell>
          <cell r="B551" t="str">
            <v>1/14/1999</v>
          </cell>
          <cell r="C551" t="str">
            <v>NSW-QLD</v>
          </cell>
          <cell r="D551" t="str">
            <v>Virtus Health</v>
          </cell>
          <cell r="E551" t="str">
            <v>Phlebotomist</v>
          </cell>
          <cell r="F551" t="str">
            <v>1/14/2021</v>
          </cell>
          <cell r="H551" t="str">
            <v>IVFS2023</v>
          </cell>
          <cell r="I551" t="str">
            <v>QLD</v>
          </cell>
          <cell r="J551" t="str">
            <v>Casual</v>
          </cell>
          <cell r="K551" t="str">
            <v>1/14/2021</v>
          </cell>
          <cell r="L551" t="str">
            <v>1/14/2021</v>
          </cell>
        </row>
        <row r="552">
          <cell r="A552">
            <v>80397</v>
          </cell>
          <cell r="B552">
            <v>35801</v>
          </cell>
          <cell r="C552" t="str">
            <v>NSW-QLD</v>
          </cell>
          <cell r="D552" t="str">
            <v>Virtus Health</v>
          </cell>
          <cell r="E552" t="str">
            <v>Embryology Regional Coordinator</v>
          </cell>
          <cell r="F552">
            <v>43836</v>
          </cell>
          <cell r="H552" t="str">
            <v>QS2024</v>
          </cell>
          <cell r="I552" t="str">
            <v>QLD</v>
          </cell>
          <cell r="J552" t="str">
            <v>Full Time</v>
          </cell>
          <cell r="K552">
            <v>43836</v>
          </cell>
          <cell r="L552">
            <v>43836</v>
          </cell>
        </row>
        <row r="553">
          <cell r="A553">
            <v>80398</v>
          </cell>
          <cell r="B553">
            <v>36163</v>
          </cell>
          <cell r="C553" t="str">
            <v>NSW-QLD</v>
          </cell>
          <cell r="D553" t="str">
            <v>Virtus Health</v>
          </cell>
          <cell r="E553" t="str">
            <v xml:space="preserve">Acting Managing Director </v>
          </cell>
          <cell r="F553">
            <v>44199</v>
          </cell>
          <cell r="H553" t="str">
            <v>QLD</v>
          </cell>
          <cell r="I553" t="str">
            <v>QLD</v>
          </cell>
          <cell r="J553" t="str">
            <v>Full Time</v>
          </cell>
          <cell r="K553">
            <v>44199</v>
          </cell>
          <cell r="L553">
            <v>44199</v>
          </cell>
        </row>
        <row r="554">
          <cell r="A554">
            <v>80400</v>
          </cell>
          <cell r="B554">
            <v>36163</v>
          </cell>
          <cell r="C554" t="str">
            <v>NSW-QLD</v>
          </cell>
          <cell r="D554" t="str">
            <v>Virtus Health</v>
          </cell>
          <cell r="E554" t="str">
            <v>Nurse Coordinator</v>
          </cell>
          <cell r="F554">
            <v>44199</v>
          </cell>
          <cell r="H554" t="str">
            <v>QN2025</v>
          </cell>
          <cell r="I554" t="str">
            <v>QLD</v>
          </cell>
          <cell r="J554" t="str">
            <v>Part Time</v>
          </cell>
          <cell r="K554">
            <v>44199</v>
          </cell>
          <cell r="L554">
            <v>44199</v>
          </cell>
        </row>
        <row r="555">
          <cell r="A555">
            <v>80402</v>
          </cell>
          <cell r="B555" t="str">
            <v>3/22/1999</v>
          </cell>
          <cell r="C555" t="str">
            <v>NSW-QLD</v>
          </cell>
          <cell r="D555" t="str">
            <v>Virtus Health</v>
          </cell>
          <cell r="E555" t="str">
            <v xml:space="preserve"> Embryologist</v>
          </cell>
          <cell r="F555" t="str">
            <v>3/22/2021</v>
          </cell>
          <cell r="H555" t="str">
            <v>QS2024</v>
          </cell>
          <cell r="I555" t="str">
            <v>QLD</v>
          </cell>
          <cell r="J555" t="str">
            <v>Full Time</v>
          </cell>
          <cell r="K555" t="str">
            <v>3/22/2021</v>
          </cell>
          <cell r="L555" t="str">
            <v>3/22/2021</v>
          </cell>
        </row>
        <row r="556">
          <cell r="A556">
            <v>80410</v>
          </cell>
          <cell r="B556" t="str">
            <v>4/26/1999</v>
          </cell>
          <cell r="C556" t="str">
            <v>NSW-QLD</v>
          </cell>
          <cell r="D556" t="str">
            <v>Virtus Health</v>
          </cell>
          <cell r="E556" t="str">
            <v>Embryologist</v>
          </cell>
          <cell r="F556" t="str">
            <v>4/26/2021</v>
          </cell>
          <cell r="H556" t="str">
            <v>QS2024</v>
          </cell>
          <cell r="I556" t="str">
            <v>QLD</v>
          </cell>
          <cell r="J556" t="str">
            <v>Full Time</v>
          </cell>
          <cell r="K556" t="str">
            <v>4/26/2021</v>
          </cell>
          <cell r="L556" t="str">
            <v>4/26/2021</v>
          </cell>
        </row>
        <row r="557">
          <cell r="A557">
            <v>80413</v>
          </cell>
          <cell r="B557">
            <v>36438</v>
          </cell>
          <cell r="C557" t="str">
            <v>NSW-QLD</v>
          </cell>
          <cell r="D557" t="str">
            <v>Virtus Health</v>
          </cell>
          <cell r="E557" t="str">
            <v>Senior Counsellor</v>
          </cell>
          <cell r="F557">
            <v>44474</v>
          </cell>
          <cell r="H557" t="str">
            <v>IVFC2022</v>
          </cell>
          <cell r="I557" t="str">
            <v>QLD</v>
          </cell>
          <cell r="J557" t="str">
            <v>Part Time</v>
          </cell>
          <cell r="K557">
            <v>44474</v>
          </cell>
          <cell r="L557">
            <v>44474</v>
          </cell>
        </row>
        <row r="558">
          <cell r="A558">
            <v>80414</v>
          </cell>
          <cell r="B558" t="str">
            <v>5/17/1999</v>
          </cell>
          <cell r="C558" t="str">
            <v>NSW-QLD</v>
          </cell>
          <cell r="D558" t="str">
            <v>Virtus Health</v>
          </cell>
          <cell r="E558" t="str">
            <v>Nurse Coordinator</v>
          </cell>
          <cell r="F558" t="str">
            <v>5/17/2021</v>
          </cell>
          <cell r="H558" t="str">
            <v>QN2025</v>
          </cell>
          <cell r="I558" t="str">
            <v>QLD</v>
          </cell>
          <cell r="J558" t="str">
            <v>Part Time</v>
          </cell>
          <cell r="K558" t="str">
            <v>5/17/2021</v>
          </cell>
          <cell r="L558" t="str">
            <v>5/17/2021</v>
          </cell>
        </row>
        <row r="559">
          <cell r="A559">
            <v>80415</v>
          </cell>
          <cell r="B559" t="str">
            <v>5/17/1999</v>
          </cell>
          <cell r="C559" t="str">
            <v>NSW-QLD</v>
          </cell>
          <cell r="D559" t="str">
            <v>Virtus Health</v>
          </cell>
          <cell r="E559" t="str">
            <v>IVF Nurse Coordinator</v>
          </cell>
          <cell r="F559" t="str">
            <v>5/17/2021</v>
          </cell>
          <cell r="H559" t="str">
            <v>QN2025</v>
          </cell>
          <cell r="I559" t="str">
            <v>QLD</v>
          </cell>
          <cell r="J559" t="str">
            <v>Part Time</v>
          </cell>
          <cell r="K559" t="str">
            <v>5/17/2021</v>
          </cell>
          <cell r="L559" t="str">
            <v>5/17/2021</v>
          </cell>
        </row>
        <row r="560">
          <cell r="A560">
            <v>80420</v>
          </cell>
          <cell r="B560" t="str">
            <v>6/16/1999</v>
          </cell>
          <cell r="C560" t="str">
            <v>NSW-QLD</v>
          </cell>
          <cell r="D560" t="str">
            <v>Virtus Health</v>
          </cell>
          <cell r="E560" t="str">
            <v>Phlebotomist</v>
          </cell>
          <cell r="F560" t="str">
            <v>6/16/2021</v>
          </cell>
          <cell r="H560" t="str">
            <v>IVFS2023</v>
          </cell>
          <cell r="I560" t="str">
            <v>QLD</v>
          </cell>
          <cell r="J560" t="str">
            <v>Casual</v>
          </cell>
          <cell r="K560" t="str">
            <v>6/16/2021</v>
          </cell>
          <cell r="L560" t="str">
            <v>6/16/2021</v>
          </cell>
        </row>
        <row r="561">
          <cell r="A561">
            <v>80427</v>
          </cell>
          <cell r="B561" t="str">
            <v>7/19/1999</v>
          </cell>
          <cell r="C561" t="str">
            <v>NSW-QLD</v>
          </cell>
          <cell r="D561" t="str">
            <v>Virtus Health</v>
          </cell>
          <cell r="E561" t="str">
            <v>Finance Officer</v>
          </cell>
          <cell r="F561" t="str">
            <v>7/19/2021</v>
          </cell>
          <cell r="H561" t="str">
            <v>QLD</v>
          </cell>
          <cell r="I561" t="str">
            <v>QLD</v>
          </cell>
          <cell r="J561" t="str">
            <v>Full Time</v>
          </cell>
          <cell r="K561" t="str">
            <v>7/19/2021</v>
          </cell>
          <cell r="L561" t="str">
            <v>7/19/2021</v>
          </cell>
        </row>
        <row r="562">
          <cell r="A562">
            <v>80428</v>
          </cell>
          <cell r="B562">
            <v>34428</v>
          </cell>
          <cell r="C562" t="str">
            <v>NSW-QLD</v>
          </cell>
          <cell r="D562" t="str">
            <v>Virtus Health</v>
          </cell>
          <cell r="E562" t="str">
            <v>Pracrtice Manager</v>
          </cell>
          <cell r="F562">
            <v>42464</v>
          </cell>
          <cell r="H562" t="str">
            <v>IVFS2023</v>
          </cell>
          <cell r="I562" t="str">
            <v>QLD</v>
          </cell>
          <cell r="J562" t="str">
            <v>Part Time</v>
          </cell>
          <cell r="K562">
            <v>42464</v>
          </cell>
          <cell r="L562">
            <v>42464</v>
          </cell>
        </row>
        <row r="563">
          <cell r="A563">
            <v>80434</v>
          </cell>
          <cell r="B563">
            <v>30840</v>
          </cell>
          <cell r="C563" t="str">
            <v>NSW-QLD</v>
          </cell>
          <cell r="D563" t="str">
            <v>Virtus Health</v>
          </cell>
          <cell r="E563" t="str">
            <v>Registered Nurse</v>
          </cell>
          <cell r="F563">
            <v>38905</v>
          </cell>
          <cell r="G563">
            <v>45513</v>
          </cell>
          <cell r="H563" t="str">
            <v>QN2025</v>
          </cell>
          <cell r="I563" t="str">
            <v>QLD</v>
          </cell>
          <cell r="J563" t="str">
            <v>Part Time</v>
          </cell>
          <cell r="K563">
            <v>38905</v>
          </cell>
          <cell r="L563">
            <v>38905</v>
          </cell>
        </row>
        <row r="564">
          <cell r="A564">
            <v>80434</v>
          </cell>
          <cell r="B564">
            <v>30840</v>
          </cell>
          <cell r="C564" t="str">
            <v>NSW-QLD</v>
          </cell>
          <cell r="D564" t="str">
            <v>Virtus Health</v>
          </cell>
          <cell r="E564" t="str">
            <v>Registered Nurse</v>
          </cell>
          <cell r="F564">
            <v>45544</v>
          </cell>
          <cell r="H564" t="str">
            <v>QN2025</v>
          </cell>
          <cell r="I564" t="str">
            <v>QLD</v>
          </cell>
          <cell r="J564" t="str">
            <v>Part Time</v>
          </cell>
          <cell r="K564">
            <v>38905</v>
          </cell>
          <cell r="L564">
            <v>38905</v>
          </cell>
        </row>
        <row r="565">
          <cell r="A565">
            <v>80438</v>
          </cell>
          <cell r="B565">
            <v>36290</v>
          </cell>
          <cell r="C565" t="str">
            <v>NSW-QLD</v>
          </cell>
          <cell r="D565" t="str">
            <v>Virtus Health</v>
          </cell>
          <cell r="E565" t="str">
            <v>Phlebotomist/ Administration</v>
          </cell>
          <cell r="F565">
            <v>44326</v>
          </cell>
          <cell r="H565" t="str">
            <v>IVFS2023</v>
          </cell>
          <cell r="I565" t="str">
            <v>QLD</v>
          </cell>
          <cell r="J565" t="str">
            <v>Part Time</v>
          </cell>
          <cell r="K565">
            <v>44326</v>
          </cell>
          <cell r="L565">
            <v>44326</v>
          </cell>
        </row>
        <row r="566">
          <cell r="A566">
            <v>80442</v>
          </cell>
          <cell r="B566" t="str">
            <v>11/22/1999</v>
          </cell>
          <cell r="C566" t="str">
            <v>NSW-QLD</v>
          </cell>
          <cell r="D566" t="str">
            <v>Virtus Health</v>
          </cell>
          <cell r="E566" t="str">
            <v>Clinical Administrator-Nursing</v>
          </cell>
          <cell r="F566" t="str">
            <v>11/22/2021</v>
          </cell>
          <cell r="H566" t="str">
            <v>IVFS2023</v>
          </cell>
          <cell r="I566" t="str">
            <v>QLD</v>
          </cell>
          <cell r="J566" t="str">
            <v>Full Time</v>
          </cell>
          <cell r="K566" t="str">
            <v>11/22/2021</v>
          </cell>
          <cell r="L566" t="str">
            <v>11/22/2021</v>
          </cell>
        </row>
        <row r="567">
          <cell r="A567">
            <v>80451</v>
          </cell>
          <cell r="B567" t="str">
            <v>2/14/2000</v>
          </cell>
          <cell r="C567" t="str">
            <v>NSW-QLD</v>
          </cell>
          <cell r="D567" t="str">
            <v>Virtus Health</v>
          </cell>
          <cell r="E567" t="str">
            <v>Nurse Coordinator</v>
          </cell>
          <cell r="F567" t="str">
            <v>2/14/2022</v>
          </cell>
          <cell r="H567" t="str">
            <v>QN2025</v>
          </cell>
          <cell r="I567" t="str">
            <v>QLD</v>
          </cell>
          <cell r="J567" t="str">
            <v>Full Time</v>
          </cell>
          <cell r="K567" t="str">
            <v>2/14/2022</v>
          </cell>
          <cell r="L567" t="str">
            <v>2/14/2022</v>
          </cell>
        </row>
        <row r="568">
          <cell r="A568">
            <v>80456</v>
          </cell>
          <cell r="B568">
            <v>36680</v>
          </cell>
          <cell r="C568" t="str">
            <v>NSW-QLD</v>
          </cell>
          <cell r="D568" t="str">
            <v>Virtus Health</v>
          </cell>
          <cell r="E568" t="str">
            <v>Administration</v>
          </cell>
          <cell r="F568">
            <v>44745</v>
          </cell>
          <cell r="H568" t="str">
            <v>IVFS2023</v>
          </cell>
          <cell r="I568" t="str">
            <v>QLD</v>
          </cell>
          <cell r="J568" t="str">
            <v>Casual</v>
          </cell>
          <cell r="K568">
            <v>44745</v>
          </cell>
          <cell r="L568">
            <v>44745</v>
          </cell>
        </row>
        <row r="569">
          <cell r="A569">
            <v>80462</v>
          </cell>
          <cell r="B569">
            <v>36589</v>
          </cell>
          <cell r="C569" t="str">
            <v>NSW-QLD</v>
          </cell>
          <cell r="D569" t="str">
            <v>Virtus Health</v>
          </cell>
          <cell r="E569" t="str">
            <v>Receptionist</v>
          </cell>
          <cell r="F569">
            <v>44655</v>
          </cell>
          <cell r="H569" t="str">
            <v>IVFS2023</v>
          </cell>
          <cell r="I569" t="str">
            <v>QLD</v>
          </cell>
          <cell r="J569" t="str">
            <v>Part Time</v>
          </cell>
          <cell r="K569">
            <v>44655</v>
          </cell>
          <cell r="L569">
            <v>44655</v>
          </cell>
        </row>
        <row r="570">
          <cell r="A570">
            <v>80468</v>
          </cell>
          <cell r="B570">
            <v>36743</v>
          </cell>
          <cell r="C570" t="str">
            <v>NSW-QLD</v>
          </cell>
          <cell r="D570" t="str">
            <v>Virtus Health</v>
          </cell>
          <cell r="E570" t="str">
            <v>Genetic Scientist</v>
          </cell>
          <cell r="F570">
            <v>44809</v>
          </cell>
          <cell r="H570" t="str">
            <v>QS2024</v>
          </cell>
          <cell r="I570" t="str">
            <v>QLD</v>
          </cell>
          <cell r="J570" t="str">
            <v>Full Time</v>
          </cell>
          <cell r="K570">
            <v>44809</v>
          </cell>
          <cell r="L570">
            <v>44809</v>
          </cell>
        </row>
        <row r="571">
          <cell r="A571">
            <v>80470</v>
          </cell>
          <cell r="B571">
            <v>36652</v>
          </cell>
          <cell r="C571" t="str">
            <v>NSW-QLD</v>
          </cell>
          <cell r="D571" t="str">
            <v>Virtus Health</v>
          </cell>
          <cell r="E571" t="str">
            <v>Registered Nurse Clinic Coordinator</v>
          </cell>
          <cell r="F571">
            <v>44718</v>
          </cell>
          <cell r="H571" t="str">
            <v>QN2025</v>
          </cell>
          <cell r="I571" t="str">
            <v>QLD</v>
          </cell>
          <cell r="J571" t="str">
            <v>Full Time</v>
          </cell>
          <cell r="K571">
            <v>44718</v>
          </cell>
          <cell r="L571">
            <v>44718</v>
          </cell>
        </row>
        <row r="572">
          <cell r="A572">
            <v>80471</v>
          </cell>
          <cell r="B572">
            <v>36866</v>
          </cell>
          <cell r="C572" t="str">
            <v>NSW-QLD</v>
          </cell>
          <cell r="D572" t="str">
            <v>Virtus Health</v>
          </cell>
          <cell r="E572" t="str">
            <v>New Patient Care Consultant</v>
          </cell>
          <cell r="F572" t="str">
            <v>6/13/2022</v>
          </cell>
          <cell r="H572" t="str">
            <v>IVFS2023</v>
          </cell>
          <cell r="I572" t="str">
            <v>QLD</v>
          </cell>
          <cell r="J572" t="str">
            <v>Full Time</v>
          </cell>
          <cell r="K572" t="str">
            <v>6/13/2022</v>
          </cell>
          <cell r="L572" t="str">
            <v>6/13/2022</v>
          </cell>
        </row>
        <row r="573">
          <cell r="A573">
            <v>80527</v>
          </cell>
          <cell r="B573">
            <v>34825</v>
          </cell>
          <cell r="C573" t="str">
            <v>NSW-QLD</v>
          </cell>
          <cell r="D573" t="str">
            <v>Virtus Health</v>
          </cell>
          <cell r="E573" t="str">
            <v>Genetics Scientist</v>
          </cell>
          <cell r="F573">
            <v>42861</v>
          </cell>
          <cell r="H573" t="str">
            <v>QS2024</v>
          </cell>
          <cell r="I573" t="str">
            <v>QLD</v>
          </cell>
          <cell r="J573" t="str">
            <v>Full Time</v>
          </cell>
          <cell r="K573">
            <v>42861</v>
          </cell>
          <cell r="L573">
            <v>42861</v>
          </cell>
        </row>
        <row r="574">
          <cell r="A574">
            <v>80533</v>
          </cell>
          <cell r="B574" t="str">
            <v>10/30/1995</v>
          </cell>
          <cell r="C574" t="str">
            <v>NSW-QLD</v>
          </cell>
          <cell r="D574" t="str">
            <v>Virtus Health</v>
          </cell>
          <cell r="E574" t="str">
            <v>Nurse Coordinator/Clinic Co-Ordinator</v>
          </cell>
          <cell r="F574" t="str">
            <v>10/30/2017</v>
          </cell>
          <cell r="H574" t="str">
            <v>QN2025</v>
          </cell>
          <cell r="I574" t="str">
            <v>QLD</v>
          </cell>
          <cell r="J574" t="str">
            <v>Full Time</v>
          </cell>
          <cell r="K574" t="str">
            <v>10/30/2017</v>
          </cell>
          <cell r="L574" t="str">
            <v>10/30/2017</v>
          </cell>
        </row>
        <row r="575">
          <cell r="A575">
            <v>80538</v>
          </cell>
          <cell r="B575" t="str">
            <v>12/14/1995</v>
          </cell>
          <cell r="C575" t="str">
            <v>NSW-QLD</v>
          </cell>
          <cell r="D575" t="str">
            <v>Virtus Health</v>
          </cell>
          <cell r="E575" t="str">
            <v>Nurse Coordinator</v>
          </cell>
          <cell r="F575" t="str">
            <v>12/14/2017</v>
          </cell>
          <cell r="H575" t="str">
            <v>QN2025</v>
          </cell>
          <cell r="I575" t="str">
            <v>QLD</v>
          </cell>
          <cell r="J575" t="str">
            <v>Casual</v>
          </cell>
          <cell r="K575" t="str">
            <v>12/14/2017</v>
          </cell>
          <cell r="L575" t="str">
            <v>12/14/2017</v>
          </cell>
        </row>
        <row r="576">
          <cell r="A576">
            <v>80542</v>
          </cell>
          <cell r="B576">
            <v>35071</v>
          </cell>
          <cell r="C576" t="str">
            <v>NSW-QLD</v>
          </cell>
          <cell r="D576" t="str">
            <v>Virtus Health</v>
          </cell>
          <cell r="E576" t="str">
            <v>Registered Nurse</v>
          </cell>
          <cell r="F576">
            <v>43138</v>
          </cell>
          <cell r="H576" t="str">
            <v>QN2025</v>
          </cell>
          <cell r="I576" t="str">
            <v>QLD</v>
          </cell>
          <cell r="J576" t="str">
            <v>Part Time</v>
          </cell>
          <cell r="K576">
            <v>43138</v>
          </cell>
          <cell r="L576">
            <v>43138</v>
          </cell>
        </row>
        <row r="577">
          <cell r="A577">
            <v>80545</v>
          </cell>
          <cell r="B577" t="str">
            <v>10/28/1996</v>
          </cell>
          <cell r="C577" t="str">
            <v>NSW-QLD</v>
          </cell>
          <cell r="D577" t="str">
            <v>Virtus Health</v>
          </cell>
          <cell r="E577" t="str">
            <v>New Patient Care Consultant</v>
          </cell>
          <cell r="F577" t="str">
            <v>10/29/2018</v>
          </cell>
          <cell r="H577" t="str">
            <v>IVFS2023</v>
          </cell>
          <cell r="I577" t="str">
            <v>QLD</v>
          </cell>
          <cell r="J577" t="str">
            <v>Part Time</v>
          </cell>
          <cell r="K577" t="str">
            <v>10/29/2018</v>
          </cell>
          <cell r="L577" t="str">
            <v>10/29/2018</v>
          </cell>
        </row>
        <row r="578">
          <cell r="A578">
            <v>80549</v>
          </cell>
          <cell r="B578" t="str">
            <v>1/14/1997</v>
          </cell>
          <cell r="C578" t="str">
            <v>NSW-QLD</v>
          </cell>
          <cell r="D578" t="str">
            <v>Virtus Health</v>
          </cell>
          <cell r="E578" t="str">
            <v>Clinical Nurse Specialist</v>
          </cell>
          <cell r="F578" t="str">
            <v>1/15/2019</v>
          </cell>
          <cell r="H578" t="str">
            <v>QN2025</v>
          </cell>
          <cell r="I578" t="str">
            <v>QLD</v>
          </cell>
          <cell r="J578" t="str">
            <v>Full Time</v>
          </cell>
          <cell r="K578" t="str">
            <v>1/15/2019</v>
          </cell>
          <cell r="L578" t="str">
            <v>1/15/2019</v>
          </cell>
        </row>
        <row r="579">
          <cell r="A579">
            <v>80558</v>
          </cell>
          <cell r="B579" t="str">
            <v>12/13/1999</v>
          </cell>
          <cell r="C579" t="str">
            <v>NSW-QLD</v>
          </cell>
          <cell r="D579" t="str">
            <v>Virtus Health</v>
          </cell>
          <cell r="E579" t="str">
            <v>Andrologist</v>
          </cell>
          <cell r="F579" t="str">
            <v>12/13/2021</v>
          </cell>
          <cell r="H579" t="str">
            <v>QS2024</v>
          </cell>
          <cell r="I579" t="str">
            <v>QLD</v>
          </cell>
          <cell r="J579" t="str">
            <v>Full Time</v>
          </cell>
          <cell r="K579" t="str">
            <v>12/13/2021</v>
          </cell>
          <cell r="L579" t="str">
            <v>12/13/2021</v>
          </cell>
        </row>
        <row r="580">
          <cell r="A580">
            <v>90001</v>
          </cell>
          <cell r="B580" t="str">
            <v>10/26/1992</v>
          </cell>
          <cell r="C580" t="str">
            <v>NSW-QLD</v>
          </cell>
          <cell r="D580" t="str">
            <v>Virtus Health</v>
          </cell>
          <cell r="E580" t="str">
            <v>Administration</v>
          </cell>
          <cell r="F580" t="str">
            <v>10/27/2014</v>
          </cell>
          <cell r="H580" t="str">
            <v>IVFS2023</v>
          </cell>
          <cell r="I580" t="str">
            <v>NSW</v>
          </cell>
          <cell r="J580" t="str">
            <v>Full Time</v>
          </cell>
          <cell r="K580" t="str">
            <v>10/27/2014</v>
          </cell>
          <cell r="L580" t="str">
            <v>10/27/2014</v>
          </cell>
        </row>
        <row r="581">
          <cell r="A581">
            <v>90019</v>
          </cell>
          <cell r="B581" t="str">
            <v>3/20/1989</v>
          </cell>
          <cell r="C581" t="str">
            <v>NSW-QLD</v>
          </cell>
          <cell r="D581" t="str">
            <v>Virtus Health</v>
          </cell>
          <cell r="E581" t="str">
            <v>Pathology Scientist</v>
          </cell>
          <cell r="F581" t="str">
            <v>3/21/2011</v>
          </cell>
          <cell r="H581" t="str">
            <v>IVFS2023</v>
          </cell>
          <cell r="I581" t="str">
            <v>NSW</v>
          </cell>
          <cell r="J581" t="str">
            <v>Full Time</v>
          </cell>
          <cell r="K581" t="str">
            <v>3/21/2011</v>
          </cell>
          <cell r="L581" t="str">
            <v>3/21/2011</v>
          </cell>
        </row>
        <row r="582">
          <cell r="A582">
            <v>90022</v>
          </cell>
          <cell r="B582">
            <v>33885</v>
          </cell>
          <cell r="C582" t="str">
            <v>NSW-QLD</v>
          </cell>
          <cell r="D582" t="str">
            <v>Virtus Health</v>
          </cell>
          <cell r="E582" t="str">
            <v>Administration</v>
          </cell>
          <cell r="F582">
            <v>41951</v>
          </cell>
          <cell r="H582" t="str">
            <v>IVFS2023</v>
          </cell>
          <cell r="I582" t="str">
            <v>NSW</v>
          </cell>
          <cell r="J582" t="str">
            <v>Full Time</v>
          </cell>
          <cell r="K582">
            <v>41951</v>
          </cell>
          <cell r="L582">
            <v>41951</v>
          </cell>
        </row>
        <row r="583">
          <cell r="A583">
            <v>90023</v>
          </cell>
          <cell r="B583" t="str">
            <v>6/18/1991</v>
          </cell>
          <cell r="C583" t="str">
            <v>NSW-QLD</v>
          </cell>
          <cell r="D583" t="str">
            <v>Virtus Health</v>
          </cell>
          <cell r="E583" t="str">
            <v>Courier</v>
          </cell>
          <cell r="F583" t="str">
            <v>6/18/2013</v>
          </cell>
          <cell r="H583" t="str">
            <v>IVFS2023</v>
          </cell>
          <cell r="I583" t="str">
            <v>NSW</v>
          </cell>
          <cell r="J583" t="str">
            <v>Casual</v>
          </cell>
          <cell r="K583" t="str">
            <v>6/18/2013</v>
          </cell>
          <cell r="L583" t="str">
            <v>6/18/2013</v>
          </cell>
        </row>
        <row r="584">
          <cell r="A584">
            <v>90032</v>
          </cell>
          <cell r="B584" t="str">
            <v>2/21/1984</v>
          </cell>
          <cell r="C584" t="str">
            <v>NSW-QLD</v>
          </cell>
          <cell r="D584" t="str">
            <v>Virtus Health</v>
          </cell>
          <cell r="E584" t="str">
            <v>National Pre-Analytics Manager</v>
          </cell>
          <cell r="F584" t="str">
            <v>2/21/2006</v>
          </cell>
          <cell r="H584" t="str">
            <v>NSW</v>
          </cell>
          <cell r="I584" t="str">
            <v>NSW</v>
          </cell>
          <cell r="J584" t="str">
            <v>Full Time</v>
          </cell>
          <cell r="K584" t="str">
            <v>2/21/2006</v>
          </cell>
          <cell r="L584" t="str">
            <v>2/21/2006</v>
          </cell>
        </row>
        <row r="585">
          <cell r="A585">
            <v>90040</v>
          </cell>
          <cell r="B585" t="str">
            <v>5/30/1994</v>
          </cell>
          <cell r="C585" t="str">
            <v>NSW-QLD</v>
          </cell>
          <cell r="D585" t="str">
            <v>Virtus Health</v>
          </cell>
          <cell r="E585" t="str">
            <v>Administration</v>
          </cell>
          <cell r="F585" t="str">
            <v>5/30/2016</v>
          </cell>
          <cell r="H585" t="str">
            <v>IVFS2023</v>
          </cell>
          <cell r="I585" t="str">
            <v>NSW</v>
          </cell>
          <cell r="J585" t="str">
            <v>Full Time</v>
          </cell>
          <cell r="K585" t="str">
            <v>5/30/2016</v>
          </cell>
          <cell r="L585" t="str">
            <v>5/30/2016</v>
          </cell>
        </row>
        <row r="586">
          <cell r="A586">
            <v>90056</v>
          </cell>
          <cell r="B586">
            <v>35007</v>
          </cell>
          <cell r="C586" t="str">
            <v>NSW-QLD</v>
          </cell>
          <cell r="D586" t="str">
            <v>Virtus Health</v>
          </cell>
          <cell r="E586" t="str">
            <v>Courier</v>
          </cell>
          <cell r="F586">
            <v>43043</v>
          </cell>
          <cell r="H586" t="str">
            <v>IVFS2023</v>
          </cell>
          <cell r="I586" t="str">
            <v>NSW</v>
          </cell>
          <cell r="J586" t="str">
            <v>Casual</v>
          </cell>
          <cell r="K586">
            <v>43043</v>
          </cell>
          <cell r="L586">
            <v>43043</v>
          </cell>
        </row>
        <row r="587">
          <cell r="A587">
            <v>90063</v>
          </cell>
          <cell r="B587" t="str">
            <v>7/14/1995</v>
          </cell>
          <cell r="C587" t="str">
            <v>NSW-QLD</v>
          </cell>
          <cell r="D587" t="str">
            <v>Virtus Health</v>
          </cell>
          <cell r="E587" t="str">
            <v>Pathology Scientist</v>
          </cell>
          <cell r="F587" t="str">
            <v>7/14/2017</v>
          </cell>
          <cell r="H587" t="str">
            <v>IVFS2023</v>
          </cell>
          <cell r="I587" t="str">
            <v>NSW</v>
          </cell>
          <cell r="J587" t="str">
            <v>Full Time</v>
          </cell>
          <cell r="K587" t="str">
            <v>7/14/2017</v>
          </cell>
          <cell r="L587" t="str">
            <v>7/14/2017</v>
          </cell>
        </row>
        <row r="588">
          <cell r="A588">
            <v>90073</v>
          </cell>
          <cell r="B588">
            <v>35189</v>
          </cell>
          <cell r="C588" t="str">
            <v>NSW-QLD</v>
          </cell>
          <cell r="D588" t="str">
            <v>Virtus Health</v>
          </cell>
          <cell r="E588" t="str">
            <v>Courier</v>
          </cell>
          <cell r="F588">
            <v>43255</v>
          </cell>
          <cell r="H588" t="str">
            <v>IVFS2023</v>
          </cell>
          <cell r="I588" t="str">
            <v>NSW</v>
          </cell>
          <cell r="J588" t="str">
            <v>Casual</v>
          </cell>
          <cell r="K588">
            <v>43255</v>
          </cell>
          <cell r="L588">
            <v>43255</v>
          </cell>
        </row>
        <row r="589">
          <cell r="A589">
            <v>90081</v>
          </cell>
          <cell r="B589" t="str">
            <v>7/18/1996</v>
          </cell>
          <cell r="C589" t="str">
            <v>NSW-QLD</v>
          </cell>
          <cell r="D589" t="str">
            <v>Virtus Health</v>
          </cell>
          <cell r="E589" t="str">
            <v>Courier</v>
          </cell>
          <cell r="F589" t="str">
            <v>7/19/2018</v>
          </cell>
          <cell r="H589" t="str">
            <v>IVFS2023</v>
          </cell>
          <cell r="I589" t="str">
            <v>NSW</v>
          </cell>
          <cell r="J589" t="str">
            <v>Casual</v>
          </cell>
          <cell r="K589" t="str">
            <v>7/19/2018</v>
          </cell>
          <cell r="L589" t="str">
            <v>7/19/2018</v>
          </cell>
        </row>
        <row r="590">
          <cell r="A590">
            <v>90094</v>
          </cell>
          <cell r="B590">
            <v>35465</v>
          </cell>
          <cell r="C590" t="str">
            <v>NSW-QLD</v>
          </cell>
          <cell r="D590" t="str">
            <v>Virtus Health</v>
          </cell>
          <cell r="E590" t="str">
            <v>Courier</v>
          </cell>
          <cell r="F590">
            <v>43528</v>
          </cell>
          <cell r="H590" t="str">
            <v>IVFS2023</v>
          </cell>
          <cell r="I590" t="str">
            <v>NSW</v>
          </cell>
          <cell r="J590" t="str">
            <v>Part Time</v>
          </cell>
          <cell r="K590">
            <v>43528</v>
          </cell>
          <cell r="L590">
            <v>43528</v>
          </cell>
        </row>
        <row r="591">
          <cell r="A591">
            <v>90095</v>
          </cell>
          <cell r="B591">
            <v>35524</v>
          </cell>
          <cell r="C591" t="str">
            <v>NSW-QLD</v>
          </cell>
          <cell r="D591" t="str">
            <v>Virtus Health</v>
          </cell>
          <cell r="E591" t="str">
            <v>Courier</v>
          </cell>
          <cell r="F591">
            <v>43589</v>
          </cell>
          <cell r="H591" t="str">
            <v>IVFS2023</v>
          </cell>
          <cell r="I591" t="str">
            <v>NSW</v>
          </cell>
          <cell r="J591" t="str">
            <v>Casual</v>
          </cell>
          <cell r="K591">
            <v>43589</v>
          </cell>
          <cell r="L591">
            <v>43589</v>
          </cell>
        </row>
        <row r="592">
          <cell r="A592">
            <v>90098</v>
          </cell>
          <cell r="B592" t="str">
            <v>5/28/1997</v>
          </cell>
          <cell r="C592" t="str">
            <v>NSW-QLD</v>
          </cell>
          <cell r="D592" t="str">
            <v>Virtus Health</v>
          </cell>
          <cell r="E592" t="str">
            <v>Courier</v>
          </cell>
          <cell r="F592" t="str">
            <v>5/29/2019</v>
          </cell>
          <cell r="H592" t="str">
            <v>IVFS2023</v>
          </cell>
          <cell r="I592" t="str">
            <v>NSW</v>
          </cell>
          <cell r="J592" t="str">
            <v>Casual</v>
          </cell>
          <cell r="K592" t="str">
            <v>5/29/2019</v>
          </cell>
          <cell r="L592" t="str">
            <v>5/29/2019</v>
          </cell>
        </row>
        <row r="593">
          <cell r="A593">
            <v>90105</v>
          </cell>
          <cell r="B593" t="str">
            <v>9/22/1997</v>
          </cell>
          <cell r="C593" t="str">
            <v>NSW-QLD</v>
          </cell>
          <cell r="D593" t="str">
            <v>Virtus Health</v>
          </cell>
          <cell r="E593" t="str">
            <v>Courier</v>
          </cell>
          <cell r="F593" t="str">
            <v>9/23/2019</v>
          </cell>
          <cell r="H593" t="str">
            <v>IVFS2023</v>
          </cell>
          <cell r="I593" t="str">
            <v>NSW</v>
          </cell>
          <cell r="J593" t="str">
            <v>Casual</v>
          </cell>
          <cell r="K593" t="str">
            <v>9/23/2019</v>
          </cell>
          <cell r="L593" t="str">
            <v>9/23/2019</v>
          </cell>
        </row>
        <row r="594">
          <cell r="A594">
            <v>90106</v>
          </cell>
          <cell r="B594">
            <v>35500</v>
          </cell>
          <cell r="C594" t="str">
            <v>NSW-QLD</v>
          </cell>
          <cell r="D594" t="str">
            <v>Virtus Health</v>
          </cell>
          <cell r="E594" t="str">
            <v>Administration</v>
          </cell>
          <cell r="F594">
            <v>43566</v>
          </cell>
          <cell r="H594" t="str">
            <v>IVFS2023</v>
          </cell>
          <cell r="I594" t="str">
            <v>NSW</v>
          </cell>
          <cell r="J594" t="str">
            <v>Full Time</v>
          </cell>
          <cell r="K594">
            <v>43566</v>
          </cell>
          <cell r="L594">
            <v>43566</v>
          </cell>
        </row>
        <row r="595">
          <cell r="A595">
            <v>90107</v>
          </cell>
          <cell r="B595" t="str">
            <v>10/27/1997</v>
          </cell>
          <cell r="C595" t="str">
            <v>NSW-QLD</v>
          </cell>
          <cell r="D595" t="str">
            <v>Virtus Health</v>
          </cell>
          <cell r="E595" t="str">
            <v>Courier</v>
          </cell>
          <cell r="F595" t="str">
            <v>10/28/2019</v>
          </cell>
          <cell r="H595" t="str">
            <v>IVFS2023</v>
          </cell>
          <cell r="I595" t="str">
            <v>NSW</v>
          </cell>
          <cell r="J595" t="str">
            <v>Casual</v>
          </cell>
          <cell r="K595" t="str">
            <v>10/28/2019</v>
          </cell>
          <cell r="L595" t="str">
            <v>10/28/2019</v>
          </cell>
        </row>
        <row r="596">
          <cell r="A596">
            <v>90133</v>
          </cell>
          <cell r="B596">
            <v>35988</v>
          </cell>
          <cell r="C596" t="str">
            <v>NSW-QLD</v>
          </cell>
          <cell r="D596" t="str">
            <v>Virtus Health</v>
          </cell>
          <cell r="E596" t="str">
            <v>Phlebotomist</v>
          </cell>
          <cell r="F596">
            <v>44024</v>
          </cell>
          <cell r="H596" t="str">
            <v>IVFS2023</v>
          </cell>
          <cell r="I596" t="str">
            <v>NSW</v>
          </cell>
          <cell r="J596" t="str">
            <v>Full Time</v>
          </cell>
          <cell r="K596">
            <v>44024</v>
          </cell>
          <cell r="L596">
            <v>44024</v>
          </cell>
        </row>
        <row r="597">
          <cell r="A597">
            <v>90139</v>
          </cell>
          <cell r="B597">
            <v>36320</v>
          </cell>
          <cell r="C597" t="str">
            <v>NSW-QLD</v>
          </cell>
          <cell r="D597" t="str">
            <v>Virtus Health</v>
          </cell>
          <cell r="E597" t="str">
            <v>Assistant Accountant</v>
          </cell>
          <cell r="F597">
            <v>44356</v>
          </cell>
          <cell r="H597" t="str">
            <v>NSW</v>
          </cell>
          <cell r="I597" t="str">
            <v>NSW</v>
          </cell>
          <cell r="J597" t="str">
            <v>Full Time</v>
          </cell>
          <cell r="K597">
            <v>44356</v>
          </cell>
          <cell r="L597">
            <v>44356</v>
          </cell>
        </row>
        <row r="598">
          <cell r="A598">
            <v>90145</v>
          </cell>
          <cell r="B598">
            <v>27040</v>
          </cell>
          <cell r="C598" t="str">
            <v>NSW-QLD</v>
          </cell>
          <cell r="D598" t="str">
            <v>Virtus Health</v>
          </cell>
          <cell r="E598" t="str">
            <v>Supervising Scientist</v>
          </cell>
          <cell r="F598">
            <v>35075</v>
          </cell>
          <cell r="H598" t="str">
            <v>IVFS2023</v>
          </cell>
          <cell r="I598" t="str">
            <v>NSW</v>
          </cell>
          <cell r="J598" t="str">
            <v>Part Time</v>
          </cell>
          <cell r="K598">
            <v>35075</v>
          </cell>
          <cell r="L598">
            <v>35075</v>
          </cell>
        </row>
        <row r="599">
          <cell r="A599">
            <v>91008</v>
          </cell>
          <cell r="B599" t="str">
            <v>4/25/1997</v>
          </cell>
          <cell r="C599" t="str">
            <v>NSW-QLD</v>
          </cell>
          <cell r="D599" t="str">
            <v>Virtus Health</v>
          </cell>
          <cell r="E599" t="str">
            <v>Medical Laboratory Director - Pathology</v>
          </cell>
          <cell r="F599" t="str">
            <v>4/26/2019</v>
          </cell>
          <cell r="H599" t="str">
            <v>NSW</v>
          </cell>
          <cell r="I599" t="str">
            <v>NSW</v>
          </cell>
          <cell r="J599" t="str">
            <v>Full Time</v>
          </cell>
          <cell r="K599" t="str">
            <v>4/26/2019</v>
          </cell>
          <cell r="L599" t="str">
            <v>4/26/2019</v>
          </cell>
        </row>
        <row r="600">
          <cell r="A600">
            <v>91009</v>
          </cell>
          <cell r="B600" t="str">
            <v>2/25/1998</v>
          </cell>
          <cell r="C600" t="str">
            <v>NSW-QLD</v>
          </cell>
          <cell r="D600" t="str">
            <v>Virtus Health</v>
          </cell>
          <cell r="E600" t="str">
            <v>Genetics Scientist</v>
          </cell>
          <cell r="F600" t="str">
            <v>2/26/2020</v>
          </cell>
          <cell r="H600" t="str">
            <v>IVFS2023</v>
          </cell>
          <cell r="I600" t="str">
            <v>NSW</v>
          </cell>
          <cell r="J600" t="str">
            <v>Full Time</v>
          </cell>
          <cell r="K600" t="str">
            <v>2/26/2020</v>
          </cell>
          <cell r="L600" t="str">
            <v>2/26/2020</v>
          </cell>
        </row>
        <row r="601">
          <cell r="A601">
            <v>100016</v>
          </cell>
          <cell r="B601" t="str">
            <v>10/24/1989</v>
          </cell>
          <cell r="C601" t="str">
            <v>NSW-QLD</v>
          </cell>
          <cell r="D601" t="str">
            <v>Virtus Health</v>
          </cell>
          <cell r="E601" t="str">
            <v>Administration</v>
          </cell>
          <cell r="F601" t="str">
            <v>10/25/2011</v>
          </cell>
          <cell r="H601" t="str">
            <v>IVFS2023</v>
          </cell>
          <cell r="I601" t="str">
            <v>ACT</v>
          </cell>
          <cell r="J601" t="str">
            <v>Full Time</v>
          </cell>
          <cell r="K601" t="str">
            <v>10/25/2011</v>
          </cell>
          <cell r="L601" t="str">
            <v>10/25/2011</v>
          </cell>
        </row>
        <row r="602">
          <cell r="A602">
            <v>100018</v>
          </cell>
          <cell r="B602">
            <v>32671</v>
          </cell>
          <cell r="C602" t="str">
            <v>NSW-QLD</v>
          </cell>
          <cell r="D602" t="str">
            <v>Virtus Health</v>
          </cell>
          <cell r="E602" t="str">
            <v>CIinic Manager</v>
          </cell>
          <cell r="F602">
            <v>40736</v>
          </cell>
          <cell r="H602" t="str">
            <v>ACT</v>
          </cell>
          <cell r="I602" t="str">
            <v>ACT</v>
          </cell>
          <cell r="J602" t="str">
            <v>Full Time</v>
          </cell>
          <cell r="K602">
            <v>40736</v>
          </cell>
          <cell r="L602">
            <v>40736</v>
          </cell>
        </row>
        <row r="603">
          <cell r="A603">
            <v>100029</v>
          </cell>
          <cell r="B603" t="str">
            <v>5/14/1996</v>
          </cell>
          <cell r="C603" t="str">
            <v>NSW-QLD</v>
          </cell>
          <cell r="D603" t="str">
            <v>Virtus Health</v>
          </cell>
          <cell r="E603" t="str">
            <v>Counsellor</v>
          </cell>
          <cell r="F603" t="str">
            <v>5/15/2018</v>
          </cell>
          <cell r="H603" t="str">
            <v>IVFC2022</v>
          </cell>
          <cell r="I603" t="str">
            <v>ACT</v>
          </cell>
          <cell r="J603" t="str">
            <v>Part Time</v>
          </cell>
          <cell r="K603" t="str">
            <v>5/15/2018</v>
          </cell>
          <cell r="L603" t="str">
            <v>5/15/2018</v>
          </cell>
        </row>
        <row r="604">
          <cell r="A604">
            <v>100036</v>
          </cell>
          <cell r="B604" t="str">
            <v>9/14/1998</v>
          </cell>
          <cell r="C604" t="str">
            <v>NSW-QLD</v>
          </cell>
          <cell r="D604" t="str">
            <v>Virtus Health</v>
          </cell>
          <cell r="E604" t="str">
            <v>Administration</v>
          </cell>
          <cell r="F604" t="str">
            <v>9/14/2020</v>
          </cell>
          <cell r="H604" t="str">
            <v>IVFS2023</v>
          </cell>
          <cell r="I604" t="str">
            <v>WA</v>
          </cell>
          <cell r="J604" t="str">
            <v>Full Time</v>
          </cell>
          <cell r="K604" t="str">
            <v>9/14/2020</v>
          </cell>
          <cell r="L604" t="str">
            <v>9/14/2020</v>
          </cell>
        </row>
        <row r="605">
          <cell r="A605">
            <v>100038</v>
          </cell>
          <cell r="B605" t="str">
            <v>10/21/1998</v>
          </cell>
          <cell r="C605" t="str">
            <v>NSW-QLD</v>
          </cell>
          <cell r="D605" t="str">
            <v>Virtus Health</v>
          </cell>
          <cell r="E605" t="str">
            <v>Administration</v>
          </cell>
          <cell r="F605" t="str">
            <v>10/21/2020</v>
          </cell>
          <cell r="H605" t="str">
            <v>IVFS2023</v>
          </cell>
          <cell r="I605" t="str">
            <v>ACT</v>
          </cell>
          <cell r="J605" t="str">
            <v>Casual</v>
          </cell>
          <cell r="K605" t="str">
            <v>10/21/2020</v>
          </cell>
          <cell r="L605" t="str">
            <v>10/21/2020</v>
          </cell>
        </row>
        <row r="606">
          <cell r="A606">
            <v>100043</v>
          </cell>
          <cell r="B606" t="str">
            <v>5/27/1999</v>
          </cell>
          <cell r="C606" t="str">
            <v>NSW-QLD</v>
          </cell>
          <cell r="D606" t="str">
            <v>Virtus Health</v>
          </cell>
          <cell r="E606" t="str">
            <v>Clinical Nurse Specialist</v>
          </cell>
          <cell r="F606" t="str">
            <v>5/27/2021</v>
          </cell>
          <cell r="H606" t="str">
            <v>IVFN2021</v>
          </cell>
          <cell r="I606" t="str">
            <v>NSW</v>
          </cell>
          <cell r="J606" t="str">
            <v>Part Time</v>
          </cell>
          <cell r="K606" t="str">
            <v>5/27/2021</v>
          </cell>
          <cell r="L606" t="str">
            <v>5/27/2021</v>
          </cell>
        </row>
        <row r="607">
          <cell r="A607" t="str">
            <v>AU21005</v>
          </cell>
          <cell r="B607" t="str">
            <v>7/31/1972</v>
          </cell>
          <cell r="C607" t="str">
            <v>VIC-TAS</v>
          </cell>
          <cell r="D607" t="str">
            <v>Virtus Health</v>
          </cell>
          <cell r="E607" t="str">
            <v>Embryologist</v>
          </cell>
          <cell r="F607">
            <v>34342</v>
          </cell>
          <cell r="H607" t="str">
            <v>MIVFS2022</v>
          </cell>
          <cell r="I607" t="str">
            <v>VIC</v>
          </cell>
          <cell r="J607" t="str">
            <v>Full Time</v>
          </cell>
          <cell r="K607">
            <v>34342</v>
          </cell>
          <cell r="L607">
            <v>34342</v>
          </cell>
        </row>
        <row r="608">
          <cell r="A608" t="str">
            <v>AU21019</v>
          </cell>
          <cell r="B608" t="str">
            <v>1/22/1979</v>
          </cell>
          <cell r="C608" t="str">
            <v>VIC-TAS</v>
          </cell>
          <cell r="D608" t="str">
            <v>Virtus Health</v>
          </cell>
          <cell r="E608" t="str">
            <v>Associate Nurse Unit Manager</v>
          </cell>
          <cell r="F608" t="str">
            <v>1/22/2001</v>
          </cell>
          <cell r="H608" t="str">
            <v>MIVFN2023</v>
          </cell>
          <cell r="I608" t="str">
            <v>VIC</v>
          </cell>
          <cell r="J608" t="str">
            <v>Part Time</v>
          </cell>
          <cell r="K608" t="str">
            <v>1/22/2001</v>
          </cell>
          <cell r="L608" t="str">
            <v>1/22/2001</v>
          </cell>
        </row>
        <row r="609">
          <cell r="A609" t="str">
            <v>AU21025</v>
          </cell>
          <cell r="B609">
            <v>28865</v>
          </cell>
          <cell r="C609" t="str">
            <v>VIC-TAS</v>
          </cell>
          <cell r="D609" t="str">
            <v>Virtus Health</v>
          </cell>
          <cell r="E609" t="str">
            <v>Accounts Payable Administrator</v>
          </cell>
          <cell r="F609">
            <v>36901</v>
          </cell>
          <cell r="H609" t="str">
            <v>MIVFS2022</v>
          </cell>
          <cell r="I609" t="str">
            <v>VIC</v>
          </cell>
          <cell r="J609" t="str">
            <v>Full Time</v>
          </cell>
          <cell r="K609">
            <v>36901</v>
          </cell>
          <cell r="L609">
            <v>36901</v>
          </cell>
        </row>
        <row r="610">
          <cell r="A610" t="str">
            <v>AU21026</v>
          </cell>
          <cell r="B610" t="str">
            <v>10/22/1979</v>
          </cell>
          <cell r="C610" t="str">
            <v>VIC-TAS</v>
          </cell>
          <cell r="D610" t="str">
            <v>Virtus Health</v>
          </cell>
          <cell r="E610" t="str">
            <v>Embryologist</v>
          </cell>
          <cell r="F610" t="str">
            <v>10/22/2001</v>
          </cell>
          <cell r="H610" t="str">
            <v>MIVFS2022</v>
          </cell>
          <cell r="I610" t="str">
            <v>VIC</v>
          </cell>
          <cell r="J610" t="str">
            <v>Part Time</v>
          </cell>
          <cell r="K610" t="str">
            <v>10/22/2001</v>
          </cell>
          <cell r="L610" t="str">
            <v>10/22/2001</v>
          </cell>
        </row>
        <row r="611">
          <cell r="A611" t="str">
            <v>AU21031</v>
          </cell>
          <cell r="B611" t="str">
            <v>2/18/1980</v>
          </cell>
          <cell r="C611" t="str">
            <v>VIC-TAS</v>
          </cell>
          <cell r="D611" t="str">
            <v>Virtus Health</v>
          </cell>
          <cell r="E611" t="str">
            <v>Genetic Laboratory Manager</v>
          </cell>
          <cell r="F611" t="str">
            <v>2/18/2002</v>
          </cell>
          <cell r="H611" t="str">
            <v>MIVFS2022</v>
          </cell>
          <cell r="I611" t="str">
            <v>VIC</v>
          </cell>
          <cell r="J611" t="str">
            <v>Full Time</v>
          </cell>
          <cell r="K611" t="str">
            <v>2/18/2002</v>
          </cell>
          <cell r="L611" t="str">
            <v>2/18/2002</v>
          </cell>
        </row>
        <row r="612">
          <cell r="A612" t="str">
            <v>AU21033</v>
          </cell>
          <cell r="B612" t="str">
            <v>4/23/1980</v>
          </cell>
          <cell r="C612" t="str">
            <v>VIC-TAS</v>
          </cell>
          <cell r="D612" t="str">
            <v>Virtus Health</v>
          </cell>
          <cell r="E612" t="str">
            <v>Embryologist</v>
          </cell>
          <cell r="F612" t="str">
            <v>4/24/2002</v>
          </cell>
          <cell r="H612" t="str">
            <v>MIVFS2022</v>
          </cell>
          <cell r="I612" t="str">
            <v>VIC</v>
          </cell>
          <cell r="J612" t="str">
            <v>Part Time</v>
          </cell>
          <cell r="K612" t="str">
            <v>4/24/2002</v>
          </cell>
          <cell r="L612" t="str">
            <v>4/24/2002</v>
          </cell>
        </row>
        <row r="613">
          <cell r="A613" t="str">
            <v>AU21035</v>
          </cell>
          <cell r="B613">
            <v>29346</v>
          </cell>
          <cell r="C613" t="str">
            <v>VIC-TAS</v>
          </cell>
          <cell r="D613" t="str">
            <v>Virtus Health</v>
          </cell>
          <cell r="E613" t="str">
            <v>Head of Department</v>
          </cell>
          <cell r="F613">
            <v>37412</v>
          </cell>
          <cell r="H613" t="str">
            <v>MIVFS2022</v>
          </cell>
          <cell r="I613" t="str">
            <v>VIC</v>
          </cell>
          <cell r="J613" t="str">
            <v>Full Time</v>
          </cell>
          <cell r="K613">
            <v>37412</v>
          </cell>
          <cell r="L613">
            <v>37412</v>
          </cell>
        </row>
        <row r="614">
          <cell r="A614" t="str">
            <v>AU22487</v>
          </cell>
          <cell r="B614" t="str">
            <v>6/26/2000</v>
          </cell>
          <cell r="C614" t="str">
            <v>NSW-QLD</v>
          </cell>
          <cell r="D614" t="str">
            <v>Virtus Health</v>
          </cell>
          <cell r="E614" t="str">
            <v>Nurse Unit Manager</v>
          </cell>
          <cell r="F614" t="str">
            <v>6/27/2022</v>
          </cell>
          <cell r="H614" t="str">
            <v>IVFN2021</v>
          </cell>
          <cell r="I614" t="str">
            <v>NSW</v>
          </cell>
          <cell r="J614" t="str">
            <v>Full Time</v>
          </cell>
          <cell r="K614" t="str">
            <v>6/27/2022</v>
          </cell>
          <cell r="L614" t="str">
            <v>6/27/2022</v>
          </cell>
        </row>
        <row r="615">
          <cell r="A615" t="str">
            <v>AU22490</v>
          </cell>
          <cell r="B615" t="str">
            <v>7/31/2000</v>
          </cell>
          <cell r="C615" t="str">
            <v>NSW-QLD</v>
          </cell>
          <cell r="D615" t="str">
            <v>Virtus Health</v>
          </cell>
          <cell r="E615" t="str">
            <v>Administration Clerk</v>
          </cell>
          <cell r="F615">
            <v>44569</v>
          </cell>
          <cell r="H615" t="str">
            <v>IVFS2023</v>
          </cell>
          <cell r="I615" t="str">
            <v>NSW</v>
          </cell>
          <cell r="J615" t="str">
            <v>Casual</v>
          </cell>
          <cell r="K615">
            <v>44569</v>
          </cell>
          <cell r="L615">
            <v>44569</v>
          </cell>
        </row>
        <row r="616">
          <cell r="A616" t="str">
            <v>AU22495</v>
          </cell>
          <cell r="B616">
            <v>36684</v>
          </cell>
          <cell r="C616" t="str">
            <v>NSW-QLD</v>
          </cell>
          <cell r="D616" t="str">
            <v>Virtus Health</v>
          </cell>
          <cell r="E616" t="str">
            <v>Group Financial Reporting Manager</v>
          </cell>
          <cell r="F616">
            <v>44749</v>
          </cell>
          <cell r="H616" t="str">
            <v>NSW</v>
          </cell>
          <cell r="I616" t="str">
            <v>NSW</v>
          </cell>
          <cell r="J616" t="str">
            <v>Full Time</v>
          </cell>
          <cell r="K616">
            <v>44749</v>
          </cell>
          <cell r="L616">
            <v>44749</v>
          </cell>
        </row>
        <row r="617">
          <cell r="A617" t="str">
            <v>AU22496</v>
          </cell>
          <cell r="B617">
            <v>36592</v>
          </cell>
          <cell r="C617" t="str">
            <v>NSW-QLD</v>
          </cell>
          <cell r="D617" t="str">
            <v>Virtus Health</v>
          </cell>
          <cell r="E617" t="str">
            <v>Counsellor</v>
          </cell>
          <cell r="F617">
            <v>44658</v>
          </cell>
          <cell r="H617" t="str">
            <v>IVFC2022</v>
          </cell>
          <cell r="I617" t="str">
            <v>NSW</v>
          </cell>
          <cell r="J617" t="str">
            <v>Part Time</v>
          </cell>
          <cell r="K617">
            <v>44658</v>
          </cell>
          <cell r="L617">
            <v>44658</v>
          </cell>
        </row>
        <row r="618">
          <cell r="A618" t="str">
            <v>AU22498</v>
          </cell>
          <cell r="B618" t="str">
            <v>6/26/2000</v>
          </cell>
          <cell r="C618" t="str">
            <v>NSW-QLD</v>
          </cell>
          <cell r="D618" t="str">
            <v>Virtus Health</v>
          </cell>
          <cell r="E618" t="str">
            <v>Registered Nurse</v>
          </cell>
          <cell r="F618" t="str">
            <v>6/27/2022</v>
          </cell>
          <cell r="H618" t="str">
            <v>IVFN2021</v>
          </cell>
          <cell r="I618" t="str">
            <v>NSW</v>
          </cell>
          <cell r="J618" t="str">
            <v>Full Time</v>
          </cell>
          <cell r="K618" t="str">
            <v>6/27/2022</v>
          </cell>
          <cell r="L618" t="str">
            <v>6/27/2022</v>
          </cell>
        </row>
        <row r="619">
          <cell r="A619" t="str">
            <v>AU22502</v>
          </cell>
          <cell r="B619" t="str">
            <v>6/19/2000</v>
          </cell>
          <cell r="C619" t="str">
            <v>VIC-TAS</v>
          </cell>
          <cell r="D619" t="str">
            <v>Virtus Health</v>
          </cell>
          <cell r="E619" t="str">
            <v>Medical Secretary</v>
          </cell>
          <cell r="F619" t="str">
            <v>6/20/2022</v>
          </cell>
          <cell r="H619" t="str">
            <v>MIVFS2022</v>
          </cell>
          <cell r="I619" t="str">
            <v>VIC</v>
          </cell>
          <cell r="J619" t="str">
            <v>Full Time</v>
          </cell>
          <cell r="K619" t="str">
            <v>6/20/2022</v>
          </cell>
          <cell r="L619" t="str">
            <v>6/20/2022</v>
          </cell>
        </row>
        <row r="620">
          <cell r="A620" t="str">
            <v>AU22503</v>
          </cell>
          <cell r="B620">
            <v>36806</v>
          </cell>
          <cell r="C620" t="str">
            <v>NSW-QLD</v>
          </cell>
          <cell r="D620" t="str">
            <v>Virtus Health</v>
          </cell>
          <cell r="E620" t="str">
            <v>Counsellor</v>
          </cell>
          <cell r="F620">
            <v>44872</v>
          </cell>
          <cell r="H620" t="str">
            <v>IVFC2022</v>
          </cell>
          <cell r="I620" t="str">
            <v>NSW</v>
          </cell>
          <cell r="J620" t="str">
            <v>Part Time</v>
          </cell>
          <cell r="K620">
            <v>44872</v>
          </cell>
          <cell r="L620">
            <v>44872</v>
          </cell>
        </row>
        <row r="621">
          <cell r="A621" t="str">
            <v>AU22505</v>
          </cell>
          <cell r="B621">
            <v>36715</v>
          </cell>
          <cell r="C621" t="str">
            <v>VIC-TAS</v>
          </cell>
          <cell r="D621" t="str">
            <v>Virtus Health</v>
          </cell>
          <cell r="E621" t="str">
            <v>Embryology Team Leader</v>
          </cell>
          <cell r="F621">
            <v>44781</v>
          </cell>
          <cell r="H621" t="str">
            <v>MIVFS2022</v>
          </cell>
          <cell r="I621" t="str">
            <v>VIC</v>
          </cell>
          <cell r="J621" t="str">
            <v>Full Time</v>
          </cell>
          <cell r="K621">
            <v>44781</v>
          </cell>
          <cell r="L621">
            <v>44781</v>
          </cell>
        </row>
        <row r="622">
          <cell r="A622" t="str">
            <v>AU22515</v>
          </cell>
          <cell r="B622">
            <v>36806</v>
          </cell>
          <cell r="C622" t="str">
            <v>NSW-QLD</v>
          </cell>
          <cell r="D622" t="str">
            <v>Virtus Health</v>
          </cell>
          <cell r="E622" t="str">
            <v>Medical Director - QFG</v>
          </cell>
          <cell r="F622">
            <v>44872</v>
          </cell>
          <cell r="H622" t="str">
            <v>QLD</v>
          </cell>
          <cell r="I622" t="str">
            <v>QLD</v>
          </cell>
          <cell r="J622" t="str">
            <v>Part Time</v>
          </cell>
          <cell r="K622">
            <v>44872</v>
          </cell>
          <cell r="L622">
            <v>44872</v>
          </cell>
        </row>
        <row r="623">
          <cell r="A623" t="str">
            <v>AU22518</v>
          </cell>
          <cell r="B623" t="str">
            <v>7/26/2000</v>
          </cell>
          <cell r="C623" t="str">
            <v>VIC-TAS</v>
          </cell>
          <cell r="D623" t="str">
            <v>Virtus Health</v>
          </cell>
          <cell r="E623" t="str">
            <v>Registered Nurse</v>
          </cell>
          <cell r="F623" t="str">
            <v>7/27/2022</v>
          </cell>
          <cell r="H623" t="str">
            <v>MIVFN2023</v>
          </cell>
          <cell r="I623" t="str">
            <v>VIC</v>
          </cell>
          <cell r="J623" t="str">
            <v>Full Time</v>
          </cell>
          <cell r="K623" t="str">
            <v>7/27/2022</v>
          </cell>
          <cell r="L623" t="str">
            <v>7/27/2022</v>
          </cell>
        </row>
        <row r="624">
          <cell r="A624" t="str">
            <v>AU22520</v>
          </cell>
          <cell r="B624" t="str">
            <v>7/31/2000</v>
          </cell>
          <cell r="C624" t="str">
            <v>NSW-QLD</v>
          </cell>
          <cell r="D624" t="str">
            <v>Virtus Health</v>
          </cell>
          <cell r="E624" t="str">
            <v>Administration Clerk</v>
          </cell>
          <cell r="F624">
            <v>44569</v>
          </cell>
          <cell r="H624" t="str">
            <v>IVFS2023</v>
          </cell>
          <cell r="I624" t="str">
            <v>NSW</v>
          </cell>
          <cell r="J624" t="str">
            <v>Part Time</v>
          </cell>
          <cell r="K624">
            <v>44569</v>
          </cell>
          <cell r="L624">
            <v>44569</v>
          </cell>
        </row>
        <row r="625">
          <cell r="A625" t="str">
            <v>AU22521</v>
          </cell>
          <cell r="B625" t="str">
            <v>7/24/2000</v>
          </cell>
          <cell r="C625" t="str">
            <v>VIC-TAS</v>
          </cell>
          <cell r="D625" t="str">
            <v>Virtus Health</v>
          </cell>
          <cell r="E625" t="str">
            <v>Clinical Nurse Specialist</v>
          </cell>
          <cell r="F625" t="str">
            <v>7/25/2022</v>
          </cell>
          <cell r="H625" t="str">
            <v>MIVFN2023</v>
          </cell>
          <cell r="I625" t="str">
            <v>VIC</v>
          </cell>
          <cell r="J625" t="str">
            <v>Part Time</v>
          </cell>
          <cell r="K625" t="str">
            <v>7/25/2022</v>
          </cell>
          <cell r="L625" t="str">
            <v>7/25/2022</v>
          </cell>
        </row>
        <row r="626">
          <cell r="A626" t="str">
            <v>AU22529</v>
          </cell>
          <cell r="B626">
            <v>36715</v>
          </cell>
          <cell r="C626" t="str">
            <v>NSW-QLD</v>
          </cell>
          <cell r="D626" t="str">
            <v>Virtus Health</v>
          </cell>
          <cell r="E626" t="str">
            <v>System Administrator</v>
          </cell>
          <cell r="F626">
            <v>44781</v>
          </cell>
          <cell r="H626" t="str">
            <v>VIC</v>
          </cell>
          <cell r="I626" t="str">
            <v>VIC</v>
          </cell>
          <cell r="J626" t="str">
            <v>Full Time</v>
          </cell>
          <cell r="K626">
            <v>44781</v>
          </cell>
          <cell r="L626">
            <v>44781</v>
          </cell>
        </row>
        <row r="627">
          <cell r="A627" t="str">
            <v>AU22531</v>
          </cell>
          <cell r="B627" t="str">
            <v>8/14/2000</v>
          </cell>
          <cell r="C627" t="str">
            <v>NSW-QLD</v>
          </cell>
          <cell r="D627" t="str">
            <v>Virtus Health</v>
          </cell>
          <cell r="E627" t="str">
            <v>Embryologist</v>
          </cell>
          <cell r="F627" t="str">
            <v>8/15/2022</v>
          </cell>
          <cell r="H627" t="str">
            <v>IVFT2024</v>
          </cell>
          <cell r="I627" t="str">
            <v>NSW</v>
          </cell>
          <cell r="J627" t="str">
            <v>Part Time</v>
          </cell>
          <cell r="K627" t="str">
            <v>8/15/2022</v>
          </cell>
          <cell r="L627" t="str">
            <v>8/15/2022</v>
          </cell>
        </row>
        <row r="628">
          <cell r="A628" t="str">
            <v>AU22538</v>
          </cell>
          <cell r="B628" t="str">
            <v>8/14/2000</v>
          </cell>
          <cell r="C628" t="str">
            <v>NSW-QLD</v>
          </cell>
          <cell r="D628" t="str">
            <v>Virtus Health</v>
          </cell>
          <cell r="E628" t="str">
            <v>State Busniness Development &amp; Growth Manager - QLD</v>
          </cell>
          <cell r="F628" t="str">
            <v>8/15/2022</v>
          </cell>
          <cell r="H628" t="str">
            <v>QLD</v>
          </cell>
          <cell r="I628" t="str">
            <v>QLD</v>
          </cell>
          <cell r="J628" t="str">
            <v>Full Time</v>
          </cell>
          <cell r="K628" t="str">
            <v>8/15/2022</v>
          </cell>
          <cell r="L628" t="str">
            <v>8/15/2022</v>
          </cell>
        </row>
        <row r="629">
          <cell r="A629" t="str">
            <v>AU22541</v>
          </cell>
          <cell r="B629" t="str">
            <v>8/29/2000</v>
          </cell>
          <cell r="C629" t="str">
            <v>NSW-QLD</v>
          </cell>
          <cell r="D629" t="str">
            <v>Virtus Health</v>
          </cell>
          <cell r="E629" t="str">
            <v>Associate Nurse Unit Manager</v>
          </cell>
          <cell r="F629" t="str">
            <v>8/30/2022</v>
          </cell>
          <cell r="H629" t="str">
            <v>IVFN2021</v>
          </cell>
          <cell r="I629" t="str">
            <v>NSW</v>
          </cell>
          <cell r="J629" t="str">
            <v>Part Time</v>
          </cell>
          <cell r="K629" t="str">
            <v>8/30/2022</v>
          </cell>
          <cell r="L629" t="str">
            <v>8/30/2022</v>
          </cell>
        </row>
        <row r="630">
          <cell r="A630" t="str">
            <v>AU22543</v>
          </cell>
          <cell r="B630" t="str">
            <v>8/14/2000</v>
          </cell>
          <cell r="C630" t="str">
            <v>NSW-QLD</v>
          </cell>
          <cell r="D630" t="str">
            <v>Virtus Health</v>
          </cell>
          <cell r="E630" t="str">
            <v>Customer Call Operator</v>
          </cell>
          <cell r="F630" t="str">
            <v>8/15/2022</v>
          </cell>
          <cell r="H630" t="str">
            <v>IVFS2023</v>
          </cell>
          <cell r="I630" t="str">
            <v>NSW</v>
          </cell>
          <cell r="J630" t="str">
            <v>Casual</v>
          </cell>
          <cell r="K630" t="str">
            <v>8/15/2022</v>
          </cell>
          <cell r="L630" t="str">
            <v>8/15/2022</v>
          </cell>
        </row>
        <row r="631">
          <cell r="A631" t="str">
            <v>AU22544</v>
          </cell>
          <cell r="B631" t="str">
            <v>8/28/2000</v>
          </cell>
          <cell r="C631" t="str">
            <v>NSW-QLD</v>
          </cell>
          <cell r="D631" t="str">
            <v>Virtus Health</v>
          </cell>
          <cell r="E631" t="str">
            <v>Genetic Scientist</v>
          </cell>
          <cell r="F631" t="str">
            <v>8/29/2022</v>
          </cell>
          <cell r="H631" t="str">
            <v>QS2024</v>
          </cell>
          <cell r="I631" t="str">
            <v>QLD</v>
          </cell>
          <cell r="J631" t="str">
            <v>Full Time</v>
          </cell>
          <cell r="K631" t="str">
            <v>8/29/2022</v>
          </cell>
          <cell r="L631" t="str">
            <v>8/29/2022</v>
          </cell>
        </row>
        <row r="632">
          <cell r="A632" t="str">
            <v>AU22546</v>
          </cell>
          <cell r="B632">
            <v>36625</v>
          </cell>
          <cell r="C632" t="str">
            <v>VIC-TAS</v>
          </cell>
          <cell r="D632" t="str">
            <v>Virtus Health</v>
          </cell>
          <cell r="E632" t="str">
            <v>Embryologist</v>
          </cell>
          <cell r="F632">
            <v>44690</v>
          </cell>
          <cell r="H632" t="str">
            <v>MIVFS2022</v>
          </cell>
          <cell r="I632" t="str">
            <v>VIC</v>
          </cell>
          <cell r="J632" t="str">
            <v>Part Time</v>
          </cell>
          <cell r="K632">
            <v>44690</v>
          </cell>
          <cell r="L632">
            <v>44690</v>
          </cell>
        </row>
        <row r="633">
          <cell r="A633" t="str">
            <v>AU22547</v>
          </cell>
          <cell r="B633" t="str">
            <v>7/31/2000</v>
          </cell>
          <cell r="C633" t="str">
            <v>NSW-QLD</v>
          </cell>
          <cell r="D633" t="str">
            <v>Virtus Health</v>
          </cell>
          <cell r="E633" t="str">
            <v>Embryologist</v>
          </cell>
          <cell r="F633">
            <v>44569</v>
          </cell>
          <cell r="H633" t="str">
            <v>QS2024</v>
          </cell>
          <cell r="I633" t="str">
            <v>QLD</v>
          </cell>
          <cell r="J633" t="str">
            <v>Part Time</v>
          </cell>
          <cell r="K633">
            <v>44569</v>
          </cell>
          <cell r="L633">
            <v>44569</v>
          </cell>
        </row>
        <row r="634">
          <cell r="A634" t="str">
            <v>AU22550</v>
          </cell>
          <cell r="B634" t="str">
            <v>8/15/2000</v>
          </cell>
          <cell r="C634" t="str">
            <v>NSW-QLD</v>
          </cell>
          <cell r="D634" t="str">
            <v>Virtus Health</v>
          </cell>
          <cell r="E634" t="str">
            <v>Theatre Orderly</v>
          </cell>
          <cell r="F634" t="str">
            <v>8/16/2022</v>
          </cell>
          <cell r="H634" t="str">
            <v>IVFS2023</v>
          </cell>
          <cell r="I634" t="str">
            <v>NSW</v>
          </cell>
          <cell r="J634" t="str">
            <v>Full Time</v>
          </cell>
          <cell r="K634" t="str">
            <v>8/16/2022</v>
          </cell>
          <cell r="L634" t="str">
            <v>8/16/2022</v>
          </cell>
        </row>
        <row r="635">
          <cell r="A635" t="str">
            <v>AU22552</v>
          </cell>
          <cell r="B635">
            <v>36715</v>
          </cell>
          <cell r="C635" t="str">
            <v>NSW-QLD</v>
          </cell>
          <cell r="D635" t="str">
            <v>Virtus Health</v>
          </cell>
          <cell r="E635" t="str">
            <v>Registered Nurse</v>
          </cell>
          <cell r="F635">
            <v>44781</v>
          </cell>
          <cell r="H635" t="str">
            <v>IVFN2021</v>
          </cell>
          <cell r="I635" t="str">
            <v>NSW</v>
          </cell>
          <cell r="J635" t="str">
            <v>Casual</v>
          </cell>
          <cell r="K635">
            <v>44781</v>
          </cell>
          <cell r="L635">
            <v>44781</v>
          </cell>
        </row>
        <row r="636">
          <cell r="A636" t="str">
            <v>AU22556</v>
          </cell>
          <cell r="B636" t="str">
            <v>9/24/1998</v>
          </cell>
          <cell r="C636" t="str">
            <v>NSW-QLD</v>
          </cell>
          <cell r="D636" t="str">
            <v>Virtus Health</v>
          </cell>
          <cell r="E636" t="str">
            <v>Phlebotomist</v>
          </cell>
          <cell r="F636" t="str">
            <v>9/24/2020</v>
          </cell>
          <cell r="H636" t="str">
            <v>IVFS2023</v>
          </cell>
          <cell r="I636" t="str">
            <v>NSW</v>
          </cell>
          <cell r="J636" t="str">
            <v>Casual</v>
          </cell>
          <cell r="K636" t="str">
            <v>9/24/2020</v>
          </cell>
          <cell r="L636" t="str">
            <v>9/24/2020</v>
          </cell>
        </row>
        <row r="637">
          <cell r="A637" t="str">
            <v>AU22560</v>
          </cell>
          <cell r="B637" t="str">
            <v>9/13/2000</v>
          </cell>
          <cell r="C637" t="str">
            <v>NSW-QLD</v>
          </cell>
          <cell r="D637" t="str">
            <v>Virtus Health</v>
          </cell>
          <cell r="E637" t="str">
            <v>Genetic Scientist</v>
          </cell>
          <cell r="F637" t="str">
            <v>9/14/2022</v>
          </cell>
          <cell r="H637" t="str">
            <v>QS2024</v>
          </cell>
          <cell r="I637" t="str">
            <v>QLD</v>
          </cell>
          <cell r="J637" t="str">
            <v>Full Time</v>
          </cell>
          <cell r="K637" t="str">
            <v>9/14/2022</v>
          </cell>
          <cell r="L637" t="str">
            <v>9/14/2022</v>
          </cell>
        </row>
        <row r="638">
          <cell r="A638" t="str">
            <v>AU22562</v>
          </cell>
          <cell r="B638">
            <v>36565</v>
          </cell>
          <cell r="C638" t="str">
            <v>NSW-QLD</v>
          </cell>
          <cell r="D638" t="str">
            <v>Virtus Health</v>
          </cell>
          <cell r="E638" t="str">
            <v>Enrolled Nurse</v>
          </cell>
          <cell r="F638">
            <v>44629</v>
          </cell>
          <cell r="H638" t="str">
            <v>IVFN2021</v>
          </cell>
          <cell r="I638" t="str">
            <v>NSW</v>
          </cell>
          <cell r="J638" t="str">
            <v>Casual</v>
          </cell>
          <cell r="K638">
            <v>44629</v>
          </cell>
          <cell r="L638">
            <v>44629</v>
          </cell>
        </row>
        <row r="639">
          <cell r="A639" t="str">
            <v>AU22565</v>
          </cell>
          <cell r="B639" t="str">
            <v>8/21/2000</v>
          </cell>
          <cell r="C639" t="str">
            <v>NSW-QLD</v>
          </cell>
          <cell r="D639" t="str">
            <v>Virtus Health</v>
          </cell>
          <cell r="E639" t="str">
            <v>Registered Nurse</v>
          </cell>
          <cell r="F639" t="str">
            <v>8/22/2022</v>
          </cell>
          <cell r="H639" t="str">
            <v>IVFN2021</v>
          </cell>
          <cell r="I639" t="str">
            <v>NSW</v>
          </cell>
          <cell r="J639" t="str">
            <v>Casual</v>
          </cell>
          <cell r="K639" t="str">
            <v>8/22/2022</v>
          </cell>
          <cell r="L639" t="str">
            <v>8/22/2022</v>
          </cell>
        </row>
        <row r="640">
          <cell r="A640" t="str">
            <v>AU22568</v>
          </cell>
          <cell r="B640">
            <v>36625</v>
          </cell>
          <cell r="C640" t="str">
            <v>VIC-TAS</v>
          </cell>
          <cell r="D640" t="str">
            <v>Virtus Health</v>
          </cell>
          <cell r="E640" t="str">
            <v>Nursing Administrator</v>
          </cell>
          <cell r="F640">
            <v>44690</v>
          </cell>
          <cell r="H640" t="str">
            <v>MIVFS2022</v>
          </cell>
          <cell r="I640" t="str">
            <v>VIC</v>
          </cell>
          <cell r="J640" t="str">
            <v>Full Time</v>
          </cell>
          <cell r="K640">
            <v>44690</v>
          </cell>
          <cell r="L640">
            <v>44690</v>
          </cell>
        </row>
        <row r="641">
          <cell r="A641" t="str">
            <v>AU22579</v>
          </cell>
          <cell r="B641" t="str">
            <v>9/25/2000</v>
          </cell>
          <cell r="C641" t="str">
            <v>NSW-QLD</v>
          </cell>
          <cell r="D641" t="str">
            <v>Virtus Health</v>
          </cell>
          <cell r="E641" t="str">
            <v>Medical Secretary</v>
          </cell>
          <cell r="F641" t="str">
            <v>9/26/2022</v>
          </cell>
          <cell r="H641" t="str">
            <v>IVFS2023</v>
          </cell>
          <cell r="I641" t="str">
            <v>NSW</v>
          </cell>
          <cell r="J641" t="str">
            <v>Full Time</v>
          </cell>
          <cell r="K641" t="str">
            <v>9/26/2022</v>
          </cell>
          <cell r="L641" t="str">
            <v>9/26/2022</v>
          </cell>
        </row>
        <row r="642">
          <cell r="A642" t="str">
            <v>AU22581</v>
          </cell>
          <cell r="B642">
            <v>36566</v>
          </cell>
          <cell r="C642" t="str">
            <v>NSW-QLD</v>
          </cell>
          <cell r="D642" t="str">
            <v>Virtus Health</v>
          </cell>
          <cell r="E642" t="str">
            <v>Genetic Laboratory Technician</v>
          </cell>
          <cell r="F642">
            <v>44630</v>
          </cell>
          <cell r="H642" t="str">
            <v>QS2024</v>
          </cell>
          <cell r="I642" t="str">
            <v>QLD</v>
          </cell>
          <cell r="J642" t="str">
            <v>Full Time</v>
          </cell>
          <cell r="K642">
            <v>44630</v>
          </cell>
          <cell r="L642">
            <v>44630</v>
          </cell>
        </row>
        <row r="643">
          <cell r="A643" t="str">
            <v>AU22586</v>
          </cell>
          <cell r="B643">
            <v>36779</v>
          </cell>
          <cell r="C643" t="str">
            <v>VIC-TAS</v>
          </cell>
          <cell r="D643" t="str">
            <v>Virtus Health</v>
          </cell>
          <cell r="E643" t="str">
            <v>Accounts Receivable Administrator</v>
          </cell>
          <cell r="F643">
            <v>44844</v>
          </cell>
          <cell r="H643" t="str">
            <v>MIVFS2022</v>
          </cell>
          <cell r="I643" t="str">
            <v>VIC</v>
          </cell>
          <cell r="J643" t="str">
            <v>Full Time</v>
          </cell>
          <cell r="K643">
            <v>44844</v>
          </cell>
          <cell r="L643">
            <v>44844</v>
          </cell>
        </row>
        <row r="644">
          <cell r="A644" t="str">
            <v>AU22588</v>
          </cell>
          <cell r="B644" t="str">
            <v>11/27/2000</v>
          </cell>
          <cell r="C644" t="str">
            <v>VIC-TAS</v>
          </cell>
          <cell r="D644" t="str">
            <v>Virtus Health</v>
          </cell>
          <cell r="E644" t="str">
            <v>Donor Nurse</v>
          </cell>
          <cell r="F644" t="str">
            <v>11/28/2022</v>
          </cell>
          <cell r="H644" t="str">
            <v>MIVFN2023</v>
          </cell>
          <cell r="I644" t="str">
            <v>VIC</v>
          </cell>
          <cell r="J644" t="str">
            <v>Part Time</v>
          </cell>
          <cell r="K644" t="str">
            <v>11/28/2022</v>
          </cell>
          <cell r="L644" t="str">
            <v>11/28/2022</v>
          </cell>
        </row>
        <row r="645">
          <cell r="A645" t="str">
            <v>AU22590</v>
          </cell>
          <cell r="B645">
            <v>36566</v>
          </cell>
          <cell r="C645" t="str">
            <v>VIC-TAS</v>
          </cell>
          <cell r="D645" t="str">
            <v>Virtus Health</v>
          </cell>
          <cell r="E645" t="str">
            <v>Registered Nurse</v>
          </cell>
          <cell r="F645">
            <v>44630</v>
          </cell>
          <cell r="H645" t="str">
            <v>MIVFN2023</v>
          </cell>
          <cell r="I645" t="str">
            <v>VIC</v>
          </cell>
          <cell r="J645" t="str">
            <v>Full Time</v>
          </cell>
          <cell r="K645">
            <v>44630</v>
          </cell>
          <cell r="L645">
            <v>44630</v>
          </cell>
        </row>
        <row r="646">
          <cell r="A646" t="str">
            <v>AU22597</v>
          </cell>
          <cell r="B646">
            <v>36566</v>
          </cell>
          <cell r="C646" t="str">
            <v>VIC-TAS</v>
          </cell>
          <cell r="D646" t="str">
            <v>Virtus Health</v>
          </cell>
          <cell r="E646" t="str">
            <v>Receptionist</v>
          </cell>
          <cell r="F646">
            <v>44630</v>
          </cell>
          <cell r="H646" t="str">
            <v>MIVFS2022</v>
          </cell>
          <cell r="I646" t="str">
            <v>VIC</v>
          </cell>
          <cell r="J646" t="str">
            <v>Full Time</v>
          </cell>
          <cell r="K646">
            <v>44630</v>
          </cell>
          <cell r="L646">
            <v>44630</v>
          </cell>
        </row>
        <row r="647">
          <cell r="A647" t="str">
            <v>AU22601</v>
          </cell>
          <cell r="B647" t="str">
            <v>10/16/2000</v>
          </cell>
          <cell r="C647" t="str">
            <v>NSW-QLD</v>
          </cell>
          <cell r="D647" t="str">
            <v>Virtus Health</v>
          </cell>
          <cell r="E647" t="str">
            <v>Genetic Scientist</v>
          </cell>
          <cell r="F647" t="str">
            <v>10/17/2022</v>
          </cell>
          <cell r="H647" t="str">
            <v>QS2024</v>
          </cell>
          <cell r="I647" t="str">
            <v>QLD</v>
          </cell>
          <cell r="J647" t="str">
            <v>Full Time</v>
          </cell>
          <cell r="K647" t="str">
            <v>10/17/2022</v>
          </cell>
          <cell r="L647" t="str">
            <v>10/17/2022</v>
          </cell>
        </row>
        <row r="648">
          <cell r="A648" t="str">
            <v>AU22603</v>
          </cell>
          <cell r="B648">
            <v>36779</v>
          </cell>
          <cell r="C648" t="str">
            <v>NSW-QLD</v>
          </cell>
          <cell r="D648" t="str">
            <v>Virtus Health</v>
          </cell>
          <cell r="E648" t="str">
            <v>Embryologist</v>
          </cell>
          <cell r="F648">
            <v>44844</v>
          </cell>
          <cell r="H648" t="str">
            <v>IVFT2024</v>
          </cell>
          <cell r="I648" t="str">
            <v>NSW</v>
          </cell>
          <cell r="J648" t="str">
            <v>Full Time</v>
          </cell>
          <cell r="K648">
            <v>44844</v>
          </cell>
          <cell r="L648">
            <v>44844</v>
          </cell>
        </row>
        <row r="649">
          <cell r="A649" t="str">
            <v>AU22610</v>
          </cell>
          <cell r="B649">
            <v>36194</v>
          </cell>
          <cell r="C649" t="str">
            <v>NSW-QLD</v>
          </cell>
          <cell r="D649" t="str">
            <v>Virtus Health</v>
          </cell>
          <cell r="E649" t="str">
            <v>CSSD Tech</v>
          </cell>
          <cell r="F649">
            <v>44230</v>
          </cell>
          <cell r="H649" t="str">
            <v>IVFS2023</v>
          </cell>
          <cell r="I649" t="str">
            <v>NSW</v>
          </cell>
          <cell r="J649" t="str">
            <v>Full Time</v>
          </cell>
          <cell r="K649">
            <v>44230</v>
          </cell>
          <cell r="L649">
            <v>44230</v>
          </cell>
        </row>
        <row r="650">
          <cell r="A650" t="str">
            <v>AU22613</v>
          </cell>
          <cell r="B650" t="str">
            <v>11/27/2000</v>
          </cell>
          <cell r="C650" t="str">
            <v>NSW-QLD</v>
          </cell>
          <cell r="D650" t="str">
            <v>Virtus Health</v>
          </cell>
          <cell r="E650" t="str">
            <v>Genetic Scientist</v>
          </cell>
          <cell r="F650" t="str">
            <v>11/28/2022</v>
          </cell>
          <cell r="H650" t="str">
            <v>QS2024</v>
          </cell>
          <cell r="I650" t="str">
            <v>QLD</v>
          </cell>
          <cell r="J650" t="str">
            <v>Full Time</v>
          </cell>
          <cell r="K650" t="str">
            <v>11/28/2022</v>
          </cell>
          <cell r="L650" t="str">
            <v>11/28/2022</v>
          </cell>
        </row>
        <row r="651">
          <cell r="A651" t="str">
            <v>AU22615</v>
          </cell>
          <cell r="B651" t="str">
            <v>10/31/2000</v>
          </cell>
          <cell r="C651" t="str">
            <v>NSW-QLD</v>
          </cell>
          <cell r="D651" t="str">
            <v>Virtus Health</v>
          </cell>
          <cell r="E651" t="str">
            <v>Managing Director QFG and Virtus Diagnostics</v>
          </cell>
          <cell r="F651">
            <v>44572</v>
          </cell>
          <cell r="H651" t="str">
            <v>QLD</v>
          </cell>
          <cell r="I651" t="str">
            <v>QLD</v>
          </cell>
          <cell r="J651" t="str">
            <v>Full Time</v>
          </cell>
          <cell r="K651">
            <v>44572</v>
          </cell>
          <cell r="L651">
            <v>44572</v>
          </cell>
        </row>
        <row r="652">
          <cell r="A652" t="str">
            <v>AU22618</v>
          </cell>
          <cell r="B652">
            <v>36688</v>
          </cell>
          <cell r="C652" t="str">
            <v>NSW-QLD</v>
          </cell>
          <cell r="D652" t="str">
            <v>Virtus Health</v>
          </cell>
          <cell r="E652" t="str">
            <v>Accounts Receivable - Diagnostics</v>
          </cell>
          <cell r="F652">
            <v>44753</v>
          </cell>
          <cell r="H652" t="str">
            <v>IVFS2023</v>
          </cell>
          <cell r="I652" t="str">
            <v>QLD</v>
          </cell>
          <cell r="J652" t="str">
            <v>Full Time</v>
          </cell>
          <cell r="K652">
            <v>44753</v>
          </cell>
          <cell r="L652">
            <v>44753</v>
          </cell>
        </row>
        <row r="653">
          <cell r="A653" t="str">
            <v>AU22619</v>
          </cell>
          <cell r="B653" t="str">
            <v>10/30/2000</v>
          </cell>
          <cell r="C653" t="str">
            <v>NSW-QLD</v>
          </cell>
          <cell r="D653" t="str">
            <v>Virtus Health</v>
          </cell>
          <cell r="E653" t="str">
            <v>Clinical Nurse Specialist</v>
          </cell>
          <cell r="F653" t="str">
            <v>10/31/2022</v>
          </cell>
          <cell r="H653" t="str">
            <v>IVFN2021</v>
          </cell>
          <cell r="I653" t="str">
            <v>NSW</v>
          </cell>
          <cell r="J653" t="str">
            <v>Full Time</v>
          </cell>
          <cell r="K653" t="str">
            <v>10/31/2022</v>
          </cell>
          <cell r="L653" t="str">
            <v>10/31/2022</v>
          </cell>
        </row>
        <row r="654">
          <cell r="A654" t="str">
            <v>AU22621</v>
          </cell>
          <cell r="B654">
            <v>36688</v>
          </cell>
          <cell r="C654" t="str">
            <v>NSW-QLD</v>
          </cell>
          <cell r="D654" t="str">
            <v>Virtus Health</v>
          </cell>
          <cell r="E654" t="str">
            <v>Clinical Nurse Specialist</v>
          </cell>
          <cell r="F654">
            <v>44753</v>
          </cell>
          <cell r="H654" t="str">
            <v>IVFN2021</v>
          </cell>
          <cell r="I654" t="str">
            <v>NSW</v>
          </cell>
          <cell r="J654" t="str">
            <v>Full Time</v>
          </cell>
          <cell r="K654">
            <v>44753</v>
          </cell>
          <cell r="L654">
            <v>44753</v>
          </cell>
        </row>
        <row r="655">
          <cell r="A655" t="str">
            <v>AU22624</v>
          </cell>
          <cell r="B655" t="str">
            <v>10/30/2000</v>
          </cell>
          <cell r="C655" t="str">
            <v>NSW-QLD</v>
          </cell>
          <cell r="D655" t="str">
            <v>Virtus Health</v>
          </cell>
          <cell r="E655" t="str">
            <v>Registered Nurse</v>
          </cell>
          <cell r="F655" t="str">
            <v>10/31/2022</v>
          </cell>
          <cell r="H655" t="str">
            <v>QN2025</v>
          </cell>
          <cell r="I655" t="str">
            <v>QLD</v>
          </cell>
          <cell r="J655" t="str">
            <v>Full Time</v>
          </cell>
          <cell r="K655" t="str">
            <v>10/31/2022</v>
          </cell>
          <cell r="L655" t="str">
            <v>10/31/2022</v>
          </cell>
        </row>
        <row r="656">
          <cell r="A656" t="str">
            <v>AU22625</v>
          </cell>
          <cell r="B656" t="str">
            <v>10/30/2000</v>
          </cell>
          <cell r="C656" t="str">
            <v>NSW-QLD</v>
          </cell>
          <cell r="D656" t="str">
            <v>Virtus Health</v>
          </cell>
          <cell r="E656" t="str">
            <v>Phlebotomist</v>
          </cell>
          <cell r="F656" t="str">
            <v>10/31/2022</v>
          </cell>
          <cell r="H656" t="str">
            <v>IVFS2023</v>
          </cell>
          <cell r="I656" t="str">
            <v>QLD</v>
          </cell>
          <cell r="J656" t="str">
            <v>Casual</v>
          </cell>
          <cell r="K656" t="str">
            <v>10/31/2022</v>
          </cell>
          <cell r="L656" t="str">
            <v>10/31/2022</v>
          </cell>
        </row>
        <row r="657">
          <cell r="A657" t="str">
            <v>AU22626</v>
          </cell>
          <cell r="B657" t="str">
            <v>10/31/2000</v>
          </cell>
          <cell r="C657" t="str">
            <v>NSW-QLD</v>
          </cell>
          <cell r="D657" t="str">
            <v>Virtus Health</v>
          </cell>
          <cell r="E657" t="str">
            <v>Medical Secretary</v>
          </cell>
          <cell r="F657">
            <v>44572</v>
          </cell>
          <cell r="H657" t="str">
            <v>IVFS2023</v>
          </cell>
          <cell r="I657" t="str">
            <v>NSW</v>
          </cell>
          <cell r="J657" t="str">
            <v>Part Time</v>
          </cell>
          <cell r="K657">
            <v>44572</v>
          </cell>
          <cell r="L657">
            <v>44572</v>
          </cell>
        </row>
        <row r="658">
          <cell r="A658" t="str">
            <v>AU22629</v>
          </cell>
          <cell r="B658" t="str">
            <v>9/16/2000</v>
          </cell>
          <cell r="C658" t="str">
            <v>VIC-TAS</v>
          </cell>
          <cell r="D658" t="str">
            <v>Virtus Health</v>
          </cell>
          <cell r="E658" t="str">
            <v>Enrolled Nurse</v>
          </cell>
          <cell r="F658" t="str">
            <v>9/17/2022</v>
          </cell>
          <cell r="H658" t="str">
            <v>MIVFN2023</v>
          </cell>
          <cell r="I658" t="str">
            <v>VIC</v>
          </cell>
          <cell r="J658" t="str">
            <v>Casual</v>
          </cell>
          <cell r="K658" t="str">
            <v>9/17/2022</v>
          </cell>
          <cell r="L658" t="str">
            <v>9/17/2022</v>
          </cell>
        </row>
        <row r="659">
          <cell r="A659" t="str">
            <v>AU22633</v>
          </cell>
          <cell r="B659" t="str">
            <v>11/13/2000</v>
          </cell>
          <cell r="C659" t="str">
            <v>VIC-TAS</v>
          </cell>
          <cell r="D659" t="str">
            <v>Virtus Health</v>
          </cell>
          <cell r="E659" t="str">
            <v>Clinical Nurse Specialist</v>
          </cell>
          <cell r="F659" t="str">
            <v>11/14/2022</v>
          </cell>
          <cell r="H659" t="str">
            <v>MIVFN2023</v>
          </cell>
          <cell r="I659" t="str">
            <v>VIC</v>
          </cell>
          <cell r="J659" t="str">
            <v>Full Time</v>
          </cell>
          <cell r="K659" t="str">
            <v>11/14/2022</v>
          </cell>
          <cell r="L659" t="str">
            <v>11/14/2022</v>
          </cell>
        </row>
        <row r="660">
          <cell r="A660" t="str">
            <v>AU22634</v>
          </cell>
          <cell r="B660">
            <v>36688</v>
          </cell>
          <cell r="C660" t="str">
            <v>NSW-QLD</v>
          </cell>
          <cell r="D660" t="str">
            <v>Virtus Health</v>
          </cell>
          <cell r="E660" t="str">
            <v>Registered Nurse</v>
          </cell>
          <cell r="F660">
            <v>44753</v>
          </cell>
          <cell r="H660" t="str">
            <v>IVFN2021</v>
          </cell>
          <cell r="I660" t="str">
            <v>NSW</v>
          </cell>
          <cell r="J660" t="str">
            <v>Full Time</v>
          </cell>
          <cell r="K660">
            <v>44753</v>
          </cell>
          <cell r="L660">
            <v>44753</v>
          </cell>
        </row>
        <row r="661">
          <cell r="A661" t="str">
            <v>AU22635</v>
          </cell>
          <cell r="B661">
            <v>36688</v>
          </cell>
          <cell r="C661" t="str">
            <v>VIC-TAS</v>
          </cell>
          <cell r="D661" t="str">
            <v>Virtus Health</v>
          </cell>
          <cell r="E661" t="str">
            <v>New Patient Care Consultant</v>
          </cell>
          <cell r="F661">
            <v>44753</v>
          </cell>
          <cell r="H661" t="str">
            <v>MIVFS2022</v>
          </cell>
          <cell r="I661" t="str">
            <v>VIC</v>
          </cell>
          <cell r="J661" t="str">
            <v>Part Time</v>
          </cell>
          <cell r="K661">
            <v>44753</v>
          </cell>
          <cell r="L661">
            <v>44753</v>
          </cell>
        </row>
        <row r="662">
          <cell r="A662" t="str">
            <v>AU22637</v>
          </cell>
          <cell r="B662" t="str">
            <v>10/26/2000</v>
          </cell>
          <cell r="C662" t="str">
            <v>NSW-QLD</v>
          </cell>
          <cell r="D662" t="str">
            <v>Virtus Health</v>
          </cell>
          <cell r="E662" t="str">
            <v>Phlebotomist</v>
          </cell>
          <cell r="F662" t="str">
            <v>10/27/2022</v>
          </cell>
          <cell r="H662" t="str">
            <v>IVFS2023</v>
          </cell>
          <cell r="I662" t="str">
            <v>QLD</v>
          </cell>
          <cell r="J662" t="str">
            <v>Casual</v>
          </cell>
          <cell r="K662" t="str">
            <v>10/27/2022</v>
          </cell>
          <cell r="L662" t="str">
            <v>10/27/2022</v>
          </cell>
        </row>
        <row r="663">
          <cell r="A663" t="str">
            <v>AU22641</v>
          </cell>
          <cell r="B663" t="str">
            <v>11/24/2000</v>
          </cell>
          <cell r="C663" t="str">
            <v>VIC-TAS</v>
          </cell>
          <cell r="D663" t="str">
            <v>Virtus Health</v>
          </cell>
          <cell r="E663" t="str">
            <v>Registered Nurse</v>
          </cell>
          <cell r="F663" t="str">
            <v>11/25/2022</v>
          </cell>
          <cell r="H663" t="str">
            <v>TIVF2024</v>
          </cell>
          <cell r="I663" t="str">
            <v>TAS</v>
          </cell>
          <cell r="J663" t="str">
            <v>Casual</v>
          </cell>
          <cell r="K663" t="str">
            <v>11/25/2022</v>
          </cell>
          <cell r="L663" t="str">
            <v>11/25/2022</v>
          </cell>
        </row>
        <row r="664">
          <cell r="A664" t="str">
            <v>AU22644</v>
          </cell>
          <cell r="B664">
            <v>36780</v>
          </cell>
          <cell r="C664" t="str">
            <v>NSW-QLD</v>
          </cell>
          <cell r="D664" t="str">
            <v>Virtus Health</v>
          </cell>
          <cell r="E664" t="str">
            <v>Administration</v>
          </cell>
          <cell r="F664">
            <v>44845</v>
          </cell>
          <cell r="H664" t="str">
            <v>IVFS2023</v>
          </cell>
          <cell r="I664" t="str">
            <v>QLD</v>
          </cell>
          <cell r="J664" t="str">
            <v>Casual</v>
          </cell>
          <cell r="K664">
            <v>44845</v>
          </cell>
          <cell r="L664">
            <v>44845</v>
          </cell>
        </row>
        <row r="665">
          <cell r="A665" t="str">
            <v>AU22645</v>
          </cell>
          <cell r="B665" t="str">
            <v>11/13/2000</v>
          </cell>
          <cell r="C665" t="str">
            <v>NSW-QLD</v>
          </cell>
          <cell r="D665" t="str">
            <v>Virtus Health</v>
          </cell>
          <cell r="E665" t="str">
            <v>Embryologist</v>
          </cell>
          <cell r="F665" t="str">
            <v>11/14/2022</v>
          </cell>
          <cell r="H665" t="str">
            <v>IVFT2024</v>
          </cell>
          <cell r="I665" t="str">
            <v>ACT</v>
          </cell>
          <cell r="J665" t="str">
            <v>Full Time</v>
          </cell>
          <cell r="K665" t="str">
            <v>11/14/2022</v>
          </cell>
          <cell r="L665" t="str">
            <v>11/14/2022</v>
          </cell>
        </row>
        <row r="666">
          <cell r="A666" t="str">
            <v>AU22646</v>
          </cell>
          <cell r="B666" t="str">
            <v>11/20/2000</v>
          </cell>
          <cell r="C666" t="str">
            <v>NSW-QLD</v>
          </cell>
          <cell r="D666" t="str">
            <v>Virtus Health</v>
          </cell>
          <cell r="E666" t="str">
            <v>Registered Nurse</v>
          </cell>
          <cell r="F666" t="str">
            <v>11/21/2022</v>
          </cell>
          <cell r="H666" t="str">
            <v>IVFN2021</v>
          </cell>
          <cell r="I666" t="str">
            <v>NSW</v>
          </cell>
          <cell r="J666" t="str">
            <v>Full Time</v>
          </cell>
          <cell r="K666" t="str">
            <v>11/21/2022</v>
          </cell>
          <cell r="L666" t="str">
            <v>11/21/2022</v>
          </cell>
        </row>
        <row r="667">
          <cell r="A667" t="str">
            <v>AU22647</v>
          </cell>
          <cell r="B667" t="str">
            <v>11/13/2000</v>
          </cell>
          <cell r="C667" t="str">
            <v>VIC-TAS</v>
          </cell>
          <cell r="D667" t="str">
            <v>Virtus Health</v>
          </cell>
          <cell r="E667" t="str">
            <v>Registered Nurse</v>
          </cell>
          <cell r="F667" t="str">
            <v>11/14/2022</v>
          </cell>
          <cell r="H667" t="str">
            <v>MIVFN2023</v>
          </cell>
          <cell r="I667" t="str">
            <v>VIC</v>
          </cell>
          <cell r="J667" t="str">
            <v>Part Time</v>
          </cell>
          <cell r="K667" t="str">
            <v>11/14/2022</v>
          </cell>
          <cell r="L667" t="str">
            <v>11/14/2022</v>
          </cell>
        </row>
        <row r="668">
          <cell r="A668" t="str">
            <v>AU22650</v>
          </cell>
          <cell r="B668" t="str">
            <v>11/15/2000</v>
          </cell>
          <cell r="C668" t="str">
            <v>NSW-QLD</v>
          </cell>
          <cell r="D668" t="str">
            <v>Virtus Health</v>
          </cell>
          <cell r="E668" t="str">
            <v>Senior People &amp; Culture Business Partner</v>
          </cell>
          <cell r="F668" t="str">
            <v>11/16/2022</v>
          </cell>
          <cell r="H668" t="str">
            <v>VIC</v>
          </cell>
          <cell r="I668" t="str">
            <v>VIC</v>
          </cell>
          <cell r="J668" t="str">
            <v>Full Time</v>
          </cell>
          <cell r="K668" t="str">
            <v>11/16/2022</v>
          </cell>
          <cell r="L668" t="str">
            <v>11/16/2022</v>
          </cell>
        </row>
        <row r="669">
          <cell r="A669" t="str">
            <v>AU22651</v>
          </cell>
          <cell r="B669">
            <v>36810</v>
          </cell>
          <cell r="C669" t="str">
            <v>NSW-QLD</v>
          </cell>
          <cell r="D669" t="str">
            <v>Virtus Health</v>
          </cell>
          <cell r="E669" t="str">
            <v>Laboratory Support Assistant</v>
          </cell>
          <cell r="F669">
            <v>44876</v>
          </cell>
          <cell r="H669" t="str">
            <v>IVFT2024</v>
          </cell>
          <cell r="I669" t="str">
            <v>NSW</v>
          </cell>
          <cell r="J669" t="str">
            <v>Casual</v>
          </cell>
          <cell r="K669">
            <v>44876</v>
          </cell>
          <cell r="L669">
            <v>44876</v>
          </cell>
        </row>
        <row r="670">
          <cell r="A670" t="str">
            <v>AU22653</v>
          </cell>
          <cell r="B670">
            <v>36749</v>
          </cell>
          <cell r="C670" t="str">
            <v>NSW-QLD</v>
          </cell>
          <cell r="D670" t="str">
            <v>Virtus Health</v>
          </cell>
          <cell r="E670" t="str">
            <v>Registered Nurse</v>
          </cell>
          <cell r="F670">
            <v>44815</v>
          </cell>
          <cell r="H670" t="str">
            <v>IVFN2021</v>
          </cell>
          <cell r="I670" t="str">
            <v>NSW</v>
          </cell>
          <cell r="J670" t="str">
            <v>Full Time</v>
          </cell>
          <cell r="K670">
            <v>44815</v>
          </cell>
          <cell r="L670">
            <v>44815</v>
          </cell>
        </row>
        <row r="671">
          <cell r="A671" t="str">
            <v>AU22655</v>
          </cell>
          <cell r="B671">
            <v>33307</v>
          </cell>
          <cell r="C671" t="str">
            <v>VIC-TAS</v>
          </cell>
          <cell r="D671" t="str">
            <v>Virtus Health</v>
          </cell>
          <cell r="E671" t="str">
            <v>Pathology Scientist</v>
          </cell>
          <cell r="F671">
            <v>41343</v>
          </cell>
          <cell r="H671" t="str">
            <v>MIVFS2022</v>
          </cell>
          <cell r="I671" t="str">
            <v>VIC</v>
          </cell>
          <cell r="J671" t="str">
            <v>Part Time</v>
          </cell>
          <cell r="K671">
            <v>41343</v>
          </cell>
          <cell r="L671">
            <v>41343</v>
          </cell>
        </row>
        <row r="672">
          <cell r="A672" t="str">
            <v>AU22656</v>
          </cell>
          <cell r="B672" t="str">
            <v>11/20/2000</v>
          </cell>
          <cell r="C672" t="str">
            <v>NSW-QLD</v>
          </cell>
          <cell r="D672" t="str">
            <v>Virtus Health</v>
          </cell>
          <cell r="E672" t="str">
            <v>Registered Nurse</v>
          </cell>
          <cell r="F672" t="str">
            <v>11/21/2022</v>
          </cell>
          <cell r="H672" t="str">
            <v>IVFN2021</v>
          </cell>
          <cell r="I672" t="str">
            <v>NSW</v>
          </cell>
          <cell r="J672" t="str">
            <v>Full Time</v>
          </cell>
          <cell r="K672" t="str">
            <v>11/21/2022</v>
          </cell>
          <cell r="L672" t="str">
            <v>11/21/2022</v>
          </cell>
        </row>
        <row r="673">
          <cell r="A673" t="str">
            <v>AU22657</v>
          </cell>
          <cell r="B673" t="str">
            <v>11/13/2000</v>
          </cell>
          <cell r="C673" t="str">
            <v>VIC-TAS</v>
          </cell>
          <cell r="D673" t="str">
            <v>Virtus Health</v>
          </cell>
          <cell r="E673" t="str">
            <v>Registered Nurse</v>
          </cell>
          <cell r="F673" t="str">
            <v>11/14/2022</v>
          </cell>
          <cell r="H673" t="str">
            <v>MIVFN2023</v>
          </cell>
          <cell r="I673" t="str">
            <v>VIC</v>
          </cell>
          <cell r="J673" t="str">
            <v>Full Time</v>
          </cell>
          <cell r="K673" t="str">
            <v>11/14/2022</v>
          </cell>
          <cell r="L673" t="str">
            <v>11/14/2022</v>
          </cell>
        </row>
        <row r="674">
          <cell r="A674" t="str">
            <v>AU22658</v>
          </cell>
          <cell r="B674" t="str">
            <v>11/13/2000</v>
          </cell>
          <cell r="C674" t="str">
            <v>VIC-TAS</v>
          </cell>
          <cell r="D674" t="str">
            <v>Virtus Health</v>
          </cell>
          <cell r="E674" t="str">
            <v>Clinical Nurse Specialist</v>
          </cell>
          <cell r="F674" t="str">
            <v>11/14/2022</v>
          </cell>
          <cell r="H674" t="str">
            <v>MIVFN2023</v>
          </cell>
          <cell r="I674" t="str">
            <v>VIC</v>
          </cell>
          <cell r="J674" t="str">
            <v>Full Time</v>
          </cell>
          <cell r="K674" t="str">
            <v>11/14/2022</v>
          </cell>
          <cell r="L674" t="str">
            <v>11/14/2022</v>
          </cell>
        </row>
        <row r="675">
          <cell r="A675" t="str">
            <v>AU22661</v>
          </cell>
          <cell r="B675">
            <v>36688</v>
          </cell>
          <cell r="C675" t="str">
            <v>NSW-QLD</v>
          </cell>
          <cell r="D675" t="str">
            <v>Virtus Health</v>
          </cell>
          <cell r="E675" t="str">
            <v>Administration</v>
          </cell>
          <cell r="F675">
            <v>44753</v>
          </cell>
          <cell r="H675" t="str">
            <v>IVFS2023</v>
          </cell>
          <cell r="I675" t="str">
            <v>QLD</v>
          </cell>
          <cell r="J675" t="str">
            <v>Casual</v>
          </cell>
          <cell r="K675">
            <v>44753</v>
          </cell>
          <cell r="L675">
            <v>44753</v>
          </cell>
        </row>
        <row r="676">
          <cell r="A676" t="str">
            <v>AU22662</v>
          </cell>
          <cell r="B676" t="str">
            <v>11/20/2000</v>
          </cell>
          <cell r="C676" t="str">
            <v>NSW-QLD</v>
          </cell>
          <cell r="D676" t="str">
            <v>Virtus Health</v>
          </cell>
          <cell r="E676" t="str">
            <v xml:space="preserve">Senior Medical Administrator </v>
          </cell>
          <cell r="F676" t="str">
            <v>11/21/2022</v>
          </cell>
          <cell r="H676" t="str">
            <v>IVFS2023</v>
          </cell>
          <cell r="I676" t="str">
            <v>QLD</v>
          </cell>
          <cell r="J676" t="str">
            <v>Full Time</v>
          </cell>
          <cell r="K676" t="str">
            <v>11/21/2022</v>
          </cell>
          <cell r="L676" t="str">
            <v>11/21/2022</v>
          </cell>
        </row>
        <row r="677">
          <cell r="A677" t="str">
            <v>AU22663</v>
          </cell>
          <cell r="B677" t="str">
            <v>11/23/2000</v>
          </cell>
          <cell r="C677" t="str">
            <v>NSW-QLD</v>
          </cell>
          <cell r="D677" t="str">
            <v>Virtus Health</v>
          </cell>
          <cell r="E677" t="str">
            <v>Courier</v>
          </cell>
          <cell r="F677" t="str">
            <v>11/24/2022</v>
          </cell>
          <cell r="H677" t="str">
            <v>IVFS2023</v>
          </cell>
          <cell r="I677" t="str">
            <v>NSW</v>
          </cell>
          <cell r="J677" t="str">
            <v>Casual</v>
          </cell>
          <cell r="K677" t="str">
            <v>11/24/2022</v>
          </cell>
          <cell r="L677" t="str">
            <v>11/24/2022</v>
          </cell>
        </row>
        <row r="678">
          <cell r="A678" t="str">
            <v>AU22665</v>
          </cell>
          <cell r="B678" t="str">
            <v>11/27/2000</v>
          </cell>
          <cell r="C678" t="str">
            <v>NSW-QLD</v>
          </cell>
          <cell r="D678" t="str">
            <v>Virtus Health</v>
          </cell>
          <cell r="E678" t="str">
            <v>Registered Nurse</v>
          </cell>
          <cell r="F678" t="str">
            <v>11/28/2022</v>
          </cell>
          <cell r="H678" t="str">
            <v>IVFN2021</v>
          </cell>
          <cell r="I678" t="str">
            <v>NSW</v>
          </cell>
          <cell r="J678" t="str">
            <v>Part Time</v>
          </cell>
          <cell r="K678" t="str">
            <v>11/28/2022</v>
          </cell>
          <cell r="L678" t="str">
            <v>11/28/2022</v>
          </cell>
        </row>
        <row r="679">
          <cell r="A679" t="str">
            <v>AU22667</v>
          </cell>
          <cell r="B679">
            <v>36842</v>
          </cell>
          <cell r="C679" t="str">
            <v>NSW-QLD</v>
          </cell>
          <cell r="D679" t="str">
            <v>Virtus Health</v>
          </cell>
          <cell r="E679" t="str">
            <v>Head of Property</v>
          </cell>
          <cell r="F679">
            <v>44907</v>
          </cell>
          <cell r="H679" t="str">
            <v>VIC</v>
          </cell>
          <cell r="I679" t="str">
            <v>VIC</v>
          </cell>
          <cell r="J679" t="str">
            <v>Full Time</v>
          </cell>
          <cell r="K679">
            <v>44907</v>
          </cell>
          <cell r="L679">
            <v>44907</v>
          </cell>
        </row>
        <row r="680">
          <cell r="A680" t="str">
            <v>AU22670</v>
          </cell>
          <cell r="B680" t="str">
            <v>11/28/2000</v>
          </cell>
          <cell r="C680" t="str">
            <v>NSW-QLD</v>
          </cell>
          <cell r="D680" t="str">
            <v>Virtus Health</v>
          </cell>
          <cell r="E680" t="str">
            <v>Senior People &amp; Culture Business Partner</v>
          </cell>
          <cell r="F680" t="str">
            <v>11/29/2022</v>
          </cell>
          <cell r="H680" t="str">
            <v>NSW</v>
          </cell>
          <cell r="I680" t="str">
            <v>NSW</v>
          </cell>
          <cell r="J680" t="str">
            <v>Full Time</v>
          </cell>
          <cell r="K680" t="str">
            <v>11/29/2022</v>
          </cell>
          <cell r="L680" t="str">
            <v>11/29/2022</v>
          </cell>
        </row>
        <row r="681">
          <cell r="A681" t="str">
            <v>AU22672</v>
          </cell>
          <cell r="B681" t="str">
            <v>11/27/2000</v>
          </cell>
          <cell r="C681" t="str">
            <v>NSW-QLD</v>
          </cell>
          <cell r="D681" t="str">
            <v>Virtus Health</v>
          </cell>
          <cell r="E681" t="str">
            <v>Medical Scientist</v>
          </cell>
          <cell r="F681" t="str">
            <v>11/28/2022</v>
          </cell>
          <cell r="H681" t="str">
            <v>IVFS2023</v>
          </cell>
          <cell r="I681" t="str">
            <v>NSW</v>
          </cell>
          <cell r="J681" t="str">
            <v>Full Time</v>
          </cell>
          <cell r="K681" t="str">
            <v>11/28/2022</v>
          </cell>
          <cell r="L681" t="str">
            <v>11/28/2022</v>
          </cell>
        </row>
        <row r="682">
          <cell r="A682" t="str">
            <v>AU22673</v>
          </cell>
          <cell r="B682" t="str">
            <v>11/20/2000</v>
          </cell>
          <cell r="C682" t="str">
            <v>NSW-QLD</v>
          </cell>
          <cell r="D682" t="str">
            <v>Virtus Health</v>
          </cell>
          <cell r="E682" t="str">
            <v>Assistant in Nursing</v>
          </cell>
          <cell r="F682" t="str">
            <v>11/21/2022</v>
          </cell>
          <cell r="H682" t="str">
            <v>IVFN2021</v>
          </cell>
          <cell r="I682" t="str">
            <v>NSW</v>
          </cell>
          <cell r="J682" t="str">
            <v>Full Time</v>
          </cell>
          <cell r="K682" t="str">
            <v>11/21/2022</v>
          </cell>
          <cell r="L682" t="str">
            <v>11/21/2022</v>
          </cell>
        </row>
        <row r="683">
          <cell r="A683" t="str">
            <v>AU22680</v>
          </cell>
          <cell r="B683" t="str">
            <v>1/15/2001</v>
          </cell>
          <cell r="C683" t="str">
            <v>NSW-QLD</v>
          </cell>
          <cell r="D683" t="str">
            <v>Virtus Health</v>
          </cell>
          <cell r="E683" t="str">
            <v>Receptionist</v>
          </cell>
          <cell r="F683" t="str">
            <v>1/16/2023</v>
          </cell>
          <cell r="H683" t="str">
            <v>IVFS2023</v>
          </cell>
          <cell r="I683" t="str">
            <v>QLD</v>
          </cell>
          <cell r="J683" t="str">
            <v>Casual</v>
          </cell>
          <cell r="K683" t="str">
            <v>1/16/2023</v>
          </cell>
          <cell r="L683" t="str">
            <v>1/16/2023</v>
          </cell>
        </row>
        <row r="684">
          <cell r="A684" t="str">
            <v>AU22685</v>
          </cell>
          <cell r="B684">
            <v>36842</v>
          </cell>
          <cell r="C684" t="str">
            <v>NSW-QLD</v>
          </cell>
          <cell r="D684" t="str">
            <v>Virtus Health</v>
          </cell>
          <cell r="E684" t="str">
            <v>New Patient Care Consultant</v>
          </cell>
          <cell r="F684">
            <v>44907</v>
          </cell>
          <cell r="H684" t="str">
            <v>IVFS2023</v>
          </cell>
          <cell r="I684" t="str">
            <v>NSW</v>
          </cell>
          <cell r="J684" t="str">
            <v>Part Time</v>
          </cell>
          <cell r="K684">
            <v>44907</v>
          </cell>
          <cell r="L684">
            <v>44907</v>
          </cell>
        </row>
        <row r="685">
          <cell r="A685" t="str">
            <v>AU22686</v>
          </cell>
          <cell r="B685" t="str">
            <v>12/13/2000</v>
          </cell>
          <cell r="C685" t="str">
            <v>VIC-TAS</v>
          </cell>
          <cell r="D685" t="str">
            <v>Virtus Health</v>
          </cell>
          <cell r="E685" t="str">
            <v>Registered Nurse</v>
          </cell>
          <cell r="F685" t="str">
            <v>12/14/2022</v>
          </cell>
          <cell r="H685" t="str">
            <v>MIVFN2023</v>
          </cell>
          <cell r="I685" t="str">
            <v>VIC</v>
          </cell>
          <cell r="J685" t="str">
            <v>Casual</v>
          </cell>
          <cell r="K685" t="str">
            <v>12/14/2022</v>
          </cell>
          <cell r="L685" t="str">
            <v>12/14/2022</v>
          </cell>
        </row>
        <row r="686">
          <cell r="A686" t="str">
            <v>AU22693</v>
          </cell>
          <cell r="B686">
            <v>37104</v>
          </cell>
          <cell r="C686" t="str">
            <v>NSW-QLD</v>
          </cell>
          <cell r="D686" t="str">
            <v>Virtus Health</v>
          </cell>
          <cell r="E686" t="str">
            <v>Senior Administration Officer</v>
          </cell>
          <cell r="F686">
            <v>45170</v>
          </cell>
          <cell r="H686" t="str">
            <v>IVFS2023</v>
          </cell>
          <cell r="I686" t="str">
            <v>NSW</v>
          </cell>
          <cell r="J686" t="str">
            <v>Part Time</v>
          </cell>
          <cell r="K686">
            <v>45170</v>
          </cell>
          <cell r="L686">
            <v>45170</v>
          </cell>
        </row>
        <row r="687">
          <cell r="A687" t="str">
            <v>AU22696</v>
          </cell>
          <cell r="B687">
            <v>37165</v>
          </cell>
          <cell r="C687" t="str">
            <v>NSW-QLD</v>
          </cell>
          <cell r="D687" t="str">
            <v>Virtus Health</v>
          </cell>
          <cell r="E687" t="str">
            <v>Senior Researcher</v>
          </cell>
          <cell r="F687">
            <v>45231</v>
          </cell>
          <cell r="H687" t="str">
            <v>VIC</v>
          </cell>
          <cell r="I687" t="str">
            <v>VIC</v>
          </cell>
          <cell r="J687" t="str">
            <v>Full Time</v>
          </cell>
          <cell r="K687">
            <v>45231</v>
          </cell>
          <cell r="L687">
            <v>45231</v>
          </cell>
        </row>
        <row r="688">
          <cell r="A688" t="str">
            <v>AU22699</v>
          </cell>
          <cell r="B688" t="str">
            <v>1/15/2001</v>
          </cell>
          <cell r="C688" t="str">
            <v>NSW-QLD</v>
          </cell>
          <cell r="D688" t="str">
            <v>Virtus Health</v>
          </cell>
          <cell r="E688" t="str">
            <v>Registered Nurse</v>
          </cell>
          <cell r="F688" t="str">
            <v>1/16/2023</v>
          </cell>
          <cell r="H688" t="str">
            <v>IVFN2021</v>
          </cell>
          <cell r="I688" t="str">
            <v>NSW</v>
          </cell>
          <cell r="J688" t="str">
            <v>Part Time</v>
          </cell>
          <cell r="K688" t="str">
            <v>1/16/2023</v>
          </cell>
          <cell r="L688" t="str">
            <v>1/16/2023</v>
          </cell>
        </row>
        <row r="689">
          <cell r="A689" t="str">
            <v>AU22702</v>
          </cell>
          <cell r="B689">
            <v>37104</v>
          </cell>
          <cell r="C689" t="str">
            <v>NSW-QLD</v>
          </cell>
          <cell r="D689" t="str">
            <v>Virtus Health</v>
          </cell>
          <cell r="E689" t="str">
            <v>Embryologist</v>
          </cell>
          <cell r="F689">
            <v>45170</v>
          </cell>
          <cell r="H689" t="str">
            <v>IVFT2024</v>
          </cell>
          <cell r="I689" t="str">
            <v>NSW</v>
          </cell>
          <cell r="J689" t="str">
            <v>Full Time</v>
          </cell>
          <cell r="K689">
            <v>45170</v>
          </cell>
          <cell r="L689">
            <v>45170</v>
          </cell>
        </row>
        <row r="690">
          <cell r="A690" t="str">
            <v>AU22703</v>
          </cell>
          <cell r="B690">
            <v>36923</v>
          </cell>
          <cell r="C690" t="str">
            <v>NSW-QLD</v>
          </cell>
          <cell r="D690" t="str">
            <v>Virtus Health</v>
          </cell>
          <cell r="E690" t="str">
            <v>Embryologist/Team Leader</v>
          </cell>
          <cell r="F690">
            <v>44986</v>
          </cell>
          <cell r="H690" t="str">
            <v>QS2024</v>
          </cell>
          <cell r="I690" t="str">
            <v>QLD</v>
          </cell>
          <cell r="J690" t="str">
            <v>Full Time</v>
          </cell>
          <cell r="K690">
            <v>44986</v>
          </cell>
          <cell r="L690">
            <v>44986</v>
          </cell>
        </row>
        <row r="691">
          <cell r="A691" t="str">
            <v>AU22704</v>
          </cell>
          <cell r="B691">
            <v>37104</v>
          </cell>
          <cell r="C691" t="str">
            <v>VIC-TAS</v>
          </cell>
          <cell r="D691" t="str">
            <v>Virtus Health</v>
          </cell>
          <cell r="E691" t="str">
            <v>Administration Clerk</v>
          </cell>
          <cell r="F691">
            <v>45170</v>
          </cell>
          <cell r="H691" t="str">
            <v>MIVFS2022</v>
          </cell>
          <cell r="I691" t="str">
            <v>VIC</v>
          </cell>
          <cell r="J691" t="str">
            <v>Casual</v>
          </cell>
          <cell r="K691">
            <v>45170</v>
          </cell>
          <cell r="L691">
            <v>45170</v>
          </cell>
        </row>
        <row r="692">
          <cell r="A692" t="str">
            <v>AU22708</v>
          </cell>
          <cell r="B692" t="str">
            <v>1/15/2001</v>
          </cell>
          <cell r="C692" t="str">
            <v>VIC-TAS</v>
          </cell>
          <cell r="D692" t="str">
            <v>Virtus Health</v>
          </cell>
          <cell r="E692" t="str">
            <v>IVF Laboratory Team Leader</v>
          </cell>
          <cell r="F692" t="str">
            <v>1/16/2023</v>
          </cell>
          <cell r="H692" t="str">
            <v>MIVFS2022</v>
          </cell>
          <cell r="I692" t="str">
            <v>VIC</v>
          </cell>
          <cell r="J692" t="str">
            <v>Full Time</v>
          </cell>
          <cell r="K692" t="str">
            <v>1/16/2023</v>
          </cell>
          <cell r="L692" t="str">
            <v>1/16/2023</v>
          </cell>
        </row>
        <row r="693">
          <cell r="A693" t="str">
            <v>AU22709</v>
          </cell>
          <cell r="B693" t="str">
            <v>1/22/2001</v>
          </cell>
          <cell r="C693" t="str">
            <v>VIC-TAS</v>
          </cell>
          <cell r="D693" t="str">
            <v>Virtus Health</v>
          </cell>
          <cell r="E693" t="str">
            <v>Registered Nurse</v>
          </cell>
          <cell r="F693" t="str">
            <v>1/23/2023</v>
          </cell>
          <cell r="H693" t="str">
            <v>MIVFN2023</v>
          </cell>
          <cell r="I693" t="str">
            <v>VIC</v>
          </cell>
          <cell r="J693" t="str">
            <v>Full Time</v>
          </cell>
          <cell r="K693" t="str">
            <v>1/23/2023</v>
          </cell>
          <cell r="L693" t="str">
            <v>1/23/2023</v>
          </cell>
        </row>
        <row r="694">
          <cell r="A694" t="str">
            <v>AU22710</v>
          </cell>
          <cell r="B694">
            <v>37227</v>
          </cell>
          <cell r="C694" t="str">
            <v>NSW-QLD</v>
          </cell>
          <cell r="D694" t="str">
            <v>Virtus Health</v>
          </cell>
          <cell r="E694" t="str">
            <v>Nurse Coordinator</v>
          </cell>
          <cell r="F694" t="str">
            <v>2/13/2023</v>
          </cell>
          <cell r="H694" t="str">
            <v>QN2025</v>
          </cell>
          <cell r="I694" t="str">
            <v>QLD</v>
          </cell>
          <cell r="J694" t="str">
            <v>Part Time</v>
          </cell>
          <cell r="K694" t="str">
            <v>2/13/2023</v>
          </cell>
          <cell r="L694" t="str">
            <v>2/13/2023</v>
          </cell>
        </row>
        <row r="695">
          <cell r="A695" t="str">
            <v>AU22712</v>
          </cell>
          <cell r="B695" t="str">
            <v>1/29/2001</v>
          </cell>
          <cell r="C695" t="str">
            <v>VIC-TAS</v>
          </cell>
          <cell r="D695" t="str">
            <v>Virtus Health</v>
          </cell>
          <cell r="E695" t="str">
            <v>Administration Clerk</v>
          </cell>
          <cell r="F695" t="str">
            <v>1/30/2023</v>
          </cell>
          <cell r="H695" t="str">
            <v>MIVFS2022</v>
          </cell>
          <cell r="I695" t="str">
            <v>VIC</v>
          </cell>
          <cell r="J695" t="str">
            <v>Part Time</v>
          </cell>
          <cell r="K695" t="str">
            <v>1/30/2023</v>
          </cell>
          <cell r="L695" t="str">
            <v>1/30/2023</v>
          </cell>
        </row>
        <row r="696">
          <cell r="A696" t="str">
            <v>AU22713</v>
          </cell>
          <cell r="B696" t="str">
            <v>1/18/2001</v>
          </cell>
          <cell r="C696" t="str">
            <v>NSW-QLD</v>
          </cell>
          <cell r="D696" t="str">
            <v>Virtus Health</v>
          </cell>
          <cell r="E696" t="str">
            <v>Registered Nurse</v>
          </cell>
          <cell r="F696" t="str">
            <v>1/19/2023</v>
          </cell>
          <cell r="H696" t="str">
            <v>IVFN2021</v>
          </cell>
          <cell r="I696" t="str">
            <v>NSW</v>
          </cell>
          <cell r="J696" t="str">
            <v>Casual</v>
          </cell>
          <cell r="K696" t="str">
            <v>1/19/2023</v>
          </cell>
          <cell r="L696" t="str">
            <v>1/19/2023</v>
          </cell>
        </row>
        <row r="697">
          <cell r="A697" t="str">
            <v>AU22715</v>
          </cell>
          <cell r="B697" t="str">
            <v>1/22/2001</v>
          </cell>
          <cell r="C697" t="str">
            <v>NSW-QLD</v>
          </cell>
          <cell r="D697" t="str">
            <v>Virtus Health</v>
          </cell>
          <cell r="E697" t="str">
            <v>Registered Nurse</v>
          </cell>
          <cell r="F697" t="str">
            <v>1/23/2023</v>
          </cell>
          <cell r="H697" t="str">
            <v>IVFN2021</v>
          </cell>
          <cell r="I697" t="str">
            <v>NSW</v>
          </cell>
          <cell r="J697" t="str">
            <v>Part Time</v>
          </cell>
          <cell r="K697" t="str">
            <v>1/23/2023</v>
          </cell>
          <cell r="L697" t="str">
            <v>1/23/2023</v>
          </cell>
        </row>
        <row r="698">
          <cell r="A698" t="str">
            <v>AU22716</v>
          </cell>
          <cell r="B698" t="str">
            <v>1/22/2001</v>
          </cell>
          <cell r="C698" t="str">
            <v>VIC-TAS</v>
          </cell>
          <cell r="D698" t="str">
            <v>Virtus Health</v>
          </cell>
          <cell r="E698" t="str">
            <v>Medical Secretary</v>
          </cell>
          <cell r="F698" t="str">
            <v>1/23/2023</v>
          </cell>
          <cell r="H698" t="str">
            <v>VIC</v>
          </cell>
          <cell r="I698" t="str">
            <v>VIC</v>
          </cell>
          <cell r="J698" t="str">
            <v>Full Time</v>
          </cell>
          <cell r="K698" t="str">
            <v>1/23/2023</v>
          </cell>
          <cell r="L698" t="str">
            <v>1/23/2023</v>
          </cell>
        </row>
        <row r="699">
          <cell r="A699" t="str">
            <v>AU22718</v>
          </cell>
          <cell r="B699" t="str">
            <v>1/29/2001</v>
          </cell>
          <cell r="C699" t="str">
            <v>VIC-TAS</v>
          </cell>
          <cell r="D699" t="str">
            <v>Virtus Health</v>
          </cell>
          <cell r="E699" t="str">
            <v>Registered Midwife</v>
          </cell>
          <cell r="F699" t="str">
            <v>1/30/2023</v>
          </cell>
          <cell r="H699" t="str">
            <v>MIVFN2023</v>
          </cell>
          <cell r="I699" t="str">
            <v>VIC</v>
          </cell>
          <cell r="J699" t="str">
            <v>Part Time</v>
          </cell>
          <cell r="K699" t="str">
            <v>1/30/2023</v>
          </cell>
          <cell r="L699" t="str">
            <v>1/30/2023</v>
          </cell>
        </row>
        <row r="700">
          <cell r="A700" t="str">
            <v>AU22724</v>
          </cell>
          <cell r="B700">
            <v>36952</v>
          </cell>
          <cell r="C700" t="str">
            <v>NSW-QLD</v>
          </cell>
          <cell r="D700" t="str">
            <v>Virtus Health</v>
          </cell>
          <cell r="E700" t="str">
            <v>Administration</v>
          </cell>
          <cell r="F700">
            <v>45018</v>
          </cell>
          <cell r="H700" t="str">
            <v>IVFS2023</v>
          </cell>
          <cell r="I700" t="str">
            <v>QLD</v>
          </cell>
          <cell r="J700" t="str">
            <v>Full Time</v>
          </cell>
          <cell r="K700">
            <v>45018</v>
          </cell>
          <cell r="L700">
            <v>45018</v>
          </cell>
        </row>
        <row r="701">
          <cell r="A701" t="str">
            <v>AU22727</v>
          </cell>
          <cell r="B701">
            <v>37044</v>
          </cell>
          <cell r="C701" t="str">
            <v>NSW-QLD</v>
          </cell>
          <cell r="D701" t="str">
            <v>Virtus Health</v>
          </cell>
          <cell r="E701" t="str">
            <v>Registered Nurse</v>
          </cell>
          <cell r="F701">
            <v>45109</v>
          </cell>
          <cell r="H701" t="str">
            <v>IVFN2021</v>
          </cell>
          <cell r="I701" t="str">
            <v>NSW</v>
          </cell>
          <cell r="J701" t="str">
            <v>Casual</v>
          </cell>
          <cell r="K701">
            <v>45109</v>
          </cell>
          <cell r="L701">
            <v>45109</v>
          </cell>
        </row>
        <row r="702">
          <cell r="A702" t="str">
            <v>AU22728</v>
          </cell>
          <cell r="B702">
            <v>37013</v>
          </cell>
          <cell r="C702" t="str">
            <v>NSW-QLD</v>
          </cell>
          <cell r="D702" t="str">
            <v>Virtus Health</v>
          </cell>
          <cell r="E702" t="str">
            <v>Registered Nurse</v>
          </cell>
          <cell r="F702">
            <v>45079</v>
          </cell>
          <cell r="H702" t="str">
            <v>IVFN2021</v>
          </cell>
          <cell r="I702" t="str">
            <v>NSW</v>
          </cell>
          <cell r="J702" t="str">
            <v>Casual</v>
          </cell>
          <cell r="K702">
            <v>45079</v>
          </cell>
          <cell r="L702">
            <v>45079</v>
          </cell>
        </row>
        <row r="703">
          <cell r="A703" t="str">
            <v>AU22730</v>
          </cell>
          <cell r="B703" t="str">
            <v>1/19/2001</v>
          </cell>
          <cell r="C703" t="str">
            <v>NSW-QLD</v>
          </cell>
          <cell r="D703" t="str">
            <v>Virtus Health</v>
          </cell>
          <cell r="E703" t="str">
            <v>Registered Nurse</v>
          </cell>
          <cell r="F703" t="str">
            <v>1/20/2023</v>
          </cell>
          <cell r="H703" t="str">
            <v>IVFN2021</v>
          </cell>
          <cell r="I703" t="str">
            <v>NSW</v>
          </cell>
          <cell r="J703" t="str">
            <v>Casual</v>
          </cell>
          <cell r="K703" t="str">
            <v>1/20/2023</v>
          </cell>
          <cell r="L703" t="str">
            <v>1/20/2023</v>
          </cell>
        </row>
        <row r="704">
          <cell r="A704" t="str">
            <v>AU22735</v>
          </cell>
          <cell r="B704">
            <v>37013</v>
          </cell>
          <cell r="C704" t="str">
            <v>NSW-QLD</v>
          </cell>
          <cell r="D704" t="str">
            <v>Virtus Health</v>
          </cell>
          <cell r="E704" t="str">
            <v>Registered Nurse</v>
          </cell>
          <cell r="F704">
            <v>45079</v>
          </cell>
          <cell r="H704" t="str">
            <v>QN2025</v>
          </cell>
          <cell r="I704" t="str">
            <v>QLD</v>
          </cell>
          <cell r="J704" t="str">
            <v>Casual</v>
          </cell>
          <cell r="K704">
            <v>45079</v>
          </cell>
          <cell r="L704">
            <v>45079</v>
          </cell>
        </row>
        <row r="705">
          <cell r="A705" t="str">
            <v>AU22741</v>
          </cell>
          <cell r="B705">
            <v>37013</v>
          </cell>
          <cell r="C705" t="str">
            <v>NSW-QLD</v>
          </cell>
          <cell r="D705" t="str">
            <v>Virtus Health</v>
          </cell>
          <cell r="E705" t="str">
            <v>Genetic Scientist</v>
          </cell>
          <cell r="F705">
            <v>45079</v>
          </cell>
          <cell r="H705" t="str">
            <v>QS2024</v>
          </cell>
          <cell r="I705" t="str">
            <v>QLD</v>
          </cell>
          <cell r="J705" t="str">
            <v>Full Time</v>
          </cell>
          <cell r="K705">
            <v>45079</v>
          </cell>
          <cell r="L705">
            <v>45079</v>
          </cell>
        </row>
        <row r="706">
          <cell r="A706" t="str">
            <v>AU22743</v>
          </cell>
          <cell r="B706">
            <v>37074</v>
          </cell>
          <cell r="C706" t="str">
            <v>NSW-QLD</v>
          </cell>
          <cell r="D706" t="str">
            <v>Virtus Health</v>
          </cell>
          <cell r="E706" t="str">
            <v>Registered Nurse</v>
          </cell>
          <cell r="F706">
            <v>45140</v>
          </cell>
          <cell r="H706" t="str">
            <v>IVFN2021</v>
          </cell>
          <cell r="I706" t="str">
            <v>NSW</v>
          </cell>
          <cell r="J706" t="str">
            <v>Casual</v>
          </cell>
          <cell r="K706">
            <v>45140</v>
          </cell>
          <cell r="L706">
            <v>45140</v>
          </cell>
        </row>
        <row r="707">
          <cell r="A707" t="str">
            <v>AU22748</v>
          </cell>
          <cell r="B707" t="str">
            <v>8/26/1996</v>
          </cell>
          <cell r="C707" t="str">
            <v>VIC-TAS</v>
          </cell>
          <cell r="D707" t="str">
            <v>Virtus Health</v>
          </cell>
          <cell r="E707" t="str">
            <v>Theatre Technician</v>
          </cell>
          <cell r="F707" t="str">
            <v>8/27/2018</v>
          </cell>
          <cell r="H707" t="str">
            <v>MIVFS2022</v>
          </cell>
          <cell r="I707" t="str">
            <v>VIC</v>
          </cell>
          <cell r="J707" t="str">
            <v>Part Time</v>
          </cell>
          <cell r="K707" t="str">
            <v>8/27/2018</v>
          </cell>
          <cell r="L707" t="str">
            <v>8/27/2018</v>
          </cell>
        </row>
        <row r="708">
          <cell r="A708" t="str">
            <v>AU22749</v>
          </cell>
          <cell r="B708" t="str">
            <v>2/13/2001</v>
          </cell>
          <cell r="C708" t="str">
            <v>NSW-QLD</v>
          </cell>
          <cell r="D708" t="str">
            <v>Virtus Health</v>
          </cell>
          <cell r="E708" t="str">
            <v xml:space="preserve">Business Development Manager </v>
          </cell>
          <cell r="F708" t="str">
            <v>2/14/2023</v>
          </cell>
          <cell r="H708" t="str">
            <v>QLD</v>
          </cell>
          <cell r="I708" t="str">
            <v>QLD</v>
          </cell>
          <cell r="J708" t="str">
            <v>Full Time</v>
          </cell>
          <cell r="K708" t="str">
            <v>2/14/2023</v>
          </cell>
          <cell r="L708" t="str">
            <v>2/14/2023</v>
          </cell>
        </row>
        <row r="709">
          <cell r="A709" t="str">
            <v>AU22750</v>
          </cell>
          <cell r="B709" t="str">
            <v>2/26/2001</v>
          </cell>
          <cell r="C709" t="str">
            <v>NSW-QLD</v>
          </cell>
          <cell r="D709" t="str">
            <v>Virtus Health</v>
          </cell>
          <cell r="E709" t="str">
            <v>Accounts Payable</v>
          </cell>
          <cell r="F709" t="str">
            <v>2/27/2023</v>
          </cell>
          <cell r="H709" t="str">
            <v>NSW</v>
          </cell>
          <cell r="I709" t="str">
            <v>NSW</v>
          </cell>
          <cell r="J709" t="str">
            <v>Full Time</v>
          </cell>
          <cell r="K709" t="str">
            <v>2/27/2023</v>
          </cell>
          <cell r="L709" t="str">
            <v>2/27/2023</v>
          </cell>
        </row>
        <row r="710">
          <cell r="A710" t="str">
            <v>AU22752</v>
          </cell>
          <cell r="B710">
            <v>36014</v>
          </cell>
          <cell r="C710" t="str">
            <v>NSW-QLD</v>
          </cell>
          <cell r="D710" t="str">
            <v>Virtus Health</v>
          </cell>
          <cell r="E710" t="str">
            <v>Nures Coordinator</v>
          </cell>
          <cell r="F710">
            <v>44050</v>
          </cell>
          <cell r="H710" t="str">
            <v>QN2025</v>
          </cell>
          <cell r="I710" t="str">
            <v>QLD</v>
          </cell>
          <cell r="J710" t="str">
            <v>Full Time</v>
          </cell>
          <cell r="K710">
            <v>44050</v>
          </cell>
          <cell r="L710">
            <v>44050</v>
          </cell>
        </row>
        <row r="711">
          <cell r="A711" t="str">
            <v>AU22758</v>
          </cell>
          <cell r="B711" t="str">
            <v>2/28/2001</v>
          </cell>
          <cell r="C711" t="str">
            <v>NSW-QLD</v>
          </cell>
          <cell r="D711" t="str">
            <v>Virtus Health</v>
          </cell>
          <cell r="E711" t="str">
            <v>National Donor Lead Specialist</v>
          </cell>
          <cell r="F711">
            <v>44929</v>
          </cell>
          <cell r="H711" t="str">
            <v>SA</v>
          </cell>
          <cell r="I711" t="str">
            <v>SA</v>
          </cell>
          <cell r="J711" t="str">
            <v>Full Time</v>
          </cell>
          <cell r="K711">
            <v>44929</v>
          </cell>
          <cell r="L711">
            <v>44929</v>
          </cell>
        </row>
        <row r="712">
          <cell r="A712" t="str">
            <v>AU22764</v>
          </cell>
          <cell r="B712" t="str">
            <v>1/31/2001</v>
          </cell>
          <cell r="C712" t="str">
            <v>NSW-QLD</v>
          </cell>
          <cell r="D712" t="str">
            <v>Virtus Health</v>
          </cell>
          <cell r="E712" t="str">
            <v>Non-accredited CREI Trainee</v>
          </cell>
          <cell r="F712">
            <v>44928</v>
          </cell>
          <cell r="H712" t="str">
            <v>NSW</v>
          </cell>
          <cell r="I712" t="str">
            <v>NSW</v>
          </cell>
          <cell r="J712" t="str">
            <v>Full Time</v>
          </cell>
          <cell r="K712">
            <v>44928</v>
          </cell>
          <cell r="L712">
            <v>44928</v>
          </cell>
        </row>
        <row r="713">
          <cell r="A713" t="str">
            <v>AU22766</v>
          </cell>
          <cell r="B713" t="str">
            <v>2/19/2001</v>
          </cell>
          <cell r="C713" t="str">
            <v>VIC-TAS</v>
          </cell>
          <cell r="D713" t="str">
            <v>Virtus Health</v>
          </cell>
          <cell r="E713" t="str">
            <v>Associate Nurse Unit Manager</v>
          </cell>
          <cell r="F713" t="str">
            <v>2/20/2023</v>
          </cell>
          <cell r="H713" t="str">
            <v>MIVFN2023</v>
          </cell>
          <cell r="I713" t="str">
            <v>VIC</v>
          </cell>
          <cell r="J713" t="str">
            <v>Part Time</v>
          </cell>
          <cell r="K713" t="str">
            <v>2/20/2023</v>
          </cell>
          <cell r="L713" t="str">
            <v>2/20/2023</v>
          </cell>
        </row>
        <row r="714">
          <cell r="A714" t="str">
            <v>AU22767</v>
          </cell>
          <cell r="B714" t="str">
            <v>2/19/2001</v>
          </cell>
          <cell r="C714" t="str">
            <v>VIC-TAS</v>
          </cell>
          <cell r="D714" t="str">
            <v>Virtus Health</v>
          </cell>
          <cell r="E714" t="str">
            <v>Associate Nurse Unit Manager</v>
          </cell>
          <cell r="F714" t="str">
            <v>2/20/2023</v>
          </cell>
          <cell r="H714" t="str">
            <v>MIVFN2023</v>
          </cell>
          <cell r="I714" t="str">
            <v>VIC</v>
          </cell>
          <cell r="J714" t="str">
            <v>Full Time</v>
          </cell>
          <cell r="K714" t="str">
            <v>2/20/2023</v>
          </cell>
          <cell r="L714" t="str">
            <v>2/20/2023</v>
          </cell>
        </row>
        <row r="715">
          <cell r="A715" t="str">
            <v>AU22768</v>
          </cell>
          <cell r="B715" t="str">
            <v>2/26/2001</v>
          </cell>
          <cell r="C715" t="str">
            <v>NSW-QLD</v>
          </cell>
          <cell r="D715" t="str">
            <v>Virtus Health</v>
          </cell>
          <cell r="E715" t="str">
            <v>Genetic Scientist</v>
          </cell>
          <cell r="F715" t="str">
            <v>2/27/2023</v>
          </cell>
          <cell r="H715" t="str">
            <v>QS2024</v>
          </cell>
          <cell r="I715" t="str">
            <v>QLD</v>
          </cell>
          <cell r="J715" t="str">
            <v>Full Time</v>
          </cell>
          <cell r="K715" t="str">
            <v>2/27/2023</v>
          </cell>
          <cell r="L715" t="str">
            <v>2/27/2023</v>
          </cell>
        </row>
        <row r="716">
          <cell r="A716" t="str">
            <v>AU22769</v>
          </cell>
          <cell r="B716" t="str">
            <v>2/19/2001</v>
          </cell>
          <cell r="C716" t="str">
            <v>VIC-TAS</v>
          </cell>
          <cell r="D716" t="str">
            <v>Virtus Health</v>
          </cell>
          <cell r="E716" t="str">
            <v>Registered Nurse</v>
          </cell>
          <cell r="F716" t="str">
            <v>2/20/2023</v>
          </cell>
          <cell r="H716" t="str">
            <v>MIVFN2023</v>
          </cell>
          <cell r="I716" t="str">
            <v>VIC</v>
          </cell>
          <cell r="J716" t="str">
            <v>Part Time</v>
          </cell>
          <cell r="K716" t="str">
            <v>2/20/2023</v>
          </cell>
          <cell r="L716" t="str">
            <v>2/20/2023</v>
          </cell>
        </row>
        <row r="717">
          <cell r="A717" t="str">
            <v>AU22772</v>
          </cell>
          <cell r="B717">
            <v>37014</v>
          </cell>
          <cell r="C717" t="str">
            <v>VIC-TAS</v>
          </cell>
          <cell r="D717" t="str">
            <v>Virtus Health</v>
          </cell>
          <cell r="E717" t="str">
            <v>Clinical Research Scientist</v>
          </cell>
          <cell r="F717">
            <v>45080</v>
          </cell>
          <cell r="H717" t="str">
            <v>MIVFS2022</v>
          </cell>
          <cell r="I717" t="str">
            <v>VIC</v>
          </cell>
          <cell r="J717" t="str">
            <v>Full Time</v>
          </cell>
          <cell r="K717">
            <v>45080</v>
          </cell>
          <cell r="L717">
            <v>45080</v>
          </cell>
        </row>
        <row r="718">
          <cell r="A718" t="str">
            <v>AU22776</v>
          </cell>
          <cell r="B718">
            <v>37075</v>
          </cell>
          <cell r="C718" t="str">
            <v>NSW-QLD</v>
          </cell>
          <cell r="D718" t="str">
            <v>Virtus Health</v>
          </cell>
          <cell r="E718" t="str">
            <v>Clinical Nurse Specialist</v>
          </cell>
          <cell r="F718">
            <v>45141</v>
          </cell>
          <cell r="H718" t="str">
            <v>QN2025</v>
          </cell>
          <cell r="I718" t="str">
            <v>QLD</v>
          </cell>
          <cell r="J718" t="str">
            <v>Part Time</v>
          </cell>
          <cell r="K718">
            <v>45141</v>
          </cell>
          <cell r="L718">
            <v>45141</v>
          </cell>
        </row>
        <row r="719">
          <cell r="A719" t="str">
            <v>AU22777</v>
          </cell>
          <cell r="B719">
            <v>37228</v>
          </cell>
          <cell r="C719" t="str">
            <v>NSW-QLD</v>
          </cell>
          <cell r="D719" t="str">
            <v>Virtus Health</v>
          </cell>
          <cell r="E719" t="str">
            <v>Nures Coordinator</v>
          </cell>
          <cell r="F719" t="str">
            <v>3/13/2023</v>
          </cell>
          <cell r="H719" t="str">
            <v>IVFN2021</v>
          </cell>
          <cell r="I719" t="str">
            <v>NSW</v>
          </cell>
          <cell r="J719" t="str">
            <v>Full Time</v>
          </cell>
          <cell r="K719" t="str">
            <v>3/13/2023</v>
          </cell>
          <cell r="L719" t="str">
            <v>3/13/2023</v>
          </cell>
        </row>
        <row r="720">
          <cell r="A720" t="str">
            <v>AU22783</v>
          </cell>
          <cell r="B720">
            <v>37106</v>
          </cell>
          <cell r="C720" t="str">
            <v>NSW-QLD</v>
          </cell>
          <cell r="D720" t="str">
            <v>Virtus Health</v>
          </cell>
          <cell r="E720" t="str">
            <v>Administration</v>
          </cell>
          <cell r="F720">
            <v>45172</v>
          </cell>
          <cell r="H720" t="str">
            <v>IVFS2023</v>
          </cell>
          <cell r="I720" t="str">
            <v>NSW</v>
          </cell>
          <cell r="J720" t="str">
            <v>Part Time</v>
          </cell>
          <cell r="K720">
            <v>45172</v>
          </cell>
          <cell r="L720">
            <v>45172</v>
          </cell>
        </row>
        <row r="721">
          <cell r="A721" t="str">
            <v>AU22788</v>
          </cell>
          <cell r="B721" t="str">
            <v>3/19/2001</v>
          </cell>
          <cell r="C721" t="str">
            <v>NSW-QLD</v>
          </cell>
          <cell r="D721" t="str">
            <v>Virtus Health</v>
          </cell>
          <cell r="E721" t="str">
            <v>Genetic Scientist</v>
          </cell>
          <cell r="F721" t="str">
            <v>3/20/2023</v>
          </cell>
          <cell r="H721" t="str">
            <v>QS2024</v>
          </cell>
          <cell r="I721" t="str">
            <v>QLD</v>
          </cell>
          <cell r="J721" t="str">
            <v>Part Time</v>
          </cell>
          <cell r="K721" t="str">
            <v>3/20/2023</v>
          </cell>
          <cell r="L721" t="str">
            <v>3/20/2023</v>
          </cell>
        </row>
        <row r="722">
          <cell r="A722" t="str">
            <v>AU22789</v>
          </cell>
          <cell r="B722">
            <v>37228</v>
          </cell>
          <cell r="C722" t="str">
            <v>VIC-TAS</v>
          </cell>
          <cell r="D722" t="str">
            <v>Virtus Health</v>
          </cell>
          <cell r="E722" t="str">
            <v>Genetic Counsellor</v>
          </cell>
          <cell r="F722" t="str">
            <v>3/13/2023</v>
          </cell>
          <cell r="H722" t="str">
            <v>MIVFC2021</v>
          </cell>
          <cell r="I722" t="str">
            <v>VIC</v>
          </cell>
          <cell r="J722" t="str">
            <v>Part Time</v>
          </cell>
          <cell r="K722" t="str">
            <v>3/13/2023</v>
          </cell>
          <cell r="L722" t="str">
            <v>3/13/2023</v>
          </cell>
        </row>
        <row r="723">
          <cell r="A723" t="str">
            <v>AU22791</v>
          </cell>
          <cell r="B723" t="str">
            <v>3/19/2001</v>
          </cell>
          <cell r="C723" t="str">
            <v>NSW-QLD</v>
          </cell>
          <cell r="D723" t="str">
            <v>Virtus Health</v>
          </cell>
          <cell r="E723" t="str">
            <v>Nures Coordinator</v>
          </cell>
          <cell r="F723" t="str">
            <v>3/20/2023</v>
          </cell>
          <cell r="H723" t="str">
            <v>QN2025</v>
          </cell>
          <cell r="I723" t="str">
            <v>QLD</v>
          </cell>
          <cell r="J723" t="str">
            <v>Part Time</v>
          </cell>
          <cell r="K723" t="str">
            <v>3/20/2023</v>
          </cell>
          <cell r="L723" t="str">
            <v>3/20/2023</v>
          </cell>
        </row>
        <row r="724">
          <cell r="A724" t="str">
            <v>AU22796</v>
          </cell>
          <cell r="B724" t="str">
            <v>3/20/2001</v>
          </cell>
          <cell r="C724" t="str">
            <v>NSW-QLD</v>
          </cell>
          <cell r="D724" t="str">
            <v>Virtus Health</v>
          </cell>
          <cell r="E724" t="str">
            <v>Administration Clerk</v>
          </cell>
          <cell r="F724" t="str">
            <v>3/21/2023</v>
          </cell>
          <cell r="H724" t="str">
            <v>IVFS2023</v>
          </cell>
          <cell r="I724" t="str">
            <v>NSW</v>
          </cell>
          <cell r="J724" t="str">
            <v>Casual</v>
          </cell>
          <cell r="K724" t="str">
            <v>3/21/2023</v>
          </cell>
          <cell r="L724" t="str">
            <v>3/21/2023</v>
          </cell>
        </row>
        <row r="725">
          <cell r="A725" t="str">
            <v>AU22797</v>
          </cell>
          <cell r="B725" t="str">
            <v>3/22/2001</v>
          </cell>
          <cell r="C725" t="str">
            <v>NSW-QLD</v>
          </cell>
          <cell r="D725" t="str">
            <v>Virtus Health</v>
          </cell>
          <cell r="E725" t="str">
            <v>New Patient Care Consultant</v>
          </cell>
          <cell r="F725" t="str">
            <v>3/23/2023</v>
          </cell>
          <cell r="H725" t="str">
            <v>IVFS2023</v>
          </cell>
          <cell r="I725" t="str">
            <v>NSW</v>
          </cell>
          <cell r="J725" t="str">
            <v>Part Time</v>
          </cell>
          <cell r="K725" t="str">
            <v>3/23/2023</v>
          </cell>
          <cell r="L725" t="str">
            <v>3/23/2023</v>
          </cell>
        </row>
        <row r="726">
          <cell r="A726" t="str">
            <v>AU22799</v>
          </cell>
          <cell r="B726" t="str">
            <v>3/19/2001</v>
          </cell>
          <cell r="C726" t="str">
            <v>NSW-QLD</v>
          </cell>
          <cell r="D726" t="str">
            <v>Virtus Health</v>
          </cell>
          <cell r="E726" t="str">
            <v>Genetic Scientist</v>
          </cell>
          <cell r="F726" t="str">
            <v>3/20/2023</v>
          </cell>
          <cell r="H726" t="str">
            <v>QS2024</v>
          </cell>
          <cell r="I726" t="str">
            <v>QLD</v>
          </cell>
          <cell r="J726" t="str">
            <v>Full Time</v>
          </cell>
          <cell r="K726" t="str">
            <v>3/20/2023</v>
          </cell>
          <cell r="L726" t="str">
            <v>3/20/2023</v>
          </cell>
        </row>
        <row r="727">
          <cell r="A727" t="str">
            <v>AU22801</v>
          </cell>
          <cell r="B727" t="str">
            <v>3/26/2001</v>
          </cell>
          <cell r="C727" t="str">
            <v>NSW-QLD</v>
          </cell>
          <cell r="D727" t="str">
            <v>Virtus Health</v>
          </cell>
          <cell r="E727" t="str">
            <v>Embryologist</v>
          </cell>
          <cell r="F727" t="str">
            <v>3/27/2023</v>
          </cell>
          <cell r="H727" t="str">
            <v>QS2024</v>
          </cell>
          <cell r="I727" t="str">
            <v>QLD</v>
          </cell>
          <cell r="J727" t="str">
            <v>Part Time</v>
          </cell>
          <cell r="K727" t="str">
            <v>3/27/2023</v>
          </cell>
          <cell r="L727" t="str">
            <v>3/27/2023</v>
          </cell>
        </row>
        <row r="728">
          <cell r="A728" t="str">
            <v>AU22803</v>
          </cell>
          <cell r="B728" t="str">
            <v>3/26/2001</v>
          </cell>
          <cell r="C728" t="str">
            <v>NSW-QLD</v>
          </cell>
          <cell r="D728" t="str">
            <v>Virtus Health</v>
          </cell>
          <cell r="E728" t="str">
            <v>Medical Receptionist</v>
          </cell>
          <cell r="F728" t="str">
            <v>3/27/2023</v>
          </cell>
          <cell r="H728" t="str">
            <v>IVFS2023</v>
          </cell>
          <cell r="I728" t="str">
            <v>QLD</v>
          </cell>
          <cell r="J728" t="str">
            <v>Part Time</v>
          </cell>
          <cell r="K728" t="str">
            <v>3/27/2023</v>
          </cell>
          <cell r="L728" t="str">
            <v>3/27/2023</v>
          </cell>
        </row>
        <row r="729">
          <cell r="A729" t="str">
            <v>AU22804</v>
          </cell>
          <cell r="B729">
            <v>37168</v>
          </cell>
          <cell r="C729" t="str">
            <v>VIC-TAS</v>
          </cell>
          <cell r="D729" t="str">
            <v>Virtus Health</v>
          </cell>
          <cell r="E729" t="str">
            <v>Receptionist</v>
          </cell>
          <cell r="F729">
            <v>45234</v>
          </cell>
          <cell r="H729" t="str">
            <v>MIVFS2022</v>
          </cell>
          <cell r="I729" t="str">
            <v>VIC</v>
          </cell>
          <cell r="J729" t="str">
            <v>Full Time</v>
          </cell>
          <cell r="K729">
            <v>45234</v>
          </cell>
          <cell r="L729">
            <v>45234</v>
          </cell>
        </row>
        <row r="730">
          <cell r="A730" t="str">
            <v>AU22806</v>
          </cell>
          <cell r="B730" t="str">
            <v>3/26/2001</v>
          </cell>
          <cell r="C730" t="str">
            <v>VIC-TAS</v>
          </cell>
          <cell r="D730" t="str">
            <v>Virtus Health</v>
          </cell>
          <cell r="E730" t="str">
            <v>Registered Nurse</v>
          </cell>
          <cell r="F730" t="str">
            <v>3/27/2023</v>
          </cell>
          <cell r="H730" t="str">
            <v>MIVFN2023</v>
          </cell>
          <cell r="I730" t="str">
            <v>VIC</v>
          </cell>
          <cell r="J730" t="str">
            <v>Part Time</v>
          </cell>
          <cell r="K730" t="str">
            <v>3/27/2023</v>
          </cell>
          <cell r="L730" t="str">
            <v>3/27/2023</v>
          </cell>
        </row>
        <row r="731">
          <cell r="A731" t="str">
            <v>AU22807</v>
          </cell>
          <cell r="B731" t="str">
            <v>2/28/2001</v>
          </cell>
          <cell r="C731" t="str">
            <v>NSW-QLD</v>
          </cell>
          <cell r="D731" t="str">
            <v>Virtus Health</v>
          </cell>
          <cell r="E731" t="str">
            <v xml:space="preserve">Medical Director </v>
          </cell>
          <cell r="F731">
            <v>44929</v>
          </cell>
          <cell r="H731" t="str">
            <v>NSW</v>
          </cell>
          <cell r="I731" t="str">
            <v>NSW</v>
          </cell>
          <cell r="J731" t="str">
            <v>Part Time</v>
          </cell>
          <cell r="K731">
            <v>44929</v>
          </cell>
          <cell r="L731">
            <v>44929</v>
          </cell>
        </row>
        <row r="732">
          <cell r="A732" t="str">
            <v>AU22812</v>
          </cell>
          <cell r="B732" t="str">
            <v>3/29/2001</v>
          </cell>
          <cell r="C732" t="str">
            <v>NSW-QLD</v>
          </cell>
          <cell r="D732" t="str">
            <v>Virtus Health</v>
          </cell>
          <cell r="E732" t="str">
            <v>Medical Secretary</v>
          </cell>
          <cell r="F732" t="str">
            <v>3/30/2023</v>
          </cell>
          <cell r="H732" t="str">
            <v>IVFS2023</v>
          </cell>
          <cell r="I732" t="str">
            <v>NSW</v>
          </cell>
          <cell r="J732" t="str">
            <v>Full Time</v>
          </cell>
          <cell r="K732" t="str">
            <v>3/30/2023</v>
          </cell>
          <cell r="L732" t="str">
            <v>3/30/2023</v>
          </cell>
        </row>
        <row r="733">
          <cell r="A733" t="str">
            <v>AU22814</v>
          </cell>
          <cell r="B733">
            <v>36926</v>
          </cell>
          <cell r="C733" t="str">
            <v>NSW-QLD</v>
          </cell>
          <cell r="D733" t="str">
            <v>Virtus Health</v>
          </cell>
          <cell r="E733" t="str">
            <v>Associate Nurse Unit Manager</v>
          </cell>
          <cell r="F733">
            <v>44989</v>
          </cell>
          <cell r="H733" t="str">
            <v>QN2025</v>
          </cell>
          <cell r="I733" t="str">
            <v>QLD</v>
          </cell>
          <cell r="J733" t="str">
            <v>Full Time</v>
          </cell>
          <cell r="K733">
            <v>44989</v>
          </cell>
          <cell r="L733">
            <v>44989</v>
          </cell>
        </row>
        <row r="734">
          <cell r="A734" t="str">
            <v>AU22815</v>
          </cell>
          <cell r="B734">
            <v>37138</v>
          </cell>
          <cell r="C734" t="str">
            <v>NSW-QLD</v>
          </cell>
          <cell r="D734" t="str">
            <v>Virtus Health</v>
          </cell>
          <cell r="E734" t="str">
            <v>Registered Nurse</v>
          </cell>
          <cell r="F734">
            <v>45203</v>
          </cell>
          <cell r="H734" t="str">
            <v>QN2025</v>
          </cell>
          <cell r="I734" t="str">
            <v>QLD</v>
          </cell>
          <cell r="J734" t="str">
            <v>Casual</v>
          </cell>
          <cell r="K734">
            <v>45203</v>
          </cell>
          <cell r="L734">
            <v>45203</v>
          </cell>
        </row>
        <row r="735">
          <cell r="A735" t="str">
            <v>AU22817</v>
          </cell>
          <cell r="B735" t="str">
            <v>4/16/2001</v>
          </cell>
          <cell r="C735" t="str">
            <v>NSW-QLD</v>
          </cell>
          <cell r="D735" t="str">
            <v>Virtus Health</v>
          </cell>
          <cell r="E735" t="str">
            <v>Head of Department - Cytogenetics</v>
          </cell>
          <cell r="F735" t="str">
            <v>4/17/2023</v>
          </cell>
          <cell r="H735" t="str">
            <v>QLD</v>
          </cell>
          <cell r="I735" t="str">
            <v>QLD</v>
          </cell>
          <cell r="J735" t="str">
            <v>Full Time</v>
          </cell>
          <cell r="K735" t="str">
            <v>4/17/2023</v>
          </cell>
          <cell r="L735" t="str">
            <v>4/17/2023</v>
          </cell>
        </row>
        <row r="736">
          <cell r="A736" t="str">
            <v>AU22821</v>
          </cell>
          <cell r="B736" t="str">
            <v>4/25/2001</v>
          </cell>
          <cell r="C736" t="str">
            <v>NSW-QLD</v>
          </cell>
          <cell r="D736" t="str">
            <v>Virtus Health</v>
          </cell>
          <cell r="E736" t="str">
            <v>Workforce Scheduling Business Analyst</v>
          </cell>
          <cell r="F736" t="str">
            <v>4/26/2023</v>
          </cell>
          <cell r="H736" t="str">
            <v>QLD</v>
          </cell>
          <cell r="I736" t="str">
            <v>QLD</v>
          </cell>
          <cell r="J736" t="str">
            <v>Full Time</v>
          </cell>
          <cell r="K736" t="str">
            <v>4/26/2023</v>
          </cell>
          <cell r="L736" t="str">
            <v>4/26/2023</v>
          </cell>
        </row>
        <row r="737">
          <cell r="A737" t="str">
            <v>AU22824</v>
          </cell>
          <cell r="B737" t="str">
            <v>12/13/2000</v>
          </cell>
          <cell r="C737" t="str">
            <v>VIC-TAS</v>
          </cell>
          <cell r="D737" t="str">
            <v>Virtus Health</v>
          </cell>
          <cell r="E737" t="str">
            <v>Registered Nurse</v>
          </cell>
          <cell r="F737" t="str">
            <v>12/14/2022</v>
          </cell>
          <cell r="H737" t="str">
            <v>MIVFN2023</v>
          </cell>
          <cell r="I737" t="str">
            <v>VIC</v>
          </cell>
          <cell r="J737" t="str">
            <v>Part Time</v>
          </cell>
          <cell r="K737" t="str">
            <v>12/14/2022</v>
          </cell>
          <cell r="L737" t="str">
            <v>12/14/2022</v>
          </cell>
        </row>
        <row r="738">
          <cell r="A738" t="str">
            <v>AU22825</v>
          </cell>
          <cell r="B738" t="str">
            <v>1/18/2000</v>
          </cell>
          <cell r="C738" t="str">
            <v>NSW-QLD</v>
          </cell>
          <cell r="D738" t="str">
            <v>Virtus Health</v>
          </cell>
          <cell r="E738" t="str">
            <v>Assistant in Nursing</v>
          </cell>
          <cell r="F738" t="str">
            <v>1/18/2022</v>
          </cell>
          <cell r="H738" t="str">
            <v>IVFN2021</v>
          </cell>
          <cell r="I738" t="str">
            <v>NSW</v>
          </cell>
          <cell r="J738" t="str">
            <v>Full Time</v>
          </cell>
          <cell r="K738" t="str">
            <v>1/18/2022</v>
          </cell>
          <cell r="L738" t="str">
            <v>1/18/2022</v>
          </cell>
        </row>
        <row r="739">
          <cell r="A739" t="str">
            <v>AU22826</v>
          </cell>
          <cell r="B739">
            <v>37199</v>
          </cell>
          <cell r="C739" t="str">
            <v>VIC-TAS</v>
          </cell>
          <cell r="D739" t="str">
            <v>Virtus Health</v>
          </cell>
          <cell r="E739" t="str">
            <v>Administration</v>
          </cell>
          <cell r="F739">
            <v>45264</v>
          </cell>
          <cell r="H739" t="str">
            <v>MIVFS2022</v>
          </cell>
          <cell r="I739" t="str">
            <v>VIC</v>
          </cell>
          <cell r="J739" t="str">
            <v>Part Time</v>
          </cell>
          <cell r="K739">
            <v>45264</v>
          </cell>
          <cell r="L739">
            <v>45264</v>
          </cell>
        </row>
        <row r="740">
          <cell r="A740" t="str">
            <v>AU22828</v>
          </cell>
          <cell r="B740" t="str">
            <v>3/27/2001</v>
          </cell>
          <cell r="C740" t="str">
            <v>VIC-TAS</v>
          </cell>
          <cell r="D740" t="str">
            <v>Virtus Health</v>
          </cell>
          <cell r="E740" t="str">
            <v>Patient Care Co-ordinator</v>
          </cell>
          <cell r="F740" t="str">
            <v>3/28/2023</v>
          </cell>
          <cell r="H740" t="str">
            <v>MIVFS2022</v>
          </cell>
          <cell r="I740" t="str">
            <v>VIC</v>
          </cell>
          <cell r="J740" t="str">
            <v>Full Time</v>
          </cell>
          <cell r="K740" t="str">
            <v>3/28/2023</v>
          </cell>
          <cell r="L740" t="str">
            <v>3/28/2023</v>
          </cell>
        </row>
        <row r="741">
          <cell r="A741" t="str">
            <v>AU22829</v>
          </cell>
          <cell r="B741">
            <v>36926</v>
          </cell>
          <cell r="C741" t="str">
            <v>NSW-QLD</v>
          </cell>
          <cell r="D741" t="str">
            <v>Virtus Health</v>
          </cell>
          <cell r="E741" t="str">
            <v>Genetic Counseling Manager</v>
          </cell>
          <cell r="F741">
            <v>44989</v>
          </cell>
          <cell r="H741" t="str">
            <v>IVFS2023</v>
          </cell>
          <cell r="I741" t="str">
            <v>WA</v>
          </cell>
          <cell r="J741" t="str">
            <v>Part Time</v>
          </cell>
          <cell r="K741">
            <v>44989</v>
          </cell>
          <cell r="L741">
            <v>44989</v>
          </cell>
        </row>
        <row r="742">
          <cell r="A742" t="str">
            <v>AU22834</v>
          </cell>
          <cell r="B742" t="str">
            <v>4/23/2001</v>
          </cell>
          <cell r="C742" t="str">
            <v>NSW-QLD</v>
          </cell>
          <cell r="D742" t="str">
            <v>Virtus Health</v>
          </cell>
          <cell r="E742" t="str">
            <v>Principal Clinical Scientist - Molecular Genetics</v>
          </cell>
          <cell r="F742" t="str">
            <v>4/24/2023</v>
          </cell>
          <cell r="H742" t="str">
            <v>NSW</v>
          </cell>
          <cell r="I742" t="str">
            <v>NSW</v>
          </cell>
          <cell r="J742" t="str">
            <v>Full Time</v>
          </cell>
          <cell r="K742" t="str">
            <v>4/24/2023</v>
          </cell>
          <cell r="L742" t="str">
            <v>4/24/2023</v>
          </cell>
        </row>
        <row r="743">
          <cell r="A743" t="str">
            <v>AU22836</v>
          </cell>
          <cell r="B743">
            <v>36926</v>
          </cell>
          <cell r="C743" t="str">
            <v>NSW-QLD</v>
          </cell>
          <cell r="D743" t="str">
            <v>Virtus Health</v>
          </cell>
          <cell r="E743" t="str">
            <v>Genetic Counsellor</v>
          </cell>
          <cell r="F743">
            <v>44989</v>
          </cell>
          <cell r="H743" t="str">
            <v>IVFS2023</v>
          </cell>
          <cell r="I743" t="str">
            <v>QLD</v>
          </cell>
          <cell r="J743" t="str">
            <v>Part Time</v>
          </cell>
          <cell r="K743">
            <v>44989</v>
          </cell>
          <cell r="L743">
            <v>44989</v>
          </cell>
        </row>
        <row r="744">
          <cell r="A744" t="str">
            <v>AU22838</v>
          </cell>
          <cell r="B744" t="str">
            <v>4/26/2001</v>
          </cell>
          <cell r="C744" t="str">
            <v>VIC-TAS</v>
          </cell>
          <cell r="D744" t="str">
            <v>Virtus Health</v>
          </cell>
          <cell r="E744" t="str">
            <v>Donor And Surrogacy Program Nurse</v>
          </cell>
          <cell r="F744" t="str">
            <v>4/27/2023</v>
          </cell>
          <cell r="H744" t="str">
            <v>MIVFN2023</v>
          </cell>
          <cell r="I744" t="str">
            <v>VIC</v>
          </cell>
          <cell r="J744" t="str">
            <v>Full Time</v>
          </cell>
          <cell r="K744" t="str">
            <v>4/27/2023</v>
          </cell>
          <cell r="L744" t="str">
            <v>4/27/2023</v>
          </cell>
        </row>
        <row r="745">
          <cell r="A745" t="str">
            <v>AU22846</v>
          </cell>
          <cell r="B745" t="str">
            <v>5/21/2001</v>
          </cell>
          <cell r="C745" t="str">
            <v>NSW-QLD</v>
          </cell>
          <cell r="D745" t="str">
            <v>Virtus Health</v>
          </cell>
          <cell r="E745" t="str">
            <v>Senior Payroll Business Partner</v>
          </cell>
          <cell r="F745" t="str">
            <v>5/22/2023</v>
          </cell>
          <cell r="H745" t="str">
            <v>NSW</v>
          </cell>
          <cell r="I745" t="str">
            <v>NSW</v>
          </cell>
          <cell r="J745" t="str">
            <v>Full Time</v>
          </cell>
          <cell r="K745" t="str">
            <v>5/22/2023</v>
          </cell>
          <cell r="L745" t="str">
            <v>5/22/2023</v>
          </cell>
        </row>
        <row r="746">
          <cell r="A746" t="str">
            <v>AU22848</v>
          </cell>
          <cell r="B746" t="str">
            <v>4/30/2001</v>
          </cell>
          <cell r="C746" t="str">
            <v>VIC-TAS</v>
          </cell>
          <cell r="D746" t="str">
            <v>Virtus Health</v>
          </cell>
          <cell r="E746" t="str">
            <v>Registered Nurse</v>
          </cell>
          <cell r="F746">
            <v>44931</v>
          </cell>
          <cell r="H746" t="str">
            <v>MIVFN2023</v>
          </cell>
          <cell r="I746" t="str">
            <v>VIC</v>
          </cell>
          <cell r="J746" t="str">
            <v>Part Time</v>
          </cell>
          <cell r="K746">
            <v>44931</v>
          </cell>
          <cell r="L746">
            <v>44931</v>
          </cell>
        </row>
        <row r="747">
          <cell r="A747" t="str">
            <v>AU22849</v>
          </cell>
          <cell r="B747" t="str">
            <v>4/18/2001</v>
          </cell>
          <cell r="C747" t="str">
            <v>NSW-QLD</v>
          </cell>
          <cell r="D747" t="str">
            <v>Virtus Health</v>
          </cell>
          <cell r="E747" t="str">
            <v>Registered Nurse</v>
          </cell>
          <cell r="F747" t="str">
            <v>4/19/2023</v>
          </cell>
          <cell r="H747" t="str">
            <v>IVFN2021</v>
          </cell>
          <cell r="I747" t="str">
            <v>NSW</v>
          </cell>
          <cell r="J747" t="str">
            <v>Part Time</v>
          </cell>
          <cell r="K747" t="str">
            <v>4/19/2023</v>
          </cell>
          <cell r="L747" t="str">
            <v>4/19/2023</v>
          </cell>
        </row>
        <row r="748">
          <cell r="A748" t="str">
            <v>AU22856</v>
          </cell>
          <cell r="B748">
            <v>37169</v>
          </cell>
          <cell r="C748" t="str">
            <v>NSW-QLD</v>
          </cell>
          <cell r="D748" t="str">
            <v>Virtus Health</v>
          </cell>
          <cell r="E748" t="str">
            <v>Courier</v>
          </cell>
          <cell r="F748">
            <v>45235</v>
          </cell>
          <cell r="H748" t="str">
            <v>IVFS2023</v>
          </cell>
          <cell r="I748" t="str">
            <v>NSW</v>
          </cell>
          <cell r="J748" t="str">
            <v>Casual</v>
          </cell>
          <cell r="K748">
            <v>45235</v>
          </cell>
          <cell r="L748">
            <v>45235</v>
          </cell>
        </row>
        <row r="749">
          <cell r="A749" t="str">
            <v>AU22859</v>
          </cell>
          <cell r="B749">
            <v>36987</v>
          </cell>
          <cell r="C749" t="str">
            <v>NSW-QLD</v>
          </cell>
          <cell r="D749" t="str">
            <v>Virtus Health</v>
          </cell>
          <cell r="E749" t="str">
            <v>HR &amp; Payroll Implementation Consultant</v>
          </cell>
          <cell r="F749">
            <v>45052</v>
          </cell>
          <cell r="H749" t="str">
            <v>QLD</v>
          </cell>
          <cell r="I749" t="str">
            <v>QLD</v>
          </cell>
          <cell r="J749" t="str">
            <v>Full Time</v>
          </cell>
          <cell r="K749">
            <v>45052</v>
          </cell>
          <cell r="L749">
            <v>45052</v>
          </cell>
        </row>
        <row r="750">
          <cell r="A750" t="str">
            <v>AU22861</v>
          </cell>
          <cell r="B750">
            <v>37077</v>
          </cell>
          <cell r="C750" t="str">
            <v>NSW-QLD</v>
          </cell>
          <cell r="D750" t="str">
            <v>Virtus Health</v>
          </cell>
          <cell r="E750" t="str">
            <v>Embryologist</v>
          </cell>
          <cell r="F750">
            <v>45143</v>
          </cell>
          <cell r="H750" t="str">
            <v>IVFT2024</v>
          </cell>
          <cell r="I750" t="str">
            <v>NSW</v>
          </cell>
          <cell r="J750" t="str">
            <v>Full Time</v>
          </cell>
          <cell r="K750">
            <v>45143</v>
          </cell>
          <cell r="L750">
            <v>45143</v>
          </cell>
        </row>
        <row r="751">
          <cell r="A751" t="str">
            <v>AU22866</v>
          </cell>
          <cell r="B751" t="str">
            <v>4/18/2001</v>
          </cell>
          <cell r="C751" t="str">
            <v>NSW-QLD</v>
          </cell>
          <cell r="D751" t="str">
            <v>Virtus Health</v>
          </cell>
          <cell r="E751" t="str">
            <v>Registered Nurse</v>
          </cell>
          <cell r="F751" t="str">
            <v>4/19/2023</v>
          </cell>
          <cell r="H751" t="str">
            <v>IVFN2021</v>
          </cell>
          <cell r="I751" t="str">
            <v>NSW</v>
          </cell>
          <cell r="J751" t="str">
            <v>Full Time</v>
          </cell>
          <cell r="K751" t="str">
            <v>4/19/2023</v>
          </cell>
          <cell r="L751" t="str">
            <v>4/19/2023</v>
          </cell>
        </row>
        <row r="752">
          <cell r="A752" t="str">
            <v>AU22868</v>
          </cell>
          <cell r="B752">
            <v>37200</v>
          </cell>
          <cell r="C752" t="str">
            <v>NSW-QLD</v>
          </cell>
          <cell r="D752" t="str">
            <v>Virtus Health</v>
          </cell>
          <cell r="E752" t="str">
            <v>Carpark Concierge</v>
          </cell>
          <cell r="F752">
            <v>45265</v>
          </cell>
          <cell r="H752" t="str">
            <v>IVFS2023</v>
          </cell>
          <cell r="I752" t="str">
            <v>NSW</v>
          </cell>
          <cell r="J752" t="str">
            <v>Casual</v>
          </cell>
          <cell r="K752">
            <v>45265</v>
          </cell>
          <cell r="L752">
            <v>45265</v>
          </cell>
        </row>
        <row r="753">
          <cell r="A753" t="str">
            <v>AU22870</v>
          </cell>
          <cell r="B753">
            <v>36987</v>
          </cell>
          <cell r="C753" t="str">
            <v>NSW-QLD</v>
          </cell>
          <cell r="D753" t="str">
            <v>Virtus Health</v>
          </cell>
          <cell r="E753" t="str">
            <v>Genetic Scientist</v>
          </cell>
          <cell r="F753">
            <v>45052</v>
          </cell>
          <cell r="H753" t="str">
            <v>QS2024</v>
          </cell>
          <cell r="I753" t="str">
            <v>QLD</v>
          </cell>
          <cell r="J753" t="str">
            <v>Full Time</v>
          </cell>
          <cell r="K753">
            <v>45052</v>
          </cell>
          <cell r="L753">
            <v>45052</v>
          </cell>
        </row>
        <row r="754">
          <cell r="A754" t="str">
            <v>AU22876</v>
          </cell>
          <cell r="B754">
            <v>37231</v>
          </cell>
          <cell r="C754" t="str">
            <v>NSW-QLD</v>
          </cell>
          <cell r="D754" t="str">
            <v>Virtus Health</v>
          </cell>
          <cell r="E754" t="str">
            <v>Registered Nurse</v>
          </cell>
          <cell r="F754" t="str">
            <v>6/13/2023</v>
          </cell>
          <cell r="H754" t="str">
            <v>QN2025</v>
          </cell>
          <cell r="I754" t="str">
            <v>QLD</v>
          </cell>
          <cell r="J754" t="str">
            <v>Part Time</v>
          </cell>
          <cell r="K754" t="str">
            <v>6/13/2023</v>
          </cell>
          <cell r="L754" t="str">
            <v>6/13/2023</v>
          </cell>
        </row>
        <row r="755">
          <cell r="A755" t="str">
            <v>AU22877</v>
          </cell>
          <cell r="B755">
            <v>36987</v>
          </cell>
          <cell r="C755" t="str">
            <v>NSW-QLD</v>
          </cell>
          <cell r="D755" t="str">
            <v>Virtus Health</v>
          </cell>
          <cell r="E755" t="str">
            <v>Administration Clerk</v>
          </cell>
          <cell r="F755">
            <v>45052</v>
          </cell>
          <cell r="H755" t="str">
            <v>IVFS2023</v>
          </cell>
          <cell r="I755" t="str">
            <v>NSW</v>
          </cell>
          <cell r="J755" t="str">
            <v>Part Time</v>
          </cell>
          <cell r="K755">
            <v>45052</v>
          </cell>
          <cell r="L755">
            <v>45052</v>
          </cell>
        </row>
        <row r="756">
          <cell r="A756" t="str">
            <v>AU22880</v>
          </cell>
          <cell r="B756">
            <v>36987</v>
          </cell>
          <cell r="C756" t="str">
            <v>NSW-QLD</v>
          </cell>
          <cell r="D756" t="str">
            <v>Virtus Health</v>
          </cell>
          <cell r="E756" t="str">
            <v>Registered Nurse</v>
          </cell>
          <cell r="F756">
            <v>45052</v>
          </cell>
          <cell r="H756" t="str">
            <v>IVFN2021</v>
          </cell>
          <cell r="I756" t="str">
            <v>NSW</v>
          </cell>
          <cell r="J756" t="str">
            <v>Casual</v>
          </cell>
          <cell r="K756">
            <v>45052</v>
          </cell>
          <cell r="L756">
            <v>45052</v>
          </cell>
        </row>
        <row r="757">
          <cell r="A757" t="str">
            <v>AU22884</v>
          </cell>
          <cell r="B757">
            <v>37201</v>
          </cell>
          <cell r="C757" t="str">
            <v>NSW-QLD</v>
          </cell>
          <cell r="D757" t="str">
            <v>Virtus Health</v>
          </cell>
          <cell r="E757" t="str">
            <v>Registered Nurse</v>
          </cell>
          <cell r="F757">
            <v>45266</v>
          </cell>
          <cell r="H757" t="str">
            <v>IVFN2021</v>
          </cell>
          <cell r="I757" t="str">
            <v>NSW</v>
          </cell>
          <cell r="J757" t="str">
            <v>Casual</v>
          </cell>
          <cell r="K757">
            <v>45266</v>
          </cell>
          <cell r="L757">
            <v>45266</v>
          </cell>
        </row>
        <row r="758">
          <cell r="A758" t="str">
            <v>AU22885</v>
          </cell>
          <cell r="B758">
            <v>37201</v>
          </cell>
          <cell r="C758" t="str">
            <v>NSW-QLD</v>
          </cell>
          <cell r="D758" t="str">
            <v>Virtus Health</v>
          </cell>
          <cell r="E758" t="str">
            <v>Registered Nurse</v>
          </cell>
          <cell r="F758">
            <v>45266</v>
          </cell>
          <cell r="H758" t="str">
            <v>IVFN2021</v>
          </cell>
          <cell r="I758" t="str">
            <v>NSW</v>
          </cell>
          <cell r="J758" t="str">
            <v>Casual</v>
          </cell>
          <cell r="K758">
            <v>45266</v>
          </cell>
          <cell r="L758">
            <v>45266</v>
          </cell>
        </row>
        <row r="759">
          <cell r="A759" t="str">
            <v>AU22886</v>
          </cell>
          <cell r="B759">
            <v>37201</v>
          </cell>
          <cell r="C759" t="str">
            <v>NSW-QLD</v>
          </cell>
          <cell r="D759" t="str">
            <v>Virtus Health</v>
          </cell>
          <cell r="E759" t="str">
            <v>Embryologist</v>
          </cell>
          <cell r="F759">
            <v>45266</v>
          </cell>
          <cell r="H759" t="str">
            <v>QS2024</v>
          </cell>
          <cell r="I759" t="str">
            <v>QLD</v>
          </cell>
          <cell r="J759" t="str">
            <v>Part Time</v>
          </cell>
          <cell r="K759">
            <v>45266</v>
          </cell>
          <cell r="L759">
            <v>45266</v>
          </cell>
        </row>
        <row r="760">
          <cell r="A760" t="str">
            <v>AU22887</v>
          </cell>
          <cell r="B760">
            <v>36987</v>
          </cell>
          <cell r="C760" t="str">
            <v>NSW-QLD</v>
          </cell>
          <cell r="D760" t="str">
            <v>Virtus Health</v>
          </cell>
          <cell r="E760" t="str">
            <v>Embryologist</v>
          </cell>
          <cell r="F760">
            <v>45052</v>
          </cell>
          <cell r="H760" t="str">
            <v>QS2024</v>
          </cell>
          <cell r="I760" t="str">
            <v>QLD</v>
          </cell>
          <cell r="J760" t="str">
            <v>Full Time</v>
          </cell>
          <cell r="K760">
            <v>45052</v>
          </cell>
          <cell r="L760">
            <v>45052</v>
          </cell>
        </row>
        <row r="761">
          <cell r="A761" t="str">
            <v>AU22890</v>
          </cell>
          <cell r="B761" t="str">
            <v>6/25/2001</v>
          </cell>
          <cell r="C761" t="str">
            <v>NSW-QLD</v>
          </cell>
          <cell r="D761" t="str">
            <v>Virtus Health</v>
          </cell>
          <cell r="E761" t="str">
            <v>ICT -INF-System Administrator</v>
          </cell>
          <cell r="F761" t="str">
            <v>6/26/2023</v>
          </cell>
          <cell r="H761" t="str">
            <v>QLD</v>
          </cell>
          <cell r="I761" t="str">
            <v>QLD</v>
          </cell>
          <cell r="J761" t="str">
            <v>Full Time</v>
          </cell>
          <cell r="K761" t="str">
            <v>6/26/2023</v>
          </cell>
          <cell r="L761" t="str">
            <v>6/26/2023</v>
          </cell>
        </row>
        <row r="762">
          <cell r="A762" t="str">
            <v>AU22892</v>
          </cell>
          <cell r="B762" t="str">
            <v>8/20/1991</v>
          </cell>
          <cell r="C762" t="str">
            <v>NSW-QLD</v>
          </cell>
          <cell r="D762" t="str">
            <v>Virtus Health</v>
          </cell>
          <cell r="E762" t="str">
            <v>Registered Nurse</v>
          </cell>
          <cell r="F762" t="str">
            <v>8/20/2013</v>
          </cell>
          <cell r="H762" t="str">
            <v>IVFN2021</v>
          </cell>
          <cell r="I762" t="str">
            <v>NSW</v>
          </cell>
          <cell r="J762" t="str">
            <v>Casual</v>
          </cell>
          <cell r="K762" t="str">
            <v>8/20/2013</v>
          </cell>
          <cell r="L762" t="str">
            <v>8/20/2013</v>
          </cell>
        </row>
        <row r="763">
          <cell r="A763" t="str">
            <v>AU22894</v>
          </cell>
          <cell r="B763">
            <v>37141</v>
          </cell>
          <cell r="C763" t="str">
            <v>NSW-QLD</v>
          </cell>
          <cell r="D763" t="str">
            <v>Virtus Health</v>
          </cell>
          <cell r="E763" t="str">
            <v>Integration Lead</v>
          </cell>
          <cell r="F763">
            <v>45206</v>
          </cell>
          <cell r="H763" t="str">
            <v>VIC</v>
          </cell>
          <cell r="I763" t="str">
            <v>VIC</v>
          </cell>
          <cell r="J763" t="str">
            <v>Full Time</v>
          </cell>
          <cell r="K763">
            <v>45206</v>
          </cell>
          <cell r="L763">
            <v>45206</v>
          </cell>
        </row>
        <row r="764">
          <cell r="A764" t="str">
            <v>AU22895</v>
          </cell>
          <cell r="B764" t="str">
            <v>6/18/2001</v>
          </cell>
          <cell r="C764" t="str">
            <v>VIC-TAS</v>
          </cell>
          <cell r="D764" t="str">
            <v>Virtus Health</v>
          </cell>
          <cell r="E764" t="str">
            <v>Registered Nurse</v>
          </cell>
          <cell r="F764" t="str">
            <v>6/19/2023</v>
          </cell>
          <cell r="H764" t="str">
            <v>MIVFN2023</v>
          </cell>
          <cell r="I764" t="str">
            <v>VIC</v>
          </cell>
          <cell r="J764" t="str">
            <v>Full Time</v>
          </cell>
          <cell r="K764" t="str">
            <v>6/19/2023</v>
          </cell>
          <cell r="L764" t="str">
            <v>6/19/2023</v>
          </cell>
        </row>
        <row r="765">
          <cell r="A765" t="str">
            <v>AU22898</v>
          </cell>
          <cell r="B765">
            <v>36929</v>
          </cell>
          <cell r="C765" t="str">
            <v>VIC-TAS</v>
          </cell>
          <cell r="D765" t="str">
            <v>Virtus Health</v>
          </cell>
          <cell r="E765" t="str">
            <v>Registered Nurse</v>
          </cell>
          <cell r="F765">
            <v>44992</v>
          </cell>
          <cell r="H765" t="str">
            <v>TIVF2024</v>
          </cell>
          <cell r="I765" t="str">
            <v>TAS</v>
          </cell>
          <cell r="J765" t="str">
            <v>Casual</v>
          </cell>
          <cell r="K765">
            <v>44992</v>
          </cell>
          <cell r="L765">
            <v>44992</v>
          </cell>
        </row>
        <row r="766">
          <cell r="A766" t="str">
            <v>AU22899</v>
          </cell>
          <cell r="B766">
            <v>37141</v>
          </cell>
          <cell r="C766" t="str">
            <v>VIC-TAS</v>
          </cell>
          <cell r="D766" t="str">
            <v>Virtus Health</v>
          </cell>
          <cell r="E766" t="str">
            <v>Registered Nurse</v>
          </cell>
          <cell r="F766">
            <v>45206</v>
          </cell>
          <cell r="H766" t="str">
            <v>MIVFN2023</v>
          </cell>
          <cell r="I766" t="str">
            <v>VIC</v>
          </cell>
          <cell r="J766" t="str">
            <v>Part Time</v>
          </cell>
          <cell r="K766">
            <v>45206</v>
          </cell>
          <cell r="L766">
            <v>45206</v>
          </cell>
        </row>
        <row r="767">
          <cell r="A767" t="str">
            <v>AU22900</v>
          </cell>
          <cell r="B767" t="str">
            <v>5/31/2001</v>
          </cell>
          <cell r="C767" t="str">
            <v>NSW-QLD</v>
          </cell>
          <cell r="D767" t="str">
            <v>Virtus Health</v>
          </cell>
          <cell r="E767" t="str">
            <v>Managing Director Strategic Growth</v>
          </cell>
          <cell r="F767">
            <v>44932</v>
          </cell>
          <cell r="H767" t="str">
            <v>NSW</v>
          </cell>
          <cell r="I767" t="str">
            <v>NSW</v>
          </cell>
          <cell r="J767" t="str">
            <v>Part Time</v>
          </cell>
          <cell r="K767">
            <v>44932</v>
          </cell>
          <cell r="L767">
            <v>44932</v>
          </cell>
        </row>
        <row r="768">
          <cell r="A768" t="str">
            <v>AU22901</v>
          </cell>
          <cell r="B768" t="str">
            <v>6/25/2001</v>
          </cell>
          <cell r="C768" t="str">
            <v>NSW-QLD</v>
          </cell>
          <cell r="D768" t="str">
            <v>Virtus Health</v>
          </cell>
          <cell r="E768" t="str">
            <v>Embryologist</v>
          </cell>
          <cell r="F768" t="str">
            <v>6/26/2023</v>
          </cell>
          <cell r="H768" t="str">
            <v>IVFT2024</v>
          </cell>
          <cell r="I768" t="str">
            <v>ACT</v>
          </cell>
          <cell r="J768" t="str">
            <v>Full Time</v>
          </cell>
          <cell r="K768" t="str">
            <v>6/26/2023</v>
          </cell>
          <cell r="L768" t="str">
            <v>6/26/2023</v>
          </cell>
        </row>
        <row r="769">
          <cell r="A769" t="str">
            <v>AU22902</v>
          </cell>
          <cell r="B769">
            <v>36929</v>
          </cell>
          <cell r="C769" t="str">
            <v>NSW-QLD</v>
          </cell>
          <cell r="D769" t="str">
            <v>Virtus Health</v>
          </cell>
          <cell r="E769" t="str">
            <v>Enrolled Nurse</v>
          </cell>
          <cell r="F769">
            <v>44992</v>
          </cell>
          <cell r="H769" t="str">
            <v>IVFN2021</v>
          </cell>
          <cell r="I769" t="str">
            <v>NSW</v>
          </cell>
          <cell r="J769" t="str">
            <v>Casual</v>
          </cell>
          <cell r="K769">
            <v>44992</v>
          </cell>
          <cell r="L769">
            <v>44992</v>
          </cell>
        </row>
        <row r="770">
          <cell r="A770" t="str">
            <v>AU22904</v>
          </cell>
          <cell r="B770" t="str">
            <v>7/16/2001</v>
          </cell>
          <cell r="C770" t="str">
            <v>NSW-QLD</v>
          </cell>
          <cell r="D770" t="str">
            <v>Virtus Health</v>
          </cell>
          <cell r="E770" t="str">
            <v>Phlebotomist/ Administration</v>
          </cell>
          <cell r="F770" t="str">
            <v>7/17/2023</v>
          </cell>
          <cell r="H770" t="str">
            <v>IVFS2023</v>
          </cell>
          <cell r="I770" t="str">
            <v>QLD</v>
          </cell>
          <cell r="J770" t="str">
            <v>Part Time</v>
          </cell>
          <cell r="K770" t="str">
            <v>7/17/2023</v>
          </cell>
          <cell r="L770" t="str">
            <v>7/17/2023</v>
          </cell>
        </row>
        <row r="771">
          <cell r="A771" t="str">
            <v>AU22905</v>
          </cell>
          <cell r="B771">
            <v>37141</v>
          </cell>
          <cell r="C771" t="str">
            <v>NSW-QLD</v>
          </cell>
          <cell r="D771" t="str">
            <v>Virtus Health</v>
          </cell>
          <cell r="E771" t="str">
            <v>Registered Nurse</v>
          </cell>
          <cell r="F771">
            <v>45206</v>
          </cell>
          <cell r="H771" t="str">
            <v>IVFN2021</v>
          </cell>
          <cell r="I771" t="str">
            <v>NSW</v>
          </cell>
          <cell r="J771" t="str">
            <v>Casual</v>
          </cell>
          <cell r="K771">
            <v>45206</v>
          </cell>
          <cell r="L771">
            <v>45206</v>
          </cell>
        </row>
        <row r="772">
          <cell r="A772" t="str">
            <v>AU22908</v>
          </cell>
          <cell r="B772" t="str">
            <v>7/16/2001</v>
          </cell>
          <cell r="C772" t="str">
            <v>NSW-QLD</v>
          </cell>
          <cell r="D772" t="str">
            <v>Virtus Health</v>
          </cell>
          <cell r="E772" t="str">
            <v>Genetic Scientist</v>
          </cell>
          <cell r="F772" t="str">
            <v>7/17/2023</v>
          </cell>
          <cell r="H772" t="str">
            <v>QS2024</v>
          </cell>
          <cell r="I772" t="str">
            <v>QLD</v>
          </cell>
          <cell r="J772" t="str">
            <v>Full Time</v>
          </cell>
          <cell r="K772" t="str">
            <v>7/17/2023</v>
          </cell>
          <cell r="L772" t="str">
            <v>7/17/2023</v>
          </cell>
        </row>
        <row r="773">
          <cell r="A773" t="str">
            <v>AU22909</v>
          </cell>
          <cell r="B773">
            <v>36929</v>
          </cell>
          <cell r="C773" t="str">
            <v>NSW-QLD</v>
          </cell>
          <cell r="D773" t="str">
            <v>Virtus Health</v>
          </cell>
          <cell r="E773" t="str">
            <v>Registered Nurse</v>
          </cell>
          <cell r="F773">
            <v>44992</v>
          </cell>
          <cell r="H773" t="str">
            <v>IVFN2021</v>
          </cell>
          <cell r="I773" t="str">
            <v>NSW</v>
          </cell>
          <cell r="J773" t="str">
            <v>Part Time</v>
          </cell>
          <cell r="K773">
            <v>44992</v>
          </cell>
          <cell r="L773">
            <v>44992</v>
          </cell>
        </row>
        <row r="774">
          <cell r="A774" t="str">
            <v>AU22910</v>
          </cell>
          <cell r="B774">
            <v>36929</v>
          </cell>
          <cell r="C774" t="str">
            <v>NSW-QLD</v>
          </cell>
          <cell r="D774" t="str">
            <v>Virtus Health</v>
          </cell>
          <cell r="E774" t="str">
            <v>Registered Nurse</v>
          </cell>
          <cell r="F774">
            <v>44992</v>
          </cell>
          <cell r="H774" t="str">
            <v>IVFN2021</v>
          </cell>
          <cell r="I774" t="str">
            <v>NSW</v>
          </cell>
          <cell r="J774" t="str">
            <v>Part Time</v>
          </cell>
          <cell r="K774">
            <v>44992</v>
          </cell>
          <cell r="L774">
            <v>44992</v>
          </cell>
        </row>
        <row r="775">
          <cell r="A775" t="str">
            <v>AU22911</v>
          </cell>
          <cell r="B775">
            <v>37141</v>
          </cell>
          <cell r="C775" t="str">
            <v>VIC-TAS</v>
          </cell>
          <cell r="D775" t="str">
            <v>Virtus Health</v>
          </cell>
          <cell r="E775" t="str">
            <v>Clinical Nurse Specialist</v>
          </cell>
          <cell r="F775">
            <v>45206</v>
          </cell>
          <cell r="H775" t="str">
            <v>MIVFN2023</v>
          </cell>
          <cell r="I775" t="str">
            <v>VIC</v>
          </cell>
          <cell r="J775" t="str">
            <v>Part Time</v>
          </cell>
          <cell r="K775">
            <v>45206</v>
          </cell>
          <cell r="L775">
            <v>45206</v>
          </cell>
        </row>
        <row r="776">
          <cell r="A776" t="str">
            <v>AU22912</v>
          </cell>
          <cell r="B776">
            <v>37202</v>
          </cell>
          <cell r="C776" t="str">
            <v>VIC-TAS</v>
          </cell>
          <cell r="D776" t="str">
            <v>Virtus Health</v>
          </cell>
          <cell r="E776" t="str">
            <v>Theatre Technician</v>
          </cell>
          <cell r="F776">
            <v>45267</v>
          </cell>
          <cell r="H776" t="str">
            <v>MIVFS2022</v>
          </cell>
          <cell r="I776" t="str">
            <v>VIC</v>
          </cell>
          <cell r="J776" t="str">
            <v>Casual</v>
          </cell>
          <cell r="K776">
            <v>45267</v>
          </cell>
          <cell r="L776">
            <v>45267</v>
          </cell>
        </row>
        <row r="777">
          <cell r="A777" t="str">
            <v>AU22913</v>
          </cell>
          <cell r="B777" t="str">
            <v>7/16/2001</v>
          </cell>
          <cell r="C777" t="str">
            <v>NSW-QLD</v>
          </cell>
          <cell r="D777" t="str">
            <v>Virtus Health</v>
          </cell>
          <cell r="E777" t="str">
            <v>Administration Clerk</v>
          </cell>
          <cell r="F777" t="str">
            <v>7/17/2023</v>
          </cell>
          <cell r="H777" t="str">
            <v>IVFS2023</v>
          </cell>
          <cell r="I777" t="str">
            <v>NSW</v>
          </cell>
          <cell r="J777" t="str">
            <v>Part Time</v>
          </cell>
          <cell r="K777" t="str">
            <v>7/17/2023</v>
          </cell>
          <cell r="L777" t="str">
            <v>7/17/2023</v>
          </cell>
        </row>
        <row r="778">
          <cell r="A778" t="str">
            <v>AU22916</v>
          </cell>
          <cell r="B778">
            <v>37141</v>
          </cell>
          <cell r="C778" t="str">
            <v>VIC-TAS</v>
          </cell>
          <cell r="D778" t="str">
            <v>Virtus Health</v>
          </cell>
          <cell r="E778" t="str">
            <v>Enrolled Nurse</v>
          </cell>
          <cell r="F778">
            <v>45206</v>
          </cell>
          <cell r="H778" t="str">
            <v>MIVFN2023</v>
          </cell>
          <cell r="I778" t="str">
            <v>VIC</v>
          </cell>
          <cell r="J778" t="str">
            <v>Full Time</v>
          </cell>
          <cell r="K778">
            <v>45206</v>
          </cell>
          <cell r="L778">
            <v>45206</v>
          </cell>
        </row>
        <row r="779">
          <cell r="A779" t="str">
            <v>AU22927</v>
          </cell>
          <cell r="B779" t="str">
            <v>7/16/2001</v>
          </cell>
          <cell r="C779" t="str">
            <v>NSW-QLD</v>
          </cell>
          <cell r="D779" t="str">
            <v>Virtus Health</v>
          </cell>
          <cell r="E779" t="str">
            <v>Embryologist/Team Leader</v>
          </cell>
          <cell r="F779" t="str">
            <v>7/17/2023</v>
          </cell>
          <cell r="H779" t="str">
            <v>QS2024</v>
          </cell>
          <cell r="I779" t="str">
            <v>QLD</v>
          </cell>
          <cell r="J779" t="str">
            <v>Full Time</v>
          </cell>
          <cell r="K779" t="str">
            <v>7/17/2023</v>
          </cell>
          <cell r="L779" t="str">
            <v>7/17/2023</v>
          </cell>
        </row>
        <row r="780">
          <cell r="A780" t="str">
            <v>AU22930</v>
          </cell>
          <cell r="B780" t="str">
            <v>7/30/2001</v>
          </cell>
          <cell r="C780" t="str">
            <v>NSW-QLD</v>
          </cell>
          <cell r="D780" t="str">
            <v>Virtus Health</v>
          </cell>
          <cell r="E780" t="str">
            <v>Application Integration Officer</v>
          </cell>
          <cell r="F780" t="str">
            <v>7/31/2023</v>
          </cell>
          <cell r="H780" t="str">
            <v>VIC</v>
          </cell>
          <cell r="I780" t="str">
            <v>VIC</v>
          </cell>
          <cell r="J780" t="str">
            <v>Full Time</v>
          </cell>
          <cell r="K780" t="str">
            <v>7/31/2023</v>
          </cell>
          <cell r="L780" t="str">
            <v>7/31/2023</v>
          </cell>
        </row>
        <row r="781">
          <cell r="A781" t="str">
            <v>AU22931</v>
          </cell>
          <cell r="B781">
            <v>37142</v>
          </cell>
          <cell r="C781" t="str">
            <v>VIC-TAS</v>
          </cell>
          <cell r="D781" t="str">
            <v>Virtus Health</v>
          </cell>
          <cell r="E781" t="str">
            <v>Patient Liaison Administrator</v>
          </cell>
          <cell r="F781">
            <v>45207</v>
          </cell>
          <cell r="H781" t="str">
            <v>TIVF2024</v>
          </cell>
          <cell r="I781" t="str">
            <v>TAS</v>
          </cell>
          <cell r="J781" t="str">
            <v>Full Time</v>
          </cell>
          <cell r="K781">
            <v>45207</v>
          </cell>
          <cell r="L781">
            <v>45207</v>
          </cell>
        </row>
        <row r="782">
          <cell r="A782" t="str">
            <v>AU22934</v>
          </cell>
          <cell r="B782">
            <v>36930</v>
          </cell>
          <cell r="C782" t="str">
            <v>VIC-TAS</v>
          </cell>
          <cell r="D782" t="str">
            <v>Virtus Health</v>
          </cell>
          <cell r="E782" t="str">
            <v>Registered Nurse</v>
          </cell>
          <cell r="F782">
            <v>44993</v>
          </cell>
          <cell r="H782" t="str">
            <v>TIVF2024</v>
          </cell>
          <cell r="I782" t="str">
            <v>TAS</v>
          </cell>
          <cell r="J782" t="str">
            <v>Casual</v>
          </cell>
          <cell r="K782">
            <v>44993</v>
          </cell>
          <cell r="L782">
            <v>44993</v>
          </cell>
        </row>
        <row r="783">
          <cell r="A783" t="str">
            <v>AU22935</v>
          </cell>
          <cell r="B783" t="str">
            <v>7/30/2001</v>
          </cell>
          <cell r="C783" t="str">
            <v>VIC-TAS</v>
          </cell>
          <cell r="D783" t="str">
            <v>Virtus Health</v>
          </cell>
          <cell r="E783" t="str">
            <v>Receptionist</v>
          </cell>
          <cell r="F783" t="str">
            <v>7/31/2023</v>
          </cell>
          <cell r="H783" t="str">
            <v>MIVFS2022</v>
          </cell>
          <cell r="I783" t="str">
            <v>VIC</v>
          </cell>
          <cell r="J783" t="str">
            <v>Part Time</v>
          </cell>
          <cell r="K783" t="str">
            <v>7/31/2023</v>
          </cell>
          <cell r="L783" t="str">
            <v>7/31/2023</v>
          </cell>
        </row>
        <row r="784">
          <cell r="A784" t="str">
            <v>AU22936</v>
          </cell>
          <cell r="B784">
            <v>36958</v>
          </cell>
          <cell r="C784" t="str">
            <v>NSW-QLD</v>
          </cell>
          <cell r="D784" t="str">
            <v>Virtus Health</v>
          </cell>
          <cell r="E784" t="str">
            <v>Genetic Scientist</v>
          </cell>
          <cell r="F784">
            <v>45024</v>
          </cell>
          <cell r="H784" t="str">
            <v>QS2024</v>
          </cell>
          <cell r="I784" t="str">
            <v>QLD</v>
          </cell>
          <cell r="J784" t="str">
            <v>Casual</v>
          </cell>
          <cell r="K784">
            <v>45024</v>
          </cell>
          <cell r="L784">
            <v>45024</v>
          </cell>
        </row>
        <row r="785">
          <cell r="A785" t="str">
            <v>AU22937</v>
          </cell>
          <cell r="B785">
            <v>37050</v>
          </cell>
          <cell r="C785" t="str">
            <v>NSW-QLD</v>
          </cell>
          <cell r="D785" t="str">
            <v>Virtus Health</v>
          </cell>
          <cell r="E785" t="str">
            <v>Genetic Laboratory Assistant</v>
          </cell>
          <cell r="F785">
            <v>45115</v>
          </cell>
          <cell r="H785" t="str">
            <v>QS2024</v>
          </cell>
          <cell r="I785" t="str">
            <v>QLD</v>
          </cell>
          <cell r="J785" t="str">
            <v>Casual</v>
          </cell>
          <cell r="K785">
            <v>45115</v>
          </cell>
          <cell r="L785">
            <v>45115</v>
          </cell>
        </row>
        <row r="786">
          <cell r="A786" t="str">
            <v>AU22939</v>
          </cell>
          <cell r="B786">
            <v>37050</v>
          </cell>
          <cell r="C786" t="str">
            <v>NSW-QLD</v>
          </cell>
          <cell r="D786" t="str">
            <v>Virtus Health</v>
          </cell>
          <cell r="E786" t="str">
            <v>Genetic Laboratory Assistant</v>
          </cell>
          <cell r="F786">
            <v>45115</v>
          </cell>
          <cell r="H786" t="str">
            <v>QS2024</v>
          </cell>
          <cell r="I786" t="str">
            <v>QLD</v>
          </cell>
          <cell r="J786" t="str">
            <v>Part Time</v>
          </cell>
          <cell r="K786">
            <v>45115</v>
          </cell>
          <cell r="L786">
            <v>45115</v>
          </cell>
        </row>
        <row r="787">
          <cell r="A787" t="str">
            <v>AU22946</v>
          </cell>
          <cell r="B787" t="str">
            <v>8/29/2001</v>
          </cell>
          <cell r="C787" t="str">
            <v>VIC-TAS</v>
          </cell>
          <cell r="D787" t="str">
            <v>Virtus Health</v>
          </cell>
          <cell r="E787" t="str">
            <v>Medical Scientist</v>
          </cell>
          <cell r="F787" t="str">
            <v>8/30/2023</v>
          </cell>
          <cell r="H787" t="str">
            <v>MIVFS2022</v>
          </cell>
          <cell r="I787" t="str">
            <v>VIC</v>
          </cell>
          <cell r="J787" t="str">
            <v>Full Time</v>
          </cell>
          <cell r="K787" t="str">
            <v>8/30/2023</v>
          </cell>
          <cell r="L787" t="str">
            <v>8/30/2023</v>
          </cell>
        </row>
        <row r="788">
          <cell r="A788" t="str">
            <v>AU22947</v>
          </cell>
          <cell r="B788">
            <v>37050</v>
          </cell>
          <cell r="C788" t="str">
            <v>NSW-QLD</v>
          </cell>
          <cell r="D788" t="str">
            <v>Virtus Health</v>
          </cell>
          <cell r="E788" t="str">
            <v>Genetic Scientist</v>
          </cell>
          <cell r="F788">
            <v>45115</v>
          </cell>
          <cell r="H788" t="str">
            <v>QS2024</v>
          </cell>
          <cell r="I788" t="str">
            <v>QLD</v>
          </cell>
          <cell r="J788" t="str">
            <v>Full Time</v>
          </cell>
          <cell r="K788">
            <v>45115</v>
          </cell>
          <cell r="L788">
            <v>45115</v>
          </cell>
        </row>
        <row r="789">
          <cell r="A789" t="str">
            <v>AU22950</v>
          </cell>
          <cell r="B789">
            <v>36958</v>
          </cell>
          <cell r="C789" t="str">
            <v>NSW-QLD</v>
          </cell>
          <cell r="D789" t="str">
            <v>Virtus Health</v>
          </cell>
          <cell r="E789" t="str">
            <v>Registered Nurse</v>
          </cell>
          <cell r="F789">
            <v>45024</v>
          </cell>
          <cell r="H789" t="str">
            <v>IVFN2021</v>
          </cell>
          <cell r="I789" t="str">
            <v>NSW</v>
          </cell>
          <cell r="J789" t="str">
            <v>Casual</v>
          </cell>
          <cell r="K789">
            <v>45024</v>
          </cell>
          <cell r="L789">
            <v>45024</v>
          </cell>
        </row>
        <row r="790">
          <cell r="A790" t="str">
            <v>AU22952</v>
          </cell>
          <cell r="B790">
            <v>37173</v>
          </cell>
          <cell r="C790" t="str">
            <v>NSW-QLD</v>
          </cell>
          <cell r="D790" t="str">
            <v>Virtus Health</v>
          </cell>
          <cell r="E790" t="str">
            <v>Genetics Scientist</v>
          </cell>
          <cell r="F790">
            <v>45239</v>
          </cell>
          <cell r="H790" t="str">
            <v>IVFS2023</v>
          </cell>
          <cell r="I790" t="str">
            <v>NSW</v>
          </cell>
          <cell r="J790" t="str">
            <v>Full Time</v>
          </cell>
          <cell r="K790">
            <v>45239</v>
          </cell>
          <cell r="L790">
            <v>45239</v>
          </cell>
        </row>
        <row r="791">
          <cell r="A791" t="str">
            <v>AU22953</v>
          </cell>
          <cell r="B791" t="str">
            <v>8/20/2001</v>
          </cell>
          <cell r="C791" t="str">
            <v>NSW-QLD</v>
          </cell>
          <cell r="D791" t="str">
            <v>Virtus Health</v>
          </cell>
          <cell r="E791" t="str">
            <v>Genetic Scientist</v>
          </cell>
          <cell r="F791" t="str">
            <v>8/21/2023</v>
          </cell>
          <cell r="H791" t="str">
            <v>QS2024</v>
          </cell>
          <cell r="I791" t="str">
            <v>QLD</v>
          </cell>
          <cell r="J791" t="str">
            <v>Full Time</v>
          </cell>
          <cell r="K791" t="str">
            <v>8/21/2023</v>
          </cell>
          <cell r="L791" t="str">
            <v>8/21/2023</v>
          </cell>
        </row>
        <row r="792">
          <cell r="A792" t="str">
            <v>AU22955</v>
          </cell>
          <cell r="B792" t="str">
            <v>8/14/2001</v>
          </cell>
          <cell r="C792" t="str">
            <v>NSW-QLD</v>
          </cell>
          <cell r="D792" t="str">
            <v>Virtus Health</v>
          </cell>
          <cell r="E792" t="str">
            <v>Theatre Orderly</v>
          </cell>
          <cell r="F792" t="str">
            <v>8/15/2023</v>
          </cell>
          <cell r="H792" t="str">
            <v>IVFS2023</v>
          </cell>
          <cell r="I792" t="str">
            <v>NSW</v>
          </cell>
          <cell r="J792" t="str">
            <v>Casual</v>
          </cell>
          <cell r="K792" t="str">
            <v>8/15/2023</v>
          </cell>
          <cell r="L792" t="str">
            <v>8/15/2023</v>
          </cell>
        </row>
        <row r="793">
          <cell r="A793" t="str">
            <v>AU22958</v>
          </cell>
          <cell r="B793">
            <v>36899</v>
          </cell>
          <cell r="C793" t="str">
            <v>NSW-QLD</v>
          </cell>
          <cell r="D793" t="str">
            <v>Virtus Health</v>
          </cell>
          <cell r="E793" t="str">
            <v>Registered Nurse</v>
          </cell>
          <cell r="F793">
            <v>44965</v>
          </cell>
          <cell r="H793" t="str">
            <v>IVFN2021</v>
          </cell>
          <cell r="I793" t="str">
            <v>NSW</v>
          </cell>
          <cell r="J793" t="str">
            <v>Casual</v>
          </cell>
          <cell r="K793">
            <v>44965</v>
          </cell>
          <cell r="L793">
            <v>44965</v>
          </cell>
        </row>
        <row r="794">
          <cell r="A794" t="str">
            <v>AU22959</v>
          </cell>
          <cell r="B794" t="str">
            <v>8/29/2001</v>
          </cell>
          <cell r="C794" t="str">
            <v>NSW-QLD</v>
          </cell>
          <cell r="D794" t="str">
            <v>Virtus Health</v>
          </cell>
          <cell r="E794" t="str">
            <v>Casual Phlebotomist/Administration</v>
          </cell>
          <cell r="F794" t="str">
            <v>8/30/2023</v>
          </cell>
          <cell r="H794" t="str">
            <v>IVFS2023</v>
          </cell>
          <cell r="I794" t="str">
            <v>QLD</v>
          </cell>
          <cell r="J794" t="str">
            <v>Casual</v>
          </cell>
          <cell r="K794" t="str">
            <v>8/30/2023</v>
          </cell>
          <cell r="L794" t="str">
            <v>8/30/2023</v>
          </cell>
        </row>
        <row r="795">
          <cell r="A795" t="str">
            <v>AU22960</v>
          </cell>
          <cell r="B795">
            <v>37142</v>
          </cell>
          <cell r="C795" t="str">
            <v>VIC-TAS</v>
          </cell>
          <cell r="D795" t="str">
            <v>Virtus Health</v>
          </cell>
          <cell r="E795" t="str">
            <v>Patient Liaison Administrator</v>
          </cell>
          <cell r="F795">
            <v>45207</v>
          </cell>
          <cell r="H795" t="str">
            <v>TIVF2024</v>
          </cell>
          <cell r="I795" t="str">
            <v>TAS</v>
          </cell>
          <cell r="J795" t="str">
            <v>Casual</v>
          </cell>
          <cell r="K795">
            <v>45207</v>
          </cell>
          <cell r="L795">
            <v>45207</v>
          </cell>
        </row>
        <row r="796">
          <cell r="A796" t="str">
            <v>AU22961</v>
          </cell>
          <cell r="B796" t="str">
            <v>8/27/2001</v>
          </cell>
          <cell r="C796" t="str">
            <v>NSW-QLD</v>
          </cell>
          <cell r="D796" t="str">
            <v>Virtus Health</v>
          </cell>
          <cell r="E796" t="str">
            <v>Medical Receptionist/Administratiom</v>
          </cell>
          <cell r="F796" t="str">
            <v>8/28/2023</v>
          </cell>
          <cell r="H796" t="str">
            <v>IVFS2023</v>
          </cell>
          <cell r="I796" t="str">
            <v>QLD</v>
          </cell>
          <cell r="J796" t="str">
            <v>Part Time</v>
          </cell>
          <cell r="K796" t="str">
            <v>8/28/2023</v>
          </cell>
          <cell r="L796" t="str">
            <v>8/28/2023</v>
          </cell>
        </row>
        <row r="797">
          <cell r="A797" t="str">
            <v>AU22963</v>
          </cell>
          <cell r="B797" t="str">
            <v>8/13/2001</v>
          </cell>
          <cell r="C797" t="str">
            <v>NSW-QLD</v>
          </cell>
          <cell r="D797" t="str">
            <v>Virtus Health</v>
          </cell>
          <cell r="E797" t="str">
            <v>Registered Nurse</v>
          </cell>
          <cell r="F797" t="str">
            <v>8/14/2023</v>
          </cell>
          <cell r="H797" t="str">
            <v>IVFN2021</v>
          </cell>
          <cell r="I797" t="str">
            <v>NSW</v>
          </cell>
          <cell r="J797" t="str">
            <v>Part Time</v>
          </cell>
          <cell r="K797" t="str">
            <v>8/14/2023</v>
          </cell>
          <cell r="L797" t="str">
            <v>8/14/2023</v>
          </cell>
        </row>
        <row r="798">
          <cell r="A798" t="str">
            <v>AU22964</v>
          </cell>
          <cell r="B798" t="str">
            <v>8/17/2001</v>
          </cell>
          <cell r="C798" t="str">
            <v>NSW-QLD</v>
          </cell>
          <cell r="D798" t="str">
            <v>Virtus Health</v>
          </cell>
          <cell r="E798" t="str">
            <v>Admin Officer</v>
          </cell>
          <cell r="F798" t="str">
            <v>8/18/2023</v>
          </cell>
          <cell r="H798" t="str">
            <v>IVFS2023</v>
          </cell>
          <cell r="I798" t="str">
            <v>NSW</v>
          </cell>
          <cell r="J798" t="str">
            <v>Casual</v>
          </cell>
          <cell r="K798" t="str">
            <v>8/18/2023</v>
          </cell>
          <cell r="L798" t="str">
            <v>8/18/2023</v>
          </cell>
        </row>
        <row r="799">
          <cell r="A799" t="str">
            <v>AU22968</v>
          </cell>
          <cell r="B799">
            <v>36959</v>
          </cell>
          <cell r="C799" t="str">
            <v>VIC-TAS</v>
          </cell>
          <cell r="D799" t="str">
            <v>Virtus Health</v>
          </cell>
          <cell r="E799" t="str">
            <v>Registered Midwife</v>
          </cell>
          <cell r="F799">
            <v>45025</v>
          </cell>
          <cell r="H799" t="str">
            <v>MIVFN2023</v>
          </cell>
          <cell r="I799" t="str">
            <v>VIC</v>
          </cell>
          <cell r="J799" t="str">
            <v>Full Time</v>
          </cell>
          <cell r="K799">
            <v>45025</v>
          </cell>
          <cell r="L799">
            <v>45025</v>
          </cell>
        </row>
        <row r="800">
          <cell r="A800" t="str">
            <v>AU22970</v>
          </cell>
          <cell r="B800">
            <v>37173</v>
          </cell>
          <cell r="C800" t="str">
            <v>NSW-QLD</v>
          </cell>
          <cell r="D800" t="str">
            <v>Virtus Health</v>
          </cell>
          <cell r="E800" t="str">
            <v>Accounts Receivable Officer</v>
          </cell>
          <cell r="F800">
            <v>45239</v>
          </cell>
          <cell r="H800" t="str">
            <v>QLD</v>
          </cell>
          <cell r="I800" t="str">
            <v>QLD</v>
          </cell>
          <cell r="J800" t="str">
            <v>Full Time</v>
          </cell>
          <cell r="K800">
            <v>45239</v>
          </cell>
          <cell r="L800">
            <v>45239</v>
          </cell>
        </row>
        <row r="801">
          <cell r="A801" t="str">
            <v>AU22973</v>
          </cell>
          <cell r="B801" t="str">
            <v>8/29/2001</v>
          </cell>
          <cell r="C801" t="str">
            <v>VIC-TAS</v>
          </cell>
          <cell r="D801" t="str">
            <v>Virtus Health</v>
          </cell>
          <cell r="E801" t="str">
            <v>Accounts Receivable Administrator</v>
          </cell>
          <cell r="F801" t="str">
            <v>8/30/2023</v>
          </cell>
          <cell r="H801" t="str">
            <v>MIVFS2022</v>
          </cell>
          <cell r="I801" t="str">
            <v>VIC</v>
          </cell>
          <cell r="J801" t="str">
            <v>Full Time</v>
          </cell>
          <cell r="K801" t="str">
            <v>8/30/2023</v>
          </cell>
          <cell r="L801" t="str">
            <v>8/30/2023</v>
          </cell>
        </row>
        <row r="802">
          <cell r="A802" t="str">
            <v>AU22974</v>
          </cell>
          <cell r="B802">
            <v>36959</v>
          </cell>
          <cell r="C802" t="str">
            <v>VIC-TAS</v>
          </cell>
          <cell r="D802" t="str">
            <v>Virtus Health</v>
          </cell>
          <cell r="E802" t="str">
            <v>Registered Nurse</v>
          </cell>
          <cell r="F802">
            <v>45025</v>
          </cell>
          <cell r="H802" t="str">
            <v>MIVFN2023</v>
          </cell>
          <cell r="I802" t="str">
            <v>VIC</v>
          </cell>
          <cell r="J802" t="str">
            <v>Full Time</v>
          </cell>
          <cell r="K802">
            <v>45025</v>
          </cell>
          <cell r="L802">
            <v>45025</v>
          </cell>
        </row>
        <row r="803">
          <cell r="A803" t="str">
            <v>AU22975</v>
          </cell>
          <cell r="B803">
            <v>37204</v>
          </cell>
          <cell r="C803" t="str">
            <v>VIC-TAS</v>
          </cell>
          <cell r="D803" t="str">
            <v>Virtus Health</v>
          </cell>
          <cell r="E803" t="str">
            <v>Registered Nurse</v>
          </cell>
          <cell r="F803">
            <v>45269</v>
          </cell>
          <cell r="H803" t="str">
            <v>TIVF2024</v>
          </cell>
          <cell r="I803" t="str">
            <v>TAS</v>
          </cell>
          <cell r="J803" t="str">
            <v>Casual</v>
          </cell>
          <cell r="K803">
            <v>45269</v>
          </cell>
          <cell r="L803">
            <v>45269</v>
          </cell>
        </row>
        <row r="804">
          <cell r="A804" t="str">
            <v>AU22976</v>
          </cell>
          <cell r="B804" t="str">
            <v>8/27/2001</v>
          </cell>
          <cell r="C804" t="str">
            <v>NSW-QLD</v>
          </cell>
          <cell r="D804" t="str">
            <v>Virtus Health</v>
          </cell>
          <cell r="E804" t="str">
            <v>Assistant in Nursing</v>
          </cell>
          <cell r="F804" t="str">
            <v>8/28/2023</v>
          </cell>
          <cell r="H804" t="str">
            <v>IVFN2021</v>
          </cell>
          <cell r="I804" t="str">
            <v>NSW</v>
          </cell>
          <cell r="J804" t="str">
            <v>Casual</v>
          </cell>
          <cell r="K804" t="str">
            <v>8/28/2023</v>
          </cell>
          <cell r="L804" t="str">
            <v>8/28/2023</v>
          </cell>
        </row>
        <row r="805">
          <cell r="A805" t="str">
            <v>AU22978</v>
          </cell>
          <cell r="B805">
            <v>37234</v>
          </cell>
          <cell r="C805" t="str">
            <v>NSW-QLD</v>
          </cell>
          <cell r="D805" t="str">
            <v>Virtus Health</v>
          </cell>
          <cell r="E805" t="str">
            <v>Registered Nurse</v>
          </cell>
          <cell r="F805" t="str">
            <v>9/13/2023</v>
          </cell>
          <cell r="H805" t="str">
            <v>QN2025</v>
          </cell>
          <cell r="I805" t="str">
            <v>QLD</v>
          </cell>
          <cell r="J805" t="str">
            <v>Full Time</v>
          </cell>
          <cell r="K805" t="str">
            <v>9/13/2023</v>
          </cell>
          <cell r="L805" t="str">
            <v>9/13/2023</v>
          </cell>
        </row>
        <row r="806">
          <cell r="A806" t="str">
            <v>AU22980</v>
          </cell>
          <cell r="B806" t="str">
            <v>8/26/2001</v>
          </cell>
          <cell r="C806" t="str">
            <v>NSW-QLD</v>
          </cell>
          <cell r="D806" t="str">
            <v>Virtus Health</v>
          </cell>
          <cell r="E806" t="str">
            <v>Enrolled Nurse</v>
          </cell>
          <cell r="F806" t="str">
            <v>8/27/2023</v>
          </cell>
          <cell r="H806" t="str">
            <v>IVFN2021</v>
          </cell>
          <cell r="I806" t="str">
            <v>NSW</v>
          </cell>
          <cell r="J806" t="str">
            <v>Casual</v>
          </cell>
          <cell r="K806" t="str">
            <v>8/27/2023</v>
          </cell>
          <cell r="L806" t="str">
            <v>8/27/2023</v>
          </cell>
        </row>
        <row r="807">
          <cell r="A807" t="str">
            <v>AU22981</v>
          </cell>
          <cell r="B807" t="str">
            <v>9/21/2001</v>
          </cell>
          <cell r="C807" t="str">
            <v>VIC-TAS</v>
          </cell>
          <cell r="D807" t="str">
            <v>Virtus Health</v>
          </cell>
          <cell r="E807" t="str">
            <v>Registered Nurse</v>
          </cell>
          <cell r="F807" t="str">
            <v>9/22/2023</v>
          </cell>
          <cell r="H807" t="str">
            <v>TIVF2024</v>
          </cell>
          <cell r="I807" t="str">
            <v>TAS</v>
          </cell>
          <cell r="J807" t="str">
            <v>Casual</v>
          </cell>
          <cell r="K807" t="str">
            <v>9/22/2023</v>
          </cell>
          <cell r="L807" t="str">
            <v>9/22/2023</v>
          </cell>
        </row>
        <row r="808">
          <cell r="A808" t="str">
            <v>AU22987</v>
          </cell>
          <cell r="B808">
            <v>37113</v>
          </cell>
          <cell r="C808" t="str">
            <v>VIC-TAS</v>
          </cell>
          <cell r="D808" t="str">
            <v>Virtus Health</v>
          </cell>
          <cell r="E808" t="str">
            <v>PGT Scientist</v>
          </cell>
          <cell r="F808">
            <v>45179</v>
          </cell>
          <cell r="H808" t="str">
            <v>MIVFS2022</v>
          </cell>
          <cell r="I808" t="str">
            <v>VIC</v>
          </cell>
          <cell r="J808" t="str">
            <v>Part Time</v>
          </cell>
          <cell r="K808">
            <v>45179</v>
          </cell>
          <cell r="L808">
            <v>45179</v>
          </cell>
        </row>
        <row r="809">
          <cell r="A809" t="str">
            <v>AU22990</v>
          </cell>
          <cell r="B809">
            <v>37021</v>
          </cell>
          <cell r="C809" t="str">
            <v>NSW-QLD</v>
          </cell>
          <cell r="D809" t="str">
            <v>Virtus Health</v>
          </cell>
          <cell r="E809" t="str">
            <v>Registered Nurse</v>
          </cell>
          <cell r="F809">
            <v>45087</v>
          </cell>
          <cell r="H809" t="str">
            <v>IVFN2021</v>
          </cell>
          <cell r="I809" t="str">
            <v>NSW</v>
          </cell>
          <cell r="J809" t="str">
            <v>Casual</v>
          </cell>
          <cell r="K809">
            <v>45087</v>
          </cell>
          <cell r="L809">
            <v>45087</v>
          </cell>
        </row>
        <row r="810">
          <cell r="A810" t="str">
            <v>AU22993</v>
          </cell>
          <cell r="B810">
            <v>36991</v>
          </cell>
          <cell r="C810" t="str">
            <v>NSW-QLD</v>
          </cell>
          <cell r="D810" t="str">
            <v>Virtus Health</v>
          </cell>
          <cell r="E810" t="str">
            <v>Registered Nurse</v>
          </cell>
          <cell r="F810">
            <v>45056</v>
          </cell>
          <cell r="H810" t="str">
            <v>IVFN2021</v>
          </cell>
          <cell r="I810" t="str">
            <v>NSW</v>
          </cell>
          <cell r="J810" t="str">
            <v>Casual</v>
          </cell>
          <cell r="K810">
            <v>45056</v>
          </cell>
          <cell r="L810">
            <v>45056</v>
          </cell>
        </row>
        <row r="811">
          <cell r="A811" t="str">
            <v>AU22994</v>
          </cell>
          <cell r="B811" t="str">
            <v>10/17/2001</v>
          </cell>
          <cell r="C811" t="str">
            <v>NSW-QLD</v>
          </cell>
          <cell r="D811" t="str">
            <v>Virtus Health</v>
          </cell>
          <cell r="E811" t="str">
            <v xml:space="preserve"> Embryologist</v>
          </cell>
          <cell r="F811" t="str">
            <v>10/18/2023</v>
          </cell>
          <cell r="H811" t="str">
            <v>QS2024</v>
          </cell>
          <cell r="I811" t="str">
            <v>QLD</v>
          </cell>
          <cell r="J811" t="str">
            <v>Full Time</v>
          </cell>
          <cell r="K811" t="str">
            <v>10/18/2023</v>
          </cell>
          <cell r="L811" t="str">
            <v>10/18/2023</v>
          </cell>
        </row>
        <row r="812">
          <cell r="A812" t="str">
            <v>AU22995</v>
          </cell>
          <cell r="B812">
            <v>37113</v>
          </cell>
          <cell r="C812" t="str">
            <v>NSW-QLD</v>
          </cell>
          <cell r="D812" t="str">
            <v>Virtus Health</v>
          </cell>
          <cell r="E812" t="str">
            <v>Registered Nurse</v>
          </cell>
          <cell r="F812">
            <v>45179</v>
          </cell>
          <cell r="H812" t="str">
            <v>IVFN2021</v>
          </cell>
          <cell r="I812" t="str">
            <v>NSW</v>
          </cell>
          <cell r="J812" t="str">
            <v>Casual</v>
          </cell>
          <cell r="K812">
            <v>45179</v>
          </cell>
          <cell r="L812">
            <v>45179</v>
          </cell>
        </row>
        <row r="813">
          <cell r="A813" t="str">
            <v>AU22997</v>
          </cell>
          <cell r="B813">
            <v>37113</v>
          </cell>
          <cell r="C813" t="str">
            <v>NSW-QLD</v>
          </cell>
          <cell r="D813" t="str">
            <v>Virtus Health</v>
          </cell>
          <cell r="E813" t="str">
            <v>Bioinformation</v>
          </cell>
          <cell r="F813">
            <v>45179</v>
          </cell>
          <cell r="H813" t="str">
            <v>IVFS2023</v>
          </cell>
          <cell r="I813" t="str">
            <v>NSW</v>
          </cell>
          <cell r="J813" t="str">
            <v>Full Time</v>
          </cell>
          <cell r="K813">
            <v>45179</v>
          </cell>
          <cell r="L813">
            <v>45179</v>
          </cell>
        </row>
        <row r="814">
          <cell r="A814" t="str">
            <v>AU22998</v>
          </cell>
          <cell r="B814">
            <v>37174</v>
          </cell>
          <cell r="C814" t="str">
            <v>NSW-QLD</v>
          </cell>
          <cell r="D814" t="str">
            <v>Virtus Health</v>
          </cell>
          <cell r="E814" t="str">
            <v>Genetics Scientist</v>
          </cell>
          <cell r="F814">
            <v>45240</v>
          </cell>
          <cell r="H814" t="str">
            <v>IVFS2023</v>
          </cell>
          <cell r="I814" t="str">
            <v>NSW</v>
          </cell>
          <cell r="J814" t="str">
            <v>Full Time</v>
          </cell>
          <cell r="K814">
            <v>45240</v>
          </cell>
          <cell r="L814">
            <v>45240</v>
          </cell>
        </row>
        <row r="815">
          <cell r="A815" t="str">
            <v>AU23002</v>
          </cell>
          <cell r="B815" t="str">
            <v>10/15/2001</v>
          </cell>
          <cell r="C815" t="str">
            <v>NSW-QLD</v>
          </cell>
          <cell r="D815" t="str">
            <v>Virtus Health</v>
          </cell>
          <cell r="E815" t="str">
            <v>Medical Secretary</v>
          </cell>
          <cell r="F815" t="str">
            <v>10/16/2023</v>
          </cell>
          <cell r="H815" t="str">
            <v>IVFS2023</v>
          </cell>
          <cell r="I815" t="str">
            <v>NSW</v>
          </cell>
          <cell r="J815" t="str">
            <v>Part Time</v>
          </cell>
          <cell r="K815" t="str">
            <v>10/16/2023</v>
          </cell>
          <cell r="L815" t="str">
            <v>10/16/2023</v>
          </cell>
        </row>
        <row r="816">
          <cell r="A816" t="str">
            <v>AU23004</v>
          </cell>
          <cell r="B816" t="str">
            <v>10/24/2001</v>
          </cell>
          <cell r="C816" t="str">
            <v>VIC-TAS</v>
          </cell>
          <cell r="D816" t="str">
            <v>Virtus Health</v>
          </cell>
          <cell r="E816" t="str">
            <v>Enrolled Nurse</v>
          </cell>
          <cell r="F816" t="str">
            <v>10/25/2023</v>
          </cell>
          <cell r="H816" t="str">
            <v>TIVF2024</v>
          </cell>
          <cell r="I816" t="str">
            <v>TAS</v>
          </cell>
          <cell r="J816" t="str">
            <v>Casual</v>
          </cell>
          <cell r="K816" t="str">
            <v>10/25/2023</v>
          </cell>
          <cell r="L816" t="str">
            <v>10/25/2023</v>
          </cell>
        </row>
        <row r="817">
          <cell r="A817" t="str">
            <v>AU23006</v>
          </cell>
          <cell r="B817">
            <v>37173</v>
          </cell>
          <cell r="C817" t="str">
            <v>VIC-TAS</v>
          </cell>
          <cell r="D817" t="str">
            <v>Virtus Health</v>
          </cell>
          <cell r="E817" t="str">
            <v>IVF Laboratory Administrator Team Leader</v>
          </cell>
          <cell r="F817">
            <v>45239</v>
          </cell>
          <cell r="H817" t="str">
            <v>MIVFS2022</v>
          </cell>
          <cell r="I817" t="str">
            <v>VIC</v>
          </cell>
          <cell r="J817" t="str">
            <v>Part Time</v>
          </cell>
          <cell r="K817">
            <v>45239</v>
          </cell>
          <cell r="L817">
            <v>45239</v>
          </cell>
        </row>
        <row r="818">
          <cell r="A818" t="str">
            <v>AU23008</v>
          </cell>
          <cell r="B818">
            <v>36901</v>
          </cell>
          <cell r="C818" t="str">
            <v>VIC-TAS</v>
          </cell>
          <cell r="D818" t="str">
            <v>Virtus Health</v>
          </cell>
          <cell r="E818" t="str">
            <v>Theatre Orderly</v>
          </cell>
          <cell r="F818">
            <v>44967</v>
          </cell>
          <cell r="H818" t="str">
            <v>TIVF2024</v>
          </cell>
          <cell r="I818" t="str">
            <v>TAS</v>
          </cell>
          <cell r="J818" t="str">
            <v>Casual</v>
          </cell>
          <cell r="K818">
            <v>44967</v>
          </cell>
          <cell r="L818">
            <v>44967</v>
          </cell>
        </row>
        <row r="819">
          <cell r="A819" t="str">
            <v>AU23009</v>
          </cell>
          <cell r="B819" t="str">
            <v>11/13/2001</v>
          </cell>
          <cell r="C819" t="str">
            <v>NSW-QLD</v>
          </cell>
          <cell r="D819" t="str">
            <v>Virtus Health</v>
          </cell>
          <cell r="E819" t="str">
            <v>Pracrtice Manager</v>
          </cell>
          <cell r="F819" t="str">
            <v>11/14/2023</v>
          </cell>
          <cell r="H819" t="str">
            <v>IVFS2023</v>
          </cell>
          <cell r="I819" t="str">
            <v>NSW</v>
          </cell>
          <cell r="J819" t="str">
            <v>Full Time</v>
          </cell>
          <cell r="K819" t="str">
            <v>11/14/2023</v>
          </cell>
          <cell r="L819" t="str">
            <v>11/14/2023</v>
          </cell>
        </row>
        <row r="820">
          <cell r="A820" t="str">
            <v>AU23013</v>
          </cell>
          <cell r="B820" t="str">
            <v>10/15/2001</v>
          </cell>
          <cell r="C820" t="str">
            <v>NSW-QLD</v>
          </cell>
          <cell r="D820" t="str">
            <v>Virtus Health</v>
          </cell>
          <cell r="E820" t="str">
            <v>Registered Nurse</v>
          </cell>
          <cell r="F820" t="str">
            <v>10/16/2023</v>
          </cell>
          <cell r="H820" t="str">
            <v>IVFN2021</v>
          </cell>
          <cell r="I820" t="str">
            <v>NSW</v>
          </cell>
          <cell r="J820" t="str">
            <v>Casual</v>
          </cell>
          <cell r="K820" t="str">
            <v>10/16/2023</v>
          </cell>
          <cell r="L820" t="str">
            <v>10/16/2023</v>
          </cell>
        </row>
        <row r="821">
          <cell r="A821" t="str">
            <v>AU23014</v>
          </cell>
          <cell r="B821" t="str">
            <v>10/30/2001</v>
          </cell>
          <cell r="C821" t="str">
            <v>NSW-QLD</v>
          </cell>
          <cell r="D821" t="str">
            <v>Virtus Health</v>
          </cell>
          <cell r="E821" t="str">
            <v>Counsellor</v>
          </cell>
          <cell r="F821" t="str">
            <v>10/31/2023</v>
          </cell>
          <cell r="H821" t="str">
            <v>IVFC2022</v>
          </cell>
          <cell r="I821" t="str">
            <v>QLD</v>
          </cell>
          <cell r="J821" t="str">
            <v>Part Time</v>
          </cell>
          <cell r="K821" t="str">
            <v>10/31/2023</v>
          </cell>
          <cell r="L821" t="str">
            <v>10/31/2023</v>
          </cell>
        </row>
        <row r="822">
          <cell r="A822" t="str">
            <v>AU23015</v>
          </cell>
          <cell r="B822" t="str">
            <v>9/28/2001</v>
          </cell>
          <cell r="C822" t="str">
            <v>VIC-TAS</v>
          </cell>
          <cell r="D822" t="str">
            <v>Virtus Health</v>
          </cell>
          <cell r="E822" t="str">
            <v>Enrolled Nurse</v>
          </cell>
          <cell r="F822" t="str">
            <v>9/29/2023</v>
          </cell>
          <cell r="H822" t="str">
            <v>MIVFN2023</v>
          </cell>
          <cell r="I822" t="str">
            <v>VIC</v>
          </cell>
          <cell r="J822" t="str">
            <v>Casual</v>
          </cell>
          <cell r="K822" t="str">
            <v>9/29/2023</v>
          </cell>
          <cell r="L822" t="str">
            <v>9/29/2023</v>
          </cell>
        </row>
        <row r="823">
          <cell r="A823" t="str">
            <v>AU23018</v>
          </cell>
          <cell r="B823" t="str">
            <v>9/24/2001</v>
          </cell>
          <cell r="C823" t="str">
            <v>NSW-QLD</v>
          </cell>
          <cell r="D823" t="str">
            <v>Virtus Health</v>
          </cell>
          <cell r="E823" t="str">
            <v>Registered Nurse</v>
          </cell>
          <cell r="F823" t="str">
            <v>9/25/2023</v>
          </cell>
          <cell r="H823" t="str">
            <v>IVFN2021</v>
          </cell>
          <cell r="I823" t="str">
            <v>NSW</v>
          </cell>
          <cell r="J823" t="str">
            <v>Casual</v>
          </cell>
          <cell r="K823" t="str">
            <v>9/25/2023</v>
          </cell>
          <cell r="L823" t="str">
            <v>9/25/2023</v>
          </cell>
        </row>
        <row r="824">
          <cell r="A824" t="str">
            <v>AU23020</v>
          </cell>
          <cell r="B824">
            <v>37176</v>
          </cell>
          <cell r="C824" t="str">
            <v>NSW-QLD</v>
          </cell>
          <cell r="D824" t="str">
            <v>Virtus Health</v>
          </cell>
          <cell r="E824" t="str">
            <v>Payroll Manager</v>
          </cell>
          <cell r="F824">
            <v>45242</v>
          </cell>
          <cell r="H824" t="str">
            <v>NSW</v>
          </cell>
          <cell r="I824" t="str">
            <v>NSW</v>
          </cell>
          <cell r="J824" t="str">
            <v>Full Time</v>
          </cell>
          <cell r="K824">
            <v>45242</v>
          </cell>
          <cell r="L824">
            <v>45242</v>
          </cell>
        </row>
        <row r="825">
          <cell r="A825" t="str">
            <v>AU23023</v>
          </cell>
          <cell r="B825">
            <v>37236</v>
          </cell>
          <cell r="C825" t="str">
            <v>NSW-QLD</v>
          </cell>
          <cell r="D825" t="str">
            <v>Virtus Health</v>
          </cell>
          <cell r="E825" t="str">
            <v>Assistant in Nursing</v>
          </cell>
          <cell r="F825" t="str">
            <v>11/13/2023</v>
          </cell>
          <cell r="H825" t="str">
            <v>IVFN2021</v>
          </cell>
          <cell r="I825" t="str">
            <v>NSW</v>
          </cell>
          <cell r="J825" t="str">
            <v>Casual</v>
          </cell>
          <cell r="K825" t="str">
            <v>11/13/2023</v>
          </cell>
          <cell r="L825" t="str">
            <v>11/13/2023</v>
          </cell>
        </row>
        <row r="826">
          <cell r="A826" t="str">
            <v>AU23025</v>
          </cell>
          <cell r="B826" t="str">
            <v>11/19/2001</v>
          </cell>
          <cell r="C826" t="str">
            <v>NSW-QLD</v>
          </cell>
          <cell r="D826" t="str">
            <v>Virtus Health</v>
          </cell>
          <cell r="E826" t="str">
            <v xml:space="preserve"> Embryologist</v>
          </cell>
          <cell r="F826" t="str">
            <v>11/20/2023</v>
          </cell>
          <cell r="H826" t="str">
            <v>IVFT2024</v>
          </cell>
          <cell r="I826" t="str">
            <v>NSW</v>
          </cell>
          <cell r="J826" t="str">
            <v>Full Time</v>
          </cell>
          <cell r="K826" t="str">
            <v>11/20/2023</v>
          </cell>
          <cell r="L826" t="str">
            <v>11/20/2023</v>
          </cell>
        </row>
        <row r="827">
          <cell r="A827" t="str">
            <v>AU23027</v>
          </cell>
          <cell r="B827" t="str">
            <v>1/22/2002</v>
          </cell>
          <cell r="C827" t="str">
            <v>NSW-QLD</v>
          </cell>
          <cell r="D827" t="str">
            <v>Virtus Health</v>
          </cell>
          <cell r="E827" t="str">
            <v xml:space="preserve"> Embryologist</v>
          </cell>
          <cell r="F827" t="str">
            <v>1/23/2024</v>
          </cell>
          <cell r="H827" t="str">
            <v>IVFT2024</v>
          </cell>
          <cell r="I827" t="str">
            <v>NSW</v>
          </cell>
          <cell r="J827" t="str">
            <v>Full Time</v>
          </cell>
          <cell r="K827" t="str">
            <v>1/23/2024</v>
          </cell>
          <cell r="L827" t="str">
            <v>1/23/2024</v>
          </cell>
        </row>
        <row r="828">
          <cell r="A828" t="str">
            <v>AU23029</v>
          </cell>
          <cell r="B828" t="str">
            <v>11/26/2001</v>
          </cell>
          <cell r="C828" t="str">
            <v>NSW-QLD</v>
          </cell>
          <cell r="D828" t="str">
            <v>Virtus Health</v>
          </cell>
          <cell r="E828" t="str">
            <v xml:space="preserve"> Embryologist</v>
          </cell>
          <cell r="F828" t="str">
            <v>11/27/2023</v>
          </cell>
          <cell r="H828" t="str">
            <v>IVFT2024</v>
          </cell>
          <cell r="I828" t="str">
            <v>NSW</v>
          </cell>
          <cell r="J828" t="str">
            <v>Full Time</v>
          </cell>
          <cell r="K828" t="str">
            <v>11/27/2023</v>
          </cell>
          <cell r="L828" t="str">
            <v>11/27/2023</v>
          </cell>
        </row>
        <row r="829">
          <cell r="A829" t="str">
            <v>AU23030</v>
          </cell>
          <cell r="B829" t="str">
            <v>1/15/2002</v>
          </cell>
          <cell r="C829" t="str">
            <v>NSW-QLD</v>
          </cell>
          <cell r="D829" t="str">
            <v>Virtus Health</v>
          </cell>
          <cell r="E829" t="str">
            <v xml:space="preserve"> Embryologist</v>
          </cell>
          <cell r="F829" t="str">
            <v>1/16/2024</v>
          </cell>
          <cell r="H829" t="str">
            <v>IVFT2024</v>
          </cell>
          <cell r="I829" t="str">
            <v>NSW</v>
          </cell>
          <cell r="J829" t="str">
            <v>Full Time</v>
          </cell>
          <cell r="K829" t="str">
            <v>1/16/2024</v>
          </cell>
          <cell r="L829" t="str">
            <v>1/16/2024</v>
          </cell>
        </row>
        <row r="830">
          <cell r="A830" t="str">
            <v>AU23031</v>
          </cell>
          <cell r="B830" t="str">
            <v>1/14/2002</v>
          </cell>
          <cell r="C830" t="str">
            <v>NSW-QLD</v>
          </cell>
          <cell r="D830" t="str">
            <v>Virtus Health</v>
          </cell>
          <cell r="E830" t="str">
            <v xml:space="preserve"> Embryologist</v>
          </cell>
          <cell r="F830" t="str">
            <v>1/15/2024</v>
          </cell>
          <cell r="H830" t="str">
            <v>IVFT2024</v>
          </cell>
          <cell r="I830" t="str">
            <v>NSW</v>
          </cell>
          <cell r="J830" t="str">
            <v>Full Time</v>
          </cell>
          <cell r="K830" t="str">
            <v>1/15/2024</v>
          </cell>
          <cell r="L830" t="str">
            <v>1/15/2024</v>
          </cell>
        </row>
        <row r="831">
          <cell r="A831" t="str">
            <v>AU23032</v>
          </cell>
          <cell r="B831" t="str">
            <v>11/27/2001</v>
          </cell>
          <cell r="C831" t="str">
            <v>NSW-QLD</v>
          </cell>
          <cell r="D831" t="str">
            <v>Virtus Health</v>
          </cell>
          <cell r="E831" t="str">
            <v>Laboratory Support Assistant</v>
          </cell>
          <cell r="F831" t="str">
            <v>11/28/2023</v>
          </cell>
          <cell r="H831" t="str">
            <v>IVFT2024</v>
          </cell>
          <cell r="I831" t="str">
            <v>NSW</v>
          </cell>
          <cell r="J831" t="str">
            <v>Full Time</v>
          </cell>
          <cell r="K831" t="str">
            <v>11/28/2023</v>
          </cell>
          <cell r="L831" t="str">
            <v>11/28/2023</v>
          </cell>
        </row>
        <row r="832">
          <cell r="A832" t="str">
            <v>AU23033</v>
          </cell>
          <cell r="B832" t="str">
            <v>11/28/2001</v>
          </cell>
          <cell r="C832" t="str">
            <v>NSW-QLD</v>
          </cell>
          <cell r="D832" t="str">
            <v>Virtus Health</v>
          </cell>
          <cell r="E832" t="str">
            <v>Assistant in Nursing</v>
          </cell>
          <cell r="F832" t="str">
            <v>11/29/2023</v>
          </cell>
          <cell r="H832" t="str">
            <v>QN2025</v>
          </cell>
          <cell r="I832" t="str">
            <v>QLD</v>
          </cell>
          <cell r="J832" t="str">
            <v>Casual</v>
          </cell>
          <cell r="K832" t="str">
            <v>11/29/2023</v>
          </cell>
          <cell r="L832" t="str">
            <v>11/29/2023</v>
          </cell>
        </row>
        <row r="833">
          <cell r="A833" t="str">
            <v>AU23034</v>
          </cell>
          <cell r="B833">
            <v>37438</v>
          </cell>
          <cell r="C833" t="str">
            <v>NSW-QLD</v>
          </cell>
          <cell r="D833" t="str">
            <v>Virtus Health</v>
          </cell>
          <cell r="E833" t="str">
            <v>Patient Services Manager</v>
          </cell>
          <cell r="F833">
            <v>45505</v>
          </cell>
          <cell r="H833" t="str">
            <v>QLD</v>
          </cell>
          <cell r="I833" t="str">
            <v>QLD</v>
          </cell>
          <cell r="J833" t="str">
            <v>Full Time</v>
          </cell>
          <cell r="K833">
            <v>45505</v>
          </cell>
          <cell r="L833">
            <v>45505</v>
          </cell>
        </row>
        <row r="834">
          <cell r="A834" t="str">
            <v>AU23035</v>
          </cell>
          <cell r="B834">
            <v>36962</v>
          </cell>
          <cell r="C834" t="str">
            <v>NSW-QLD</v>
          </cell>
          <cell r="D834" t="str">
            <v>Virtus Health</v>
          </cell>
          <cell r="E834" t="str">
            <v>Service Desk Operator</v>
          </cell>
          <cell r="F834">
            <v>45028</v>
          </cell>
          <cell r="H834" t="str">
            <v>VIC</v>
          </cell>
          <cell r="I834" t="str">
            <v>VIC</v>
          </cell>
          <cell r="J834" t="str">
            <v>Full Time</v>
          </cell>
          <cell r="K834">
            <v>45028</v>
          </cell>
          <cell r="L834">
            <v>45028</v>
          </cell>
        </row>
        <row r="835">
          <cell r="A835" t="str">
            <v>AU23037</v>
          </cell>
          <cell r="B835" t="str">
            <v>1/21/2002</v>
          </cell>
          <cell r="C835" t="str">
            <v>NSW-QLD</v>
          </cell>
          <cell r="D835" t="str">
            <v>Virtus Health</v>
          </cell>
          <cell r="E835" t="str">
            <v xml:space="preserve"> Embryologist</v>
          </cell>
          <cell r="F835" t="str">
            <v>1/22/2024</v>
          </cell>
          <cell r="H835" t="str">
            <v>IVFT2024</v>
          </cell>
          <cell r="I835" t="str">
            <v>NSW</v>
          </cell>
          <cell r="J835" t="str">
            <v>Full Time</v>
          </cell>
          <cell r="K835" t="str">
            <v>1/22/2024</v>
          </cell>
          <cell r="L835" t="str">
            <v>1/22/2024</v>
          </cell>
        </row>
        <row r="836">
          <cell r="A836" t="str">
            <v>AU23042</v>
          </cell>
          <cell r="B836">
            <v>36962</v>
          </cell>
          <cell r="C836" t="str">
            <v>NSW-QLD</v>
          </cell>
          <cell r="D836" t="str">
            <v>Virtus Health</v>
          </cell>
          <cell r="E836" t="str">
            <v>CSSD Tech</v>
          </cell>
          <cell r="F836">
            <v>45028</v>
          </cell>
          <cell r="H836" t="str">
            <v>IVFS2023</v>
          </cell>
          <cell r="I836" t="str">
            <v>NSW</v>
          </cell>
          <cell r="J836" t="str">
            <v>Full Time</v>
          </cell>
          <cell r="K836">
            <v>45028</v>
          </cell>
          <cell r="L836">
            <v>45028</v>
          </cell>
        </row>
        <row r="837">
          <cell r="A837" t="str">
            <v>AU23043</v>
          </cell>
          <cell r="B837" t="str">
            <v>1/21/2002</v>
          </cell>
          <cell r="C837" t="str">
            <v>NSW-QLD</v>
          </cell>
          <cell r="D837" t="str">
            <v>Virtus Health</v>
          </cell>
          <cell r="E837" t="str">
            <v xml:space="preserve"> Embryologist</v>
          </cell>
          <cell r="F837" t="str">
            <v>1/22/2024</v>
          </cell>
          <cell r="H837" t="str">
            <v>IVFT2024</v>
          </cell>
          <cell r="I837" t="str">
            <v>NSW</v>
          </cell>
          <cell r="J837" t="str">
            <v>Full Time</v>
          </cell>
          <cell r="K837" t="str">
            <v>1/22/2024</v>
          </cell>
          <cell r="L837" t="str">
            <v>1/22/2024</v>
          </cell>
        </row>
        <row r="838">
          <cell r="A838" t="str">
            <v>AU23044</v>
          </cell>
          <cell r="B838">
            <v>37176</v>
          </cell>
          <cell r="C838" t="str">
            <v>VIC-TAS</v>
          </cell>
          <cell r="D838" t="str">
            <v>Virtus Health</v>
          </cell>
          <cell r="E838" t="str">
            <v>IVF Laboratory Administrator</v>
          </cell>
          <cell r="F838">
            <v>45242</v>
          </cell>
          <cell r="H838" t="str">
            <v>MIVFS2022</v>
          </cell>
          <cell r="I838" t="str">
            <v>VIC</v>
          </cell>
          <cell r="J838" t="str">
            <v>Full Time</v>
          </cell>
          <cell r="K838">
            <v>45242</v>
          </cell>
          <cell r="L838">
            <v>45242</v>
          </cell>
        </row>
        <row r="839">
          <cell r="A839" t="str">
            <v>AU23045</v>
          </cell>
          <cell r="B839" t="str">
            <v>12/17/2001</v>
          </cell>
          <cell r="C839" t="str">
            <v>VIC-TAS</v>
          </cell>
          <cell r="D839" t="str">
            <v>Virtus Health</v>
          </cell>
          <cell r="E839" t="str">
            <v>Patient Liaison Administrator</v>
          </cell>
          <cell r="F839" t="str">
            <v>12/18/2023</v>
          </cell>
          <cell r="H839" t="str">
            <v>TIVF2024</v>
          </cell>
          <cell r="I839" t="str">
            <v>TAS</v>
          </cell>
          <cell r="J839" t="str">
            <v>Part Time</v>
          </cell>
          <cell r="K839" t="str">
            <v>12/18/2023</v>
          </cell>
          <cell r="L839" t="str">
            <v>12/18/2023</v>
          </cell>
        </row>
        <row r="840">
          <cell r="A840" t="str">
            <v>AU23046</v>
          </cell>
          <cell r="B840" t="str">
            <v>1/14/2002</v>
          </cell>
          <cell r="C840" t="str">
            <v>NSW-QLD</v>
          </cell>
          <cell r="D840" t="str">
            <v>Virtus Health</v>
          </cell>
          <cell r="E840" t="str">
            <v>Embryologist</v>
          </cell>
          <cell r="F840" t="str">
            <v>1/15/2024</v>
          </cell>
          <cell r="H840" t="str">
            <v>IVFT2024</v>
          </cell>
          <cell r="I840" t="str">
            <v>NSW</v>
          </cell>
          <cell r="J840" t="str">
            <v>Full Time</v>
          </cell>
          <cell r="K840" t="str">
            <v>1/15/2024</v>
          </cell>
          <cell r="L840" t="str">
            <v>1/15/2024</v>
          </cell>
        </row>
        <row r="841">
          <cell r="A841" t="str">
            <v>AU23047</v>
          </cell>
          <cell r="B841" t="str">
            <v>12/17/2001</v>
          </cell>
          <cell r="C841" t="str">
            <v>VIC-TAS</v>
          </cell>
          <cell r="D841" t="str">
            <v>Virtus Health</v>
          </cell>
          <cell r="E841" t="str">
            <v>Patient Liaison Administrator</v>
          </cell>
          <cell r="F841" t="str">
            <v>12/18/2023</v>
          </cell>
          <cell r="H841" t="str">
            <v>MIVFS2022</v>
          </cell>
          <cell r="I841" t="str">
            <v>VIC</v>
          </cell>
          <cell r="J841" t="str">
            <v>Full Time</v>
          </cell>
          <cell r="K841" t="str">
            <v>12/18/2023</v>
          </cell>
          <cell r="L841" t="str">
            <v>12/18/2023</v>
          </cell>
        </row>
        <row r="842">
          <cell r="A842" t="str">
            <v>AU23049</v>
          </cell>
          <cell r="B842" t="str">
            <v>1/14/2002</v>
          </cell>
          <cell r="C842" t="str">
            <v>NSW-QLD</v>
          </cell>
          <cell r="D842" t="str">
            <v>Virtus Health</v>
          </cell>
          <cell r="E842" t="str">
            <v>Administration</v>
          </cell>
          <cell r="F842" t="str">
            <v>1/15/2024</v>
          </cell>
          <cell r="H842" t="str">
            <v>IVFS2023</v>
          </cell>
          <cell r="I842" t="str">
            <v>NSW</v>
          </cell>
          <cell r="J842" t="str">
            <v>Part Time</v>
          </cell>
          <cell r="K842" t="str">
            <v>1/15/2024</v>
          </cell>
          <cell r="L842" t="str">
            <v>1/15/2024</v>
          </cell>
        </row>
        <row r="843">
          <cell r="A843" t="str">
            <v>AU23051</v>
          </cell>
          <cell r="B843" t="str">
            <v>11/30/2001</v>
          </cell>
          <cell r="C843" t="str">
            <v>NSW-QLD</v>
          </cell>
          <cell r="D843" t="str">
            <v>Virtus Health</v>
          </cell>
          <cell r="E843" t="str">
            <v>CEO</v>
          </cell>
          <cell r="F843">
            <v>44938</v>
          </cell>
          <cell r="H843" t="str">
            <v>NSW</v>
          </cell>
          <cell r="I843" t="str">
            <v>NSW</v>
          </cell>
          <cell r="J843" t="str">
            <v>Full Time</v>
          </cell>
          <cell r="K843">
            <v>44938</v>
          </cell>
          <cell r="L843">
            <v>44938</v>
          </cell>
        </row>
        <row r="844">
          <cell r="A844" t="str">
            <v>AU23053</v>
          </cell>
          <cell r="B844" t="str">
            <v>1/28/2002</v>
          </cell>
          <cell r="C844" t="str">
            <v>NSW-QLD</v>
          </cell>
          <cell r="D844" t="str">
            <v>Virtus Health</v>
          </cell>
          <cell r="E844" t="str">
            <v>Medical Secretary</v>
          </cell>
          <cell r="F844" t="str">
            <v>1/29/2024</v>
          </cell>
          <cell r="H844" t="str">
            <v>IVFS2023</v>
          </cell>
          <cell r="I844" t="str">
            <v>NSW</v>
          </cell>
          <cell r="J844" t="str">
            <v>Full Time</v>
          </cell>
          <cell r="K844" t="str">
            <v>1/29/2024</v>
          </cell>
          <cell r="L844" t="str">
            <v>1/29/2024</v>
          </cell>
        </row>
        <row r="845">
          <cell r="A845" t="str">
            <v>AU23054</v>
          </cell>
          <cell r="B845">
            <v>37438</v>
          </cell>
          <cell r="C845" t="str">
            <v>NSW-QLD</v>
          </cell>
          <cell r="D845" t="str">
            <v>Virtus Health</v>
          </cell>
          <cell r="E845" t="str">
            <v>Quality Assurance Officer</v>
          </cell>
          <cell r="F845">
            <v>45505</v>
          </cell>
          <cell r="H845" t="str">
            <v>IVFS2023</v>
          </cell>
          <cell r="I845" t="str">
            <v>QLD</v>
          </cell>
          <cell r="J845" t="str">
            <v>Full Time</v>
          </cell>
          <cell r="K845">
            <v>45505</v>
          </cell>
          <cell r="L845">
            <v>45505</v>
          </cell>
        </row>
        <row r="846">
          <cell r="A846" t="str">
            <v>AU23056</v>
          </cell>
          <cell r="B846" t="str">
            <v>1/18/2002</v>
          </cell>
          <cell r="C846" t="str">
            <v>NSW-QLD</v>
          </cell>
          <cell r="D846" t="str">
            <v>Virtus Health</v>
          </cell>
          <cell r="E846" t="str">
            <v>Registered Nurse</v>
          </cell>
          <cell r="F846" t="str">
            <v>1/19/2024</v>
          </cell>
          <cell r="H846" t="str">
            <v>IVFN2021</v>
          </cell>
          <cell r="I846" t="str">
            <v>NSW</v>
          </cell>
          <cell r="J846" t="str">
            <v>Casual</v>
          </cell>
          <cell r="K846" t="str">
            <v>1/19/2024</v>
          </cell>
          <cell r="L846" t="str">
            <v>1/19/2024</v>
          </cell>
        </row>
        <row r="847">
          <cell r="A847" t="str">
            <v>AU23057</v>
          </cell>
          <cell r="B847" t="str">
            <v>12/21/2001</v>
          </cell>
          <cell r="C847" t="str">
            <v>NSW-QLD</v>
          </cell>
          <cell r="D847" t="str">
            <v>Virtus Health</v>
          </cell>
          <cell r="E847" t="str">
            <v>Administration</v>
          </cell>
          <cell r="F847" t="str">
            <v>12/22/2023</v>
          </cell>
          <cell r="H847" t="str">
            <v>IVFS2023</v>
          </cell>
          <cell r="I847" t="str">
            <v>QLD</v>
          </cell>
          <cell r="J847" t="str">
            <v>Casual</v>
          </cell>
          <cell r="K847" t="str">
            <v>12/22/2023</v>
          </cell>
          <cell r="L847" t="str">
            <v>12/22/2023</v>
          </cell>
        </row>
        <row r="848">
          <cell r="A848" t="str">
            <v>AU23058</v>
          </cell>
          <cell r="B848" t="str">
            <v>1/14/2002</v>
          </cell>
          <cell r="C848" t="str">
            <v>NSW-QLD</v>
          </cell>
          <cell r="D848" t="str">
            <v>Virtus Health</v>
          </cell>
          <cell r="E848" t="str">
            <v>Nurse Coordinator</v>
          </cell>
          <cell r="F848" t="str">
            <v>1/15/2024</v>
          </cell>
          <cell r="H848" t="str">
            <v>IVFN2021</v>
          </cell>
          <cell r="I848" t="str">
            <v>NSW</v>
          </cell>
          <cell r="J848" t="str">
            <v>Part Time</v>
          </cell>
          <cell r="K848" t="str">
            <v>1/15/2024</v>
          </cell>
          <cell r="L848" t="str">
            <v>1/15/2024</v>
          </cell>
        </row>
        <row r="849">
          <cell r="A849" t="str">
            <v>AU23060</v>
          </cell>
          <cell r="B849" t="str">
            <v>1/14/2002</v>
          </cell>
          <cell r="C849" t="str">
            <v>NSW-QLD</v>
          </cell>
          <cell r="D849" t="str">
            <v>Virtus Health</v>
          </cell>
          <cell r="E849" t="str">
            <v>Registered Nurse</v>
          </cell>
          <cell r="F849" t="str">
            <v>1/15/2024</v>
          </cell>
          <cell r="H849" t="str">
            <v>IVFN2021</v>
          </cell>
          <cell r="I849" t="str">
            <v>NSW</v>
          </cell>
          <cell r="J849" t="str">
            <v>Full Time</v>
          </cell>
          <cell r="K849" t="str">
            <v>1/15/2024</v>
          </cell>
          <cell r="L849" t="str">
            <v>1/15/2024</v>
          </cell>
        </row>
        <row r="850">
          <cell r="A850" t="str">
            <v>AU23062</v>
          </cell>
          <cell r="B850" t="str">
            <v>1/21/2002</v>
          </cell>
          <cell r="C850" t="str">
            <v>NSW-QLD</v>
          </cell>
          <cell r="D850" t="str">
            <v>Virtus Health</v>
          </cell>
          <cell r="E850" t="str">
            <v>Registered Nurse</v>
          </cell>
          <cell r="F850" t="str">
            <v>1/22/2024</v>
          </cell>
          <cell r="H850" t="str">
            <v>IVFN2021</v>
          </cell>
          <cell r="I850" t="str">
            <v>NSW</v>
          </cell>
          <cell r="J850" t="str">
            <v>Full Time</v>
          </cell>
          <cell r="K850" t="str">
            <v>1/22/2024</v>
          </cell>
          <cell r="L850" t="str">
            <v>1/22/2024</v>
          </cell>
        </row>
        <row r="851">
          <cell r="A851" t="str">
            <v>AU23063</v>
          </cell>
          <cell r="B851" t="str">
            <v>1/28/2002</v>
          </cell>
          <cell r="C851" t="str">
            <v>NSW-QLD</v>
          </cell>
          <cell r="D851" t="str">
            <v>Virtus Health</v>
          </cell>
          <cell r="E851" t="str">
            <v>Nurse Coordinator</v>
          </cell>
          <cell r="F851" t="str">
            <v>1/29/2024</v>
          </cell>
          <cell r="H851" t="str">
            <v>QN2025</v>
          </cell>
          <cell r="I851" t="str">
            <v>QLD</v>
          </cell>
          <cell r="J851" t="str">
            <v>Part Time</v>
          </cell>
          <cell r="K851" t="str">
            <v>1/29/2024</v>
          </cell>
          <cell r="L851" t="str">
            <v>1/29/2024</v>
          </cell>
        </row>
        <row r="852">
          <cell r="A852" t="str">
            <v>AU23064</v>
          </cell>
          <cell r="B852" t="str">
            <v>1/14/2002</v>
          </cell>
          <cell r="C852" t="str">
            <v>NSW-QLD</v>
          </cell>
          <cell r="D852" t="str">
            <v>Virtus Health</v>
          </cell>
          <cell r="E852" t="str">
            <v>Registered Nurse</v>
          </cell>
          <cell r="F852" t="str">
            <v>1/15/2024</v>
          </cell>
          <cell r="H852" t="str">
            <v>IVFN2021</v>
          </cell>
          <cell r="I852" t="str">
            <v>NSW</v>
          </cell>
          <cell r="J852" t="str">
            <v>Casual</v>
          </cell>
          <cell r="K852" t="str">
            <v>1/15/2024</v>
          </cell>
          <cell r="L852" t="str">
            <v>1/15/2024</v>
          </cell>
        </row>
        <row r="853">
          <cell r="A853" t="str">
            <v>AU23065</v>
          </cell>
          <cell r="B853" t="str">
            <v>1/14/2002</v>
          </cell>
          <cell r="C853" t="str">
            <v>NSW-QLD</v>
          </cell>
          <cell r="D853" t="str">
            <v>Virtus Health</v>
          </cell>
          <cell r="E853" t="str">
            <v>Registered Nurse</v>
          </cell>
          <cell r="F853" t="str">
            <v>1/15/2024</v>
          </cell>
          <cell r="H853" t="str">
            <v>IVFN2021</v>
          </cell>
          <cell r="I853" t="str">
            <v>NSW</v>
          </cell>
          <cell r="J853" t="str">
            <v>Part Time</v>
          </cell>
          <cell r="K853" t="str">
            <v>1/15/2024</v>
          </cell>
          <cell r="L853" t="str">
            <v>1/15/2024</v>
          </cell>
        </row>
        <row r="854">
          <cell r="A854" t="str">
            <v>AU23066</v>
          </cell>
          <cell r="B854" t="str">
            <v>1/14/2002</v>
          </cell>
          <cell r="C854" t="str">
            <v>VIC-TAS</v>
          </cell>
          <cell r="D854" t="str">
            <v>Virtus Health</v>
          </cell>
          <cell r="E854" t="str">
            <v>Receptionist</v>
          </cell>
          <cell r="F854" t="str">
            <v>1/15/2024</v>
          </cell>
          <cell r="H854" t="str">
            <v>MIVFS2022</v>
          </cell>
          <cell r="I854" t="str">
            <v>VIC</v>
          </cell>
          <cell r="J854" t="str">
            <v>Part Time</v>
          </cell>
          <cell r="K854" t="str">
            <v>1/15/2024</v>
          </cell>
          <cell r="L854" t="str">
            <v>1/15/2024</v>
          </cell>
        </row>
        <row r="855">
          <cell r="A855" t="str">
            <v>AU23067</v>
          </cell>
          <cell r="B855" t="str">
            <v>1/22/2002</v>
          </cell>
          <cell r="C855" t="str">
            <v>NSW-QLD</v>
          </cell>
          <cell r="D855" t="str">
            <v>Virtus Health</v>
          </cell>
          <cell r="E855" t="str">
            <v xml:space="preserve"> Embryologist</v>
          </cell>
          <cell r="F855" t="str">
            <v>1/23/2024</v>
          </cell>
          <cell r="H855" t="str">
            <v>IVFT2024</v>
          </cell>
          <cell r="I855" t="str">
            <v>NSW</v>
          </cell>
          <cell r="J855" t="str">
            <v>Full Time</v>
          </cell>
          <cell r="K855" t="str">
            <v>1/23/2024</v>
          </cell>
          <cell r="L855" t="str">
            <v>1/23/2024</v>
          </cell>
        </row>
        <row r="856">
          <cell r="A856" t="str">
            <v>AU23069</v>
          </cell>
          <cell r="B856" t="str">
            <v>1/21/2002</v>
          </cell>
          <cell r="C856" t="str">
            <v>VIC-TAS</v>
          </cell>
          <cell r="D856" t="str">
            <v>Virtus Health</v>
          </cell>
          <cell r="E856" t="str">
            <v>Financial Accountant</v>
          </cell>
          <cell r="F856" t="str">
            <v>1/22/2024</v>
          </cell>
          <cell r="H856" t="str">
            <v>VIC</v>
          </cell>
          <cell r="I856" t="str">
            <v>VIC</v>
          </cell>
          <cell r="J856" t="str">
            <v>Full Time</v>
          </cell>
          <cell r="K856" t="str">
            <v>1/22/2024</v>
          </cell>
          <cell r="L856" t="str">
            <v>1/22/2024</v>
          </cell>
        </row>
        <row r="857">
          <cell r="A857" t="str">
            <v>AU23071</v>
          </cell>
          <cell r="B857" t="str">
            <v>1/28/2002</v>
          </cell>
          <cell r="C857" t="str">
            <v>VIC-TAS</v>
          </cell>
          <cell r="D857" t="str">
            <v>Virtus Health</v>
          </cell>
          <cell r="E857" t="str">
            <v>Registered Nurse</v>
          </cell>
          <cell r="F857" t="str">
            <v>1/29/2024</v>
          </cell>
          <cell r="H857" t="str">
            <v>MIVFN2023</v>
          </cell>
          <cell r="I857" t="str">
            <v>VIC</v>
          </cell>
          <cell r="J857" t="str">
            <v>Part Time</v>
          </cell>
          <cell r="K857" t="str">
            <v>1/29/2024</v>
          </cell>
          <cell r="L857" t="str">
            <v>1/29/2024</v>
          </cell>
        </row>
        <row r="858">
          <cell r="A858" t="str">
            <v>AU23074</v>
          </cell>
          <cell r="B858">
            <v>37348</v>
          </cell>
          <cell r="C858" t="str">
            <v>NSW-QLD</v>
          </cell>
          <cell r="D858" t="str">
            <v>Virtus Health</v>
          </cell>
          <cell r="E858" t="str">
            <v>Registered Nurse</v>
          </cell>
          <cell r="F858">
            <v>45414</v>
          </cell>
          <cell r="H858" t="str">
            <v>QN2025</v>
          </cell>
          <cell r="I858" t="str">
            <v>QLD</v>
          </cell>
          <cell r="J858" t="str">
            <v>Casual</v>
          </cell>
          <cell r="K858">
            <v>45414</v>
          </cell>
          <cell r="L858">
            <v>45414</v>
          </cell>
        </row>
        <row r="859">
          <cell r="A859" t="str">
            <v>AU23075</v>
          </cell>
          <cell r="B859" t="str">
            <v>1/30/2002</v>
          </cell>
          <cell r="C859" t="str">
            <v>NSW-QLD</v>
          </cell>
          <cell r="D859" t="str">
            <v>Virtus Health</v>
          </cell>
          <cell r="E859" t="str">
            <v>Service Desk Operator</v>
          </cell>
          <cell r="F859" t="str">
            <v>1/31/2024</v>
          </cell>
          <cell r="H859" t="str">
            <v>VIC</v>
          </cell>
          <cell r="I859" t="str">
            <v>VIC</v>
          </cell>
          <cell r="J859" t="str">
            <v>Full Time</v>
          </cell>
          <cell r="K859" t="str">
            <v>1/31/2024</v>
          </cell>
          <cell r="L859" t="str">
            <v>1/31/2024</v>
          </cell>
        </row>
        <row r="860">
          <cell r="A860" t="str">
            <v>AU23076</v>
          </cell>
          <cell r="B860" t="str">
            <v>1/29/2002</v>
          </cell>
          <cell r="C860" t="str">
            <v>NSW-QLD</v>
          </cell>
          <cell r="D860" t="str">
            <v>Virtus Health</v>
          </cell>
          <cell r="E860" t="str">
            <v>Fertility Counsellor</v>
          </cell>
          <cell r="F860" t="str">
            <v>1/30/2024</v>
          </cell>
          <cell r="H860" t="str">
            <v>IVFC2022</v>
          </cell>
          <cell r="I860" t="str">
            <v>NSW</v>
          </cell>
          <cell r="J860" t="str">
            <v>Part Time</v>
          </cell>
          <cell r="K860" t="str">
            <v>1/30/2024</v>
          </cell>
          <cell r="L860" t="str">
            <v>1/30/2024</v>
          </cell>
        </row>
        <row r="861">
          <cell r="A861" t="str">
            <v>AU23078</v>
          </cell>
          <cell r="B861">
            <v>37237</v>
          </cell>
          <cell r="C861" t="str">
            <v>VIC-TAS</v>
          </cell>
          <cell r="D861" t="str">
            <v>Virtus Health</v>
          </cell>
          <cell r="E861" t="str">
            <v>General Practitioner</v>
          </cell>
          <cell r="F861" t="str">
            <v>12/13/2023</v>
          </cell>
          <cell r="H861" t="str">
            <v>VIC</v>
          </cell>
          <cell r="I861" t="str">
            <v>VIC</v>
          </cell>
          <cell r="J861" t="str">
            <v>Part Time</v>
          </cell>
          <cell r="K861" t="str">
            <v>12/13/2023</v>
          </cell>
          <cell r="L861" t="str">
            <v>12/13/2023</v>
          </cell>
        </row>
        <row r="862">
          <cell r="A862" t="str">
            <v>AU23079</v>
          </cell>
          <cell r="B862">
            <v>37562</v>
          </cell>
          <cell r="C862" t="str">
            <v>NSW-QLD</v>
          </cell>
          <cell r="D862" t="str">
            <v>Virtus Health</v>
          </cell>
          <cell r="E862" t="str">
            <v>Registered Nurse</v>
          </cell>
          <cell r="F862">
            <v>45628</v>
          </cell>
          <cell r="H862" t="str">
            <v>QN2025</v>
          </cell>
          <cell r="I862" t="str">
            <v>QLD</v>
          </cell>
          <cell r="J862" t="str">
            <v>Casual</v>
          </cell>
          <cell r="K862">
            <v>45628</v>
          </cell>
          <cell r="L862">
            <v>45628</v>
          </cell>
        </row>
        <row r="863">
          <cell r="A863" t="str">
            <v>AU23081</v>
          </cell>
          <cell r="B863" t="str">
            <v>1/28/2002</v>
          </cell>
          <cell r="C863" t="str">
            <v>NSW-QLD</v>
          </cell>
          <cell r="D863" t="str">
            <v>Virtus Health</v>
          </cell>
          <cell r="E863" t="str">
            <v>Registered Nurse</v>
          </cell>
          <cell r="F863" t="str">
            <v>1/29/2024</v>
          </cell>
          <cell r="H863" t="str">
            <v>QN2025</v>
          </cell>
          <cell r="I863" t="str">
            <v>QLD</v>
          </cell>
          <cell r="J863" t="str">
            <v>Part Time</v>
          </cell>
          <cell r="K863" t="str">
            <v>1/29/2024</v>
          </cell>
          <cell r="L863" t="str">
            <v>1/29/2024</v>
          </cell>
        </row>
        <row r="864">
          <cell r="A864" t="str">
            <v>AU23082</v>
          </cell>
          <cell r="B864" t="str">
            <v>1/29/2002</v>
          </cell>
          <cell r="C864" t="str">
            <v>VIC-TAS</v>
          </cell>
          <cell r="D864" t="str">
            <v>Virtus Health</v>
          </cell>
          <cell r="E864" t="str">
            <v>Receptionist</v>
          </cell>
          <cell r="F864" t="str">
            <v>1/30/2024</v>
          </cell>
          <cell r="H864" t="str">
            <v>MIVFS2022</v>
          </cell>
          <cell r="I864" t="str">
            <v>VIC</v>
          </cell>
          <cell r="J864" t="str">
            <v>Part Time</v>
          </cell>
          <cell r="K864" t="str">
            <v>1/30/2024</v>
          </cell>
          <cell r="L864" t="str">
            <v>1/30/2024</v>
          </cell>
        </row>
        <row r="865">
          <cell r="A865" t="str">
            <v>AU23084</v>
          </cell>
          <cell r="B865">
            <v>37562</v>
          </cell>
          <cell r="C865" t="str">
            <v>NSW-QLD</v>
          </cell>
          <cell r="D865" t="str">
            <v>Virtus Health</v>
          </cell>
          <cell r="E865" t="str">
            <v>New Patient Care Consultant</v>
          </cell>
          <cell r="F865">
            <v>45628</v>
          </cell>
          <cell r="H865" t="str">
            <v>IVFS2023</v>
          </cell>
          <cell r="I865" t="str">
            <v>NSW</v>
          </cell>
          <cell r="J865" t="str">
            <v>Part Time</v>
          </cell>
          <cell r="K865">
            <v>45628</v>
          </cell>
          <cell r="L865">
            <v>45628</v>
          </cell>
        </row>
        <row r="866">
          <cell r="A866" t="str">
            <v>AU23085</v>
          </cell>
          <cell r="B866" t="str">
            <v>2/18/2002</v>
          </cell>
          <cell r="C866" t="str">
            <v>NSW-QLD</v>
          </cell>
          <cell r="D866" t="str">
            <v>Virtus Health</v>
          </cell>
          <cell r="E866" t="str">
            <v>Pracrtice Manager</v>
          </cell>
          <cell r="F866" t="str">
            <v>2/19/2024</v>
          </cell>
          <cell r="H866" t="str">
            <v>IVFS2023</v>
          </cell>
          <cell r="I866" t="str">
            <v>NSW</v>
          </cell>
          <cell r="J866" t="str">
            <v>Full Time</v>
          </cell>
          <cell r="K866" t="str">
            <v>2/19/2024</v>
          </cell>
          <cell r="L866" t="str">
            <v>2/19/2024</v>
          </cell>
        </row>
        <row r="867">
          <cell r="A867" t="str">
            <v>AU23088</v>
          </cell>
          <cell r="B867" t="str">
            <v>2/18/2002</v>
          </cell>
          <cell r="C867" t="str">
            <v>VIC-TAS</v>
          </cell>
          <cell r="D867" t="str">
            <v>Virtus Health</v>
          </cell>
          <cell r="E867" t="str">
            <v>Registered Nurse</v>
          </cell>
          <cell r="F867" t="str">
            <v>2/19/2024</v>
          </cell>
          <cell r="H867" t="str">
            <v>TIVF2024</v>
          </cell>
          <cell r="I867" t="str">
            <v>TAS</v>
          </cell>
          <cell r="J867" t="str">
            <v>Casual</v>
          </cell>
          <cell r="K867" t="str">
            <v>2/19/2024</v>
          </cell>
          <cell r="L867" t="str">
            <v>2/19/2024</v>
          </cell>
        </row>
        <row r="868">
          <cell r="A868" t="str">
            <v>AU23089</v>
          </cell>
          <cell r="B868" t="str">
            <v>2/26/2002</v>
          </cell>
          <cell r="C868" t="str">
            <v>NSW-QLD</v>
          </cell>
          <cell r="D868" t="str">
            <v>Virtus Health</v>
          </cell>
          <cell r="E868" t="str">
            <v xml:space="preserve">HR Systems Administrator </v>
          </cell>
          <cell r="F868" t="str">
            <v>2/27/2024</v>
          </cell>
          <cell r="H868" t="str">
            <v>NSW</v>
          </cell>
          <cell r="I868" t="str">
            <v>NSW</v>
          </cell>
          <cell r="J868" t="str">
            <v>Full Time</v>
          </cell>
          <cell r="K868" t="str">
            <v>2/27/2024</v>
          </cell>
          <cell r="L868" t="str">
            <v>2/27/2024</v>
          </cell>
        </row>
        <row r="869">
          <cell r="A869" t="str">
            <v>AU23091</v>
          </cell>
          <cell r="B869" t="str">
            <v>2/25/2002</v>
          </cell>
          <cell r="C869" t="str">
            <v>VIC-TAS</v>
          </cell>
          <cell r="D869" t="str">
            <v>Virtus Health</v>
          </cell>
          <cell r="E869" t="str">
            <v>Registered Nurse</v>
          </cell>
          <cell r="F869" t="str">
            <v>2/26/2024</v>
          </cell>
          <cell r="H869" t="str">
            <v>MIVFN2023</v>
          </cell>
          <cell r="I869" t="str">
            <v>VIC</v>
          </cell>
          <cell r="J869" t="str">
            <v>Part Time</v>
          </cell>
          <cell r="K869" t="str">
            <v>2/26/2024</v>
          </cell>
          <cell r="L869" t="str">
            <v>2/26/2024</v>
          </cell>
        </row>
        <row r="870">
          <cell r="A870" t="str">
            <v>AU23094</v>
          </cell>
          <cell r="B870">
            <v>37022</v>
          </cell>
          <cell r="C870" t="str">
            <v>NSW-QLD</v>
          </cell>
          <cell r="D870" t="str">
            <v>Virtus Health</v>
          </cell>
          <cell r="E870" t="str">
            <v xml:space="preserve">Business Development Manager </v>
          </cell>
          <cell r="F870">
            <v>45088</v>
          </cell>
          <cell r="H870" t="str">
            <v>NSW</v>
          </cell>
          <cell r="I870" t="str">
            <v>NSW</v>
          </cell>
          <cell r="J870" t="str">
            <v>Part Time</v>
          </cell>
          <cell r="K870">
            <v>45088</v>
          </cell>
          <cell r="L870">
            <v>45088</v>
          </cell>
        </row>
        <row r="871">
          <cell r="A871" t="str">
            <v>AU23095</v>
          </cell>
          <cell r="B871" t="str">
            <v>2/25/2002</v>
          </cell>
          <cell r="C871" t="str">
            <v>NSW-QLD</v>
          </cell>
          <cell r="D871" t="str">
            <v>Virtus Health</v>
          </cell>
          <cell r="E871" t="str">
            <v>Registered Nurse</v>
          </cell>
          <cell r="F871" t="str">
            <v>2/26/2024</v>
          </cell>
          <cell r="H871" t="str">
            <v>IVFN2021</v>
          </cell>
          <cell r="I871" t="str">
            <v>NSW</v>
          </cell>
          <cell r="J871" t="str">
            <v>Part Time</v>
          </cell>
          <cell r="K871" t="str">
            <v>2/26/2024</v>
          </cell>
          <cell r="L871" t="str">
            <v>2/26/2024</v>
          </cell>
        </row>
        <row r="872">
          <cell r="A872" t="str">
            <v>AU23096</v>
          </cell>
          <cell r="B872" t="str">
            <v>2/17/2002</v>
          </cell>
          <cell r="C872" t="str">
            <v>NSW-QLD</v>
          </cell>
          <cell r="D872" t="str">
            <v>Virtus Health</v>
          </cell>
          <cell r="E872" t="str">
            <v>Assistant in Nursing</v>
          </cell>
          <cell r="F872" t="str">
            <v>2/18/2024</v>
          </cell>
          <cell r="H872" t="str">
            <v>IVFN2021</v>
          </cell>
          <cell r="I872" t="str">
            <v>NSW</v>
          </cell>
          <cell r="J872" t="str">
            <v>Casual</v>
          </cell>
          <cell r="K872" t="str">
            <v>2/18/2024</v>
          </cell>
          <cell r="L872" t="str">
            <v>2/18/2024</v>
          </cell>
        </row>
        <row r="873">
          <cell r="A873" t="str">
            <v>AU23097</v>
          </cell>
          <cell r="B873" t="str">
            <v>2/25/2002</v>
          </cell>
          <cell r="C873" t="str">
            <v>NSW-QLD</v>
          </cell>
          <cell r="D873" t="str">
            <v>Virtus Health</v>
          </cell>
          <cell r="E873" t="str">
            <v>Registered Nurse</v>
          </cell>
          <cell r="F873" t="str">
            <v>2/26/2024</v>
          </cell>
          <cell r="H873" t="str">
            <v>IVFN2021</v>
          </cell>
          <cell r="I873" t="str">
            <v>NSW</v>
          </cell>
          <cell r="J873" t="str">
            <v>Casual</v>
          </cell>
          <cell r="K873" t="str">
            <v>2/26/2024</v>
          </cell>
          <cell r="L873" t="str">
            <v>2/26/2024</v>
          </cell>
        </row>
        <row r="874">
          <cell r="A874" t="str">
            <v>AU23103</v>
          </cell>
          <cell r="B874">
            <v>37349</v>
          </cell>
          <cell r="C874" t="str">
            <v>VIC-TAS</v>
          </cell>
          <cell r="D874" t="str">
            <v>Virtus Health</v>
          </cell>
          <cell r="E874" t="str">
            <v xml:space="preserve">Business Development Manager </v>
          </cell>
          <cell r="F874">
            <v>45385</v>
          </cell>
          <cell r="H874" t="str">
            <v>VIC</v>
          </cell>
          <cell r="I874" t="str">
            <v>VIC</v>
          </cell>
          <cell r="J874" t="str">
            <v>Full Time</v>
          </cell>
          <cell r="K874">
            <v>45385</v>
          </cell>
          <cell r="L874">
            <v>45385</v>
          </cell>
        </row>
        <row r="875">
          <cell r="A875" t="str">
            <v>AU23104</v>
          </cell>
          <cell r="B875">
            <v>37563</v>
          </cell>
          <cell r="C875" t="str">
            <v>NSW-QLD</v>
          </cell>
          <cell r="D875" t="str">
            <v>Virtus Health</v>
          </cell>
          <cell r="E875" t="str">
            <v>Head of Procurement</v>
          </cell>
          <cell r="F875">
            <v>45599</v>
          </cell>
          <cell r="H875" t="str">
            <v>NSW</v>
          </cell>
          <cell r="I875" t="str">
            <v>NSW</v>
          </cell>
          <cell r="J875" t="str">
            <v>Full Time</v>
          </cell>
          <cell r="K875">
            <v>45599</v>
          </cell>
          <cell r="L875">
            <v>45599</v>
          </cell>
        </row>
        <row r="876">
          <cell r="A876" t="str">
            <v>AU23109</v>
          </cell>
          <cell r="B876">
            <v>37349</v>
          </cell>
          <cell r="C876" t="str">
            <v>NSW-QLD</v>
          </cell>
          <cell r="D876" t="str">
            <v>Virtus Health</v>
          </cell>
          <cell r="E876" t="str">
            <v>Genetic Scientist</v>
          </cell>
          <cell r="F876">
            <v>45385</v>
          </cell>
          <cell r="H876" t="str">
            <v>QS2024</v>
          </cell>
          <cell r="I876" t="str">
            <v>QLD</v>
          </cell>
          <cell r="J876" t="str">
            <v>Casual</v>
          </cell>
          <cell r="K876">
            <v>45385</v>
          </cell>
          <cell r="L876">
            <v>45385</v>
          </cell>
        </row>
        <row r="877">
          <cell r="A877" t="str">
            <v>AU23110</v>
          </cell>
          <cell r="B877" t="str">
            <v>2/27/2002</v>
          </cell>
          <cell r="C877" t="str">
            <v>VIC-TAS</v>
          </cell>
          <cell r="D877" t="str">
            <v>Virtus Health</v>
          </cell>
          <cell r="E877" t="str">
            <v>Courier</v>
          </cell>
          <cell r="F877" t="str">
            <v>2/28/2024</v>
          </cell>
          <cell r="H877" t="str">
            <v>IVFS2023</v>
          </cell>
          <cell r="I877" t="str">
            <v>VIC</v>
          </cell>
          <cell r="J877" t="str">
            <v>Part Time</v>
          </cell>
          <cell r="K877" t="str">
            <v>2/28/2024</v>
          </cell>
          <cell r="L877" t="str">
            <v>2/28/2024</v>
          </cell>
        </row>
        <row r="878">
          <cell r="A878" t="str">
            <v>AU23114</v>
          </cell>
          <cell r="B878">
            <v>37349</v>
          </cell>
          <cell r="C878" t="str">
            <v>NSW-QLD</v>
          </cell>
          <cell r="D878" t="str">
            <v>Virtus Health</v>
          </cell>
          <cell r="E878" t="str">
            <v>Nures Coordinator</v>
          </cell>
          <cell r="F878">
            <v>45385</v>
          </cell>
          <cell r="H878" t="str">
            <v>IVFN2021</v>
          </cell>
          <cell r="I878" t="str">
            <v>NSW</v>
          </cell>
          <cell r="J878" t="str">
            <v>Full Time</v>
          </cell>
          <cell r="K878">
            <v>45385</v>
          </cell>
          <cell r="L878">
            <v>45385</v>
          </cell>
        </row>
        <row r="879">
          <cell r="A879" t="str">
            <v>AU23115</v>
          </cell>
          <cell r="B879">
            <v>37349</v>
          </cell>
          <cell r="C879" t="str">
            <v>VIC-TAS</v>
          </cell>
          <cell r="D879" t="str">
            <v>Virtus Health</v>
          </cell>
          <cell r="E879" t="str">
            <v>Registered Nurse</v>
          </cell>
          <cell r="F879">
            <v>45385</v>
          </cell>
          <cell r="H879" t="str">
            <v>MIVFN2023</v>
          </cell>
          <cell r="I879" t="str">
            <v>VIC</v>
          </cell>
          <cell r="J879" t="str">
            <v>Part Time</v>
          </cell>
          <cell r="K879">
            <v>45385</v>
          </cell>
          <cell r="L879">
            <v>45385</v>
          </cell>
        </row>
        <row r="880">
          <cell r="A880" t="str">
            <v>AU23116</v>
          </cell>
          <cell r="B880">
            <v>37349</v>
          </cell>
          <cell r="C880" t="str">
            <v>NSW-QLD</v>
          </cell>
          <cell r="D880" t="str">
            <v>Virtus Health</v>
          </cell>
          <cell r="E880" t="str">
            <v>Registered Nurse</v>
          </cell>
          <cell r="F880">
            <v>45385</v>
          </cell>
          <cell r="H880" t="str">
            <v>IVFN2021</v>
          </cell>
          <cell r="I880" t="str">
            <v>NSW</v>
          </cell>
          <cell r="J880" t="str">
            <v>Casual</v>
          </cell>
          <cell r="K880">
            <v>45385</v>
          </cell>
          <cell r="L880">
            <v>45385</v>
          </cell>
        </row>
        <row r="881">
          <cell r="A881" t="str">
            <v>AU23117</v>
          </cell>
          <cell r="B881">
            <v>37349</v>
          </cell>
          <cell r="C881" t="str">
            <v>NSW-QLD</v>
          </cell>
          <cell r="D881" t="str">
            <v>Virtus Health</v>
          </cell>
          <cell r="E881" t="str">
            <v>Theatre Orderly</v>
          </cell>
          <cell r="F881">
            <v>45385</v>
          </cell>
          <cell r="H881" t="str">
            <v>IVFS2023</v>
          </cell>
          <cell r="I881" t="str">
            <v>NSW</v>
          </cell>
          <cell r="J881" t="str">
            <v>Casual</v>
          </cell>
          <cell r="K881">
            <v>45385</v>
          </cell>
          <cell r="L881">
            <v>45385</v>
          </cell>
        </row>
        <row r="882">
          <cell r="A882" t="str">
            <v>AU23119</v>
          </cell>
          <cell r="B882">
            <v>37563</v>
          </cell>
          <cell r="C882" t="str">
            <v>VIC-TAS</v>
          </cell>
          <cell r="D882" t="str">
            <v>Virtus Health</v>
          </cell>
          <cell r="E882" t="str">
            <v>Registered Nurse</v>
          </cell>
          <cell r="F882">
            <v>45599</v>
          </cell>
          <cell r="H882" t="str">
            <v>TIVF2024</v>
          </cell>
          <cell r="I882" t="str">
            <v>TAS</v>
          </cell>
          <cell r="J882" t="str">
            <v>Part Time</v>
          </cell>
          <cell r="K882">
            <v>45599</v>
          </cell>
          <cell r="L882">
            <v>45599</v>
          </cell>
        </row>
        <row r="883">
          <cell r="A883" t="str">
            <v>AU23128</v>
          </cell>
          <cell r="B883" t="str">
            <v>3/13/2002</v>
          </cell>
          <cell r="C883" t="str">
            <v>VIC-TAS</v>
          </cell>
          <cell r="D883" t="str">
            <v>Virtus Health</v>
          </cell>
          <cell r="E883" t="str">
            <v>Embryologist</v>
          </cell>
          <cell r="F883" t="str">
            <v>3/13/2024</v>
          </cell>
          <cell r="H883" t="str">
            <v>MIVFS2022</v>
          </cell>
          <cell r="I883" t="str">
            <v>VIC</v>
          </cell>
          <cell r="J883" t="str">
            <v>Full Time</v>
          </cell>
          <cell r="K883" t="str">
            <v>3/13/2024</v>
          </cell>
          <cell r="L883" t="str">
            <v>3/13/2024</v>
          </cell>
        </row>
        <row r="884">
          <cell r="A884" t="str">
            <v>AU23131</v>
          </cell>
          <cell r="B884">
            <v>37291</v>
          </cell>
          <cell r="C884" t="str">
            <v>NSW-QLD</v>
          </cell>
          <cell r="D884" t="str">
            <v>Virtus Health</v>
          </cell>
          <cell r="E884" t="str">
            <v>Head of Finance-IVF Australia</v>
          </cell>
          <cell r="F884">
            <v>45326</v>
          </cell>
          <cell r="H884" t="str">
            <v>NSW</v>
          </cell>
          <cell r="I884" t="str">
            <v>NSW</v>
          </cell>
          <cell r="J884" t="str">
            <v>Full Time</v>
          </cell>
          <cell r="K884">
            <v>45326</v>
          </cell>
          <cell r="L884">
            <v>45326</v>
          </cell>
        </row>
        <row r="885">
          <cell r="A885" t="str">
            <v>AU23133</v>
          </cell>
          <cell r="B885" t="str">
            <v>3/18/2002</v>
          </cell>
          <cell r="C885" t="str">
            <v>NSW-QLD</v>
          </cell>
          <cell r="D885" t="str">
            <v>Virtus Health</v>
          </cell>
          <cell r="E885" t="str">
            <v>Operation Support Projects</v>
          </cell>
          <cell r="F885" t="str">
            <v>3/18/2024</v>
          </cell>
          <cell r="H885" t="str">
            <v>QLD</v>
          </cell>
          <cell r="I885" t="str">
            <v>QLD</v>
          </cell>
          <cell r="J885" t="str">
            <v>Part Time</v>
          </cell>
          <cell r="K885" t="str">
            <v>3/18/2024</v>
          </cell>
          <cell r="L885" t="str">
            <v>3/18/2024</v>
          </cell>
        </row>
        <row r="886">
          <cell r="A886" t="str">
            <v>AU23134</v>
          </cell>
          <cell r="B886" t="str">
            <v>3/18/2002</v>
          </cell>
          <cell r="C886" t="str">
            <v>NSW-QLD</v>
          </cell>
          <cell r="D886" t="str">
            <v>Virtus Health</v>
          </cell>
          <cell r="E886" t="str">
            <v>Registered Midwife</v>
          </cell>
          <cell r="F886" t="str">
            <v>3/18/2024</v>
          </cell>
          <cell r="H886" t="str">
            <v>IVFN2021</v>
          </cell>
          <cell r="I886" t="str">
            <v>NSW</v>
          </cell>
          <cell r="J886" t="str">
            <v>Full Time</v>
          </cell>
          <cell r="K886" t="str">
            <v>3/18/2024</v>
          </cell>
          <cell r="L886" t="str">
            <v>3/18/2024</v>
          </cell>
        </row>
        <row r="887">
          <cell r="A887" t="str">
            <v>AU23135</v>
          </cell>
          <cell r="B887">
            <v>37563</v>
          </cell>
          <cell r="C887" t="str">
            <v>NSW-QLD</v>
          </cell>
          <cell r="D887" t="str">
            <v>Virtus Health</v>
          </cell>
          <cell r="E887" t="str">
            <v>Registered Nurse</v>
          </cell>
          <cell r="F887">
            <v>45599</v>
          </cell>
          <cell r="H887" t="str">
            <v>IVFN2021</v>
          </cell>
          <cell r="I887" t="str">
            <v>NSW</v>
          </cell>
          <cell r="J887" t="str">
            <v>Casual</v>
          </cell>
          <cell r="K887">
            <v>45599</v>
          </cell>
          <cell r="L887">
            <v>45599</v>
          </cell>
        </row>
        <row r="888">
          <cell r="A888" t="str">
            <v>AU23136</v>
          </cell>
          <cell r="B888" t="str">
            <v>3/18/2002</v>
          </cell>
          <cell r="C888" t="str">
            <v>NSW-QLD</v>
          </cell>
          <cell r="D888" t="str">
            <v>Virtus Health</v>
          </cell>
          <cell r="E888" t="str">
            <v>Genetic Laboratory Assistant</v>
          </cell>
          <cell r="F888" t="str">
            <v>3/18/2024</v>
          </cell>
          <cell r="H888" t="str">
            <v>QS2024</v>
          </cell>
          <cell r="I888" t="str">
            <v>QLD</v>
          </cell>
          <cell r="J888" t="str">
            <v>Part Time</v>
          </cell>
          <cell r="K888" t="str">
            <v>3/18/2024</v>
          </cell>
          <cell r="L888" t="str">
            <v>3/18/2024</v>
          </cell>
        </row>
        <row r="889">
          <cell r="A889" t="str">
            <v>AU23139</v>
          </cell>
          <cell r="B889">
            <v>37291</v>
          </cell>
          <cell r="C889" t="str">
            <v>NSW-QLD</v>
          </cell>
          <cell r="D889" t="str">
            <v>Virtus Health</v>
          </cell>
          <cell r="E889" t="str">
            <v>Admin Team Leader</v>
          </cell>
          <cell r="F889">
            <v>45326</v>
          </cell>
          <cell r="H889" t="str">
            <v>IVFS2023</v>
          </cell>
          <cell r="I889" t="str">
            <v>QLD</v>
          </cell>
          <cell r="J889" t="str">
            <v>Full Time</v>
          </cell>
          <cell r="K889">
            <v>45326</v>
          </cell>
          <cell r="L889">
            <v>45326</v>
          </cell>
        </row>
        <row r="890">
          <cell r="A890" t="str">
            <v>AU23140</v>
          </cell>
          <cell r="B890" t="str">
            <v>3/18/2002</v>
          </cell>
          <cell r="C890" t="str">
            <v>NSW-QLD</v>
          </cell>
          <cell r="D890" t="str">
            <v>Virtus Health</v>
          </cell>
          <cell r="E890" t="str">
            <v>Registered Nurse</v>
          </cell>
          <cell r="F890" t="str">
            <v>3/18/2024</v>
          </cell>
          <cell r="H890" t="str">
            <v>IVFN2021</v>
          </cell>
          <cell r="I890" t="str">
            <v>NSW</v>
          </cell>
          <cell r="J890" t="str">
            <v>Full Time</v>
          </cell>
          <cell r="K890" t="str">
            <v>3/18/2024</v>
          </cell>
          <cell r="L890" t="str">
            <v>3/18/2024</v>
          </cell>
        </row>
        <row r="891">
          <cell r="A891" t="str">
            <v>AU23141</v>
          </cell>
          <cell r="B891" t="str">
            <v>3/25/2002</v>
          </cell>
          <cell r="C891" t="str">
            <v>NSW-QLD</v>
          </cell>
          <cell r="D891" t="str">
            <v>Virtus Health</v>
          </cell>
          <cell r="E891" t="str">
            <v>Administration Assistant</v>
          </cell>
          <cell r="F891" t="str">
            <v>3/25/2024</v>
          </cell>
          <cell r="H891" t="str">
            <v>IVFS2023</v>
          </cell>
          <cell r="I891" t="str">
            <v>QLD</v>
          </cell>
          <cell r="J891" t="str">
            <v>Casual</v>
          </cell>
          <cell r="K891" t="str">
            <v>3/25/2024</v>
          </cell>
          <cell r="L891" t="str">
            <v>3/25/2024</v>
          </cell>
        </row>
        <row r="892">
          <cell r="A892" t="str">
            <v>AU23146</v>
          </cell>
          <cell r="B892">
            <v>37291</v>
          </cell>
          <cell r="C892" t="str">
            <v>NSW-QLD</v>
          </cell>
          <cell r="D892" t="str">
            <v>Virtus Health</v>
          </cell>
          <cell r="E892" t="str">
            <v>Chief Digital Health Officer</v>
          </cell>
          <cell r="F892">
            <v>45326</v>
          </cell>
          <cell r="H892" t="str">
            <v>VIC</v>
          </cell>
          <cell r="I892" t="str">
            <v>VIC</v>
          </cell>
          <cell r="J892" t="str">
            <v>Full Time</v>
          </cell>
          <cell r="K892">
            <v>45326</v>
          </cell>
          <cell r="L892">
            <v>45326</v>
          </cell>
        </row>
        <row r="893">
          <cell r="A893" t="str">
            <v>AU23147</v>
          </cell>
          <cell r="B893">
            <v>37291</v>
          </cell>
          <cell r="C893" t="str">
            <v>NSW-QLD</v>
          </cell>
          <cell r="D893" t="str">
            <v>Virtus Health</v>
          </cell>
          <cell r="E893" t="str">
            <v>Assistant in Nursing</v>
          </cell>
          <cell r="F893">
            <v>45326</v>
          </cell>
          <cell r="H893" t="str">
            <v>IVFN2021</v>
          </cell>
          <cell r="I893" t="str">
            <v>NSW</v>
          </cell>
          <cell r="J893" t="str">
            <v>Part Time</v>
          </cell>
          <cell r="K893">
            <v>45326</v>
          </cell>
          <cell r="L893">
            <v>45326</v>
          </cell>
        </row>
        <row r="894">
          <cell r="A894" t="str">
            <v>AU23148</v>
          </cell>
          <cell r="B894">
            <v>37350</v>
          </cell>
          <cell r="C894" t="str">
            <v>VIC-TAS</v>
          </cell>
          <cell r="D894" t="str">
            <v>Virtus Health</v>
          </cell>
          <cell r="E894" t="str">
            <v>Accounts Receivable Administrator</v>
          </cell>
          <cell r="F894">
            <v>45386</v>
          </cell>
          <cell r="H894" t="str">
            <v>MIVFS2022</v>
          </cell>
          <cell r="I894" t="str">
            <v>VIC</v>
          </cell>
          <cell r="J894" t="str">
            <v>Full Time</v>
          </cell>
          <cell r="K894">
            <v>45386</v>
          </cell>
          <cell r="L894">
            <v>45386</v>
          </cell>
        </row>
        <row r="895">
          <cell r="A895" t="str">
            <v>AU23151</v>
          </cell>
          <cell r="B895" t="str">
            <v>3/27/2002</v>
          </cell>
          <cell r="C895" t="str">
            <v>NSW-QLD</v>
          </cell>
          <cell r="D895" t="str">
            <v>Virtus Health</v>
          </cell>
          <cell r="E895" t="str">
            <v>Registered Nurse</v>
          </cell>
          <cell r="F895" t="str">
            <v>3/27/2024</v>
          </cell>
          <cell r="H895" t="str">
            <v>IVFN2021</v>
          </cell>
          <cell r="I895" t="str">
            <v>NSW</v>
          </cell>
          <cell r="J895" t="str">
            <v>Casual</v>
          </cell>
          <cell r="K895" t="str">
            <v>3/27/2024</v>
          </cell>
          <cell r="L895" t="str">
            <v>3/27/2024</v>
          </cell>
        </row>
        <row r="896">
          <cell r="A896" t="str">
            <v>AU23153</v>
          </cell>
          <cell r="B896">
            <v>37350</v>
          </cell>
          <cell r="C896" t="str">
            <v>NSW-QLD</v>
          </cell>
          <cell r="D896" t="str">
            <v>Virtus Health</v>
          </cell>
          <cell r="E896" t="str">
            <v>CSSD Tech</v>
          </cell>
          <cell r="F896">
            <v>45386</v>
          </cell>
          <cell r="H896" t="str">
            <v>IVFS2023</v>
          </cell>
          <cell r="I896" t="str">
            <v>NSW</v>
          </cell>
          <cell r="J896" t="str">
            <v>Casual</v>
          </cell>
          <cell r="K896">
            <v>45386</v>
          </cell>
          <cell r="L896">
            <v>45386</v>
          </cell>
        </row>
        <row r="897">
          <cell r="A897" t="str">
            <v>AU23155</v>
          </cell>
          <cell r="B897">
            <v>37472</v>
          </cell>
          <cell r="C897" t="str">
            <v>NSW-QLD</v>
          </cell>
          <cell r="D897" t="str">
            <v>Virtus Health</v>
          </cell>
          <cell r="E897" t="str">
            <v>Enrolled Nurse</v>
          </cell>
          <cell r="F897">
            <v>45508</v>
          </cell>
          <cell r="H897" t="str">
            <v>QN2025</v>
          </cell>
          <cell r="I897" t="str">
            <v>QLD</v>
          </cell>
          <cell r="J897" t="str">
            <v>Full Time</v>
          </cell>
          <cell r="K897">
            <v>45508</v>
          </cell>
          <cell r="L897">
            <v>45508</v>
          </cell>
        </row>
        <row r="898">
          <cell r="A898" t="str">
            <v>AU23158</v>
          </cell>
          <cell r="B898" t="str">
            <v>4/16/2002</v>
          </cell>
          <cell r="C898" t="str">
            <v>NSW-QLD</v>
          </cell>
          <cell r="D898" t="str">
            <v>Virtus Health</v>
          </cell>
          <cell r="E898" t="str">
            <v>Phlebotomist</v>
          </cell>
          <cell r="F898" t="str">
            <v>4/16/2024</v>
          </cell>
          <cell r="H898" t="str">
            <v>IVFS2023</v>
          </cell>
          <cell r="I898" t="str">
            <v>QLD</v>
          </cell>
          <cell r="J898" t="str">
            <v>Casual</v>
          </cell>
          <cell r="K898" t="str">
            <v>4/16/2024</v>
          </cell>
          <cell r="L898" t="str">
            <v>4/16/2024</v>
          </cell>
        </row>
        <row r="899">
          <cell r="A899" t="str">
            <v>AU23172</v>
          </cell>
          <cell r="B899">
            <v>37503</v>
          </cell>
          <cell r="C899" t="str">
            <v>NSW-QLD</v>
          </cell>
          <cell r="D899" t="str">
            <v>Virtus Health</v>
          </cell>
          <cell r="E899" t="str">
            <v>Donor Coordinator</v>
          </cell>
          <cell r="F899">
            <v>45539</v>
          </cell>
          <cell r="H899" t="str">
            <v>IVFS2023</v>
          </cell>
          <cell r="I899" t="str">
            <v>NSW</v>
          </cell>
          <cell r="J899" t="str">
            <v>Part Time</v>
          </cell>
          <cell r="K899">
            <v>45539</v>
          </cell>
          <cell r="L899">
            <v>45539</v>
          </cell>
        </row>
        <row r="900">
          <cell r="A900" t="str">
            <v>AU23176</v>
          </cell>
          <cell r="B900">
            <v>37442</v>
          </cell>
          <cell r="C900" t="str">
            <v>NSW-QLD</v>
          </cell>
          <cell r="D900" t="str">
            <v>Virtus Health</v>
          </cell>
          <cell r="E900" t="str">
            <v>Genetic Scientist</v>
          </cell>
          <cell r="F900">
            <v>45478</v>
          </cell>
          <cell r="H900" t="str">
            <v>QS2024</v>
          </cell>
          <cell r="I900" t="str">
            <v>QLD</v>
          </cell>
          <cell r="J900" t="str">
            <v>Full Time</v>
          </cell>
          <cell r="K900">
            <v>45478</v>
          </cell>
          <cell r="L900">
            <v>45478</v>
          </cell>
        </row>
        <row r="901">
          <cell r="A901" t="str">
            <v>AU23177</v>
          </cell>
          <cell r="B901" t="str">
            <v>4/22/2002</v>
          </cell>
          <cell r="C901" t="str">
            <v>NSW-QLD</v>
          </cell>
          <cell r="D901" t="str">
            <v>Virtus Health</v>
          </cell>
          <cell r="E901" t="str">
            <v>Medical Receptionist</v>
          </cell>
          <cell r="F901" t="str">
            <v>4/22/2024</v>
          </cell>
          <cell r="H901" t="str">
            <v>IVFS2023</v>
          </cell>
          <cell r="I901" t="str">
            <v>QLD</v>
          </cell>
          <cell r="J901" t="str">
            <v>Part Time</v>
          </cell>
          <cell r="K901" t="str">
            <v>4/22/2024</v>
          </cell>
          <cell r="L901" t="str">
            <v>4/22/2024</v>
          </cell>
        </row>
        <row r="902">
          <cell r="A902" t="str">
            <v>AU23178</v>
          </cell>
          <cell r="B902" t="str">
            <v>4/24/2002</v>
          </cell>
          <cell r="C902" t="str">
            <v>NSW-QLD</v>
          </cell>
          <cell r="D902" t="str">
            <v>Virtus Health</v>
          </cell>
          <cell r="E902" t="str">
            <v>Administration Officer</v>
          </cell>
          <cell r="F902" t="str">
            <v>4/24/2024</v>
          </cell>
          <cell r="H902" t="str">
            <v>IVFS2023</v>
          </cell>
          <cell r="I902" t="str">
            <v>NSW</v>
          </cell>
          <cell r="J902" t="str">
            <v>Casual</v>
          </cell>
          <cell r="K902" t="str">
            <v>4/24/2024</v>
          </cell>
          <cell r="L902" t="str">
            <v>4/24/2024</v>
          </cell>
        </row>
        <row r="903">
          <cell r="A903" t="str">
            <v>AU23180</v>
          </cell>
          <cell r="B903" t="str">
            <v>4/29/2002</v>
          </cell>
          <cell r="C903" t="str">
            <v>NSW-QLD</v>
          </cell>
          <cell r="D903" t="str">
            <v>Virtus Health</v>
          </cell>
          <cell r="E903" t="str">
            <v>Payroll Business Partner</v>
          </cell>
          <cell r="F903" t="str">
            <v>4/29/2024</v>
          </cell>
          <cell r="H903" t="str">
            <v>NSW</v>
          </cell>
          <cell r="I903" t="str">
            <v>NSW</v>
          </cell>
          <cell r="J903" t="str">
            <v>Full Time</v>
          </cell>
          <cell r="K903" t="str">
            <v>4/29/2024</v>
          </cell>
          <cell r="L903" t="str">
            <v>4/29/2024</v>
          </cell>
        </row>
        <row r="904">
          <cell r="A904" t="str">
            <v>AU23181</v>
          </cell>
          <cell r="B904" t="str">
            <v>4/29/2002</v>
          </cell>
          <cell r="C904" t="str">
            <v>NSW-QLD</v>
          </cell>
          <cell r="D904" t="str">
            <v>Virtus Health</v>
          </cell>
          <cell r="E904" t="str">
            <v>Assistant in Nursing</v>
          </cell>
          <cell r="F904" t="str">
            <v>4/29/2024</v>
          </cell>
          <cell r="H904" t="str">
            <v>IVFN2021</v>
          </cell>
          <cell r="I904" t="str">
            <v>NSW</v>
          </cell>
          <cell r="J904" t="str">
            <v>Full Time</v>
          </cell>
          <cell r="K904" t="str">
            <v>4/29/2024</v>
          </cell>
          <cell r="L904" t="str">
            <v>4/29/2024</v>
          </cell>
        </row>
        <row r="905">
          <cell r="A905" t="str">
            <v>AU23182</v>
          </cell>
          <cell r="B905" t="str">
            <v>4/22/2002</v>
          </cell>
          <cell r="C905" t="str">
            <v>NSW-QLD</v>
          </cell>
          <cell r="D905" t="str">
            <v>Virtus Health</v>
          </cell>
          <cell r="E905" t="str">
            <v>Theatre Orderly</v>
          </cell>
          <cell r="F905" t="str">
            <v>4/22/2024</v>
          </cell>
          <cell r="H905" t="str">
            <v>IVFS2023</v>
          </cell>
          <cell r="I905" t="str">
            <v>NSW</v>
          </cell>
          <cell r="J905" t="str">
            <v>Casual</v>
          </cell>
          <cell r="K905" t="str">
            <v>4/22/2024</v>
          </cell>
          <cell r="L905" t="str">
            <v>4/22/2024</v>
          </cell>
        </row>
        <row r="906">
          <cell r="A906" t="str">
            <v>AU23186</v>
          </cell>
          <cell r="B906" t="str">
            <v>4/29/2002</v>
          </cell>
          <cell r="C906" t="str">
            <v>NSW-QLD</v>
          </cell>
          <cell r="D906" t="str">
            <v>Virtus Health</v>
          </cell>
          <cell r="E906" t="str">
            <v>Nures Coordinator</v>
          </cell>
          <cell r="F906" t="str">
            <v>4/29/2024</v>
          </cell>
          <cell r="H906" t="str">
            <v>IVFN2021</v>
          </cell>
          <cell r="I906" t="str">
            <v>ACT</v>
          </cell>
          <cell r="J906" t="str">
            <v>Part Time</v>
          </cell>
          <cell r="K906" t="str">
            <v>4/29/2024</v>
          </cell>
          <cell r="L906" t="str">
            <v>4/29/2024</v>
          </cell>
        </row>
        <row r="907">
          <cell r="A907" t="str">
            <v>AU23189</v>
          </cell>
          <cell r="B907" t="str">
            <v>4/29/2002</v>
          </cell>
          <cell r="C907" t="str">
            <v>VIC-TAS</v>
          </cell>
          <cell r="D907" t="str">
            <v>Virtus Health</v>
          </cell>
          <cell r="E907" t="str">
            <v>IVF Laboratory Team Leader</v>
          </cell>
          <cell r="F907" t="str">
            <v>4/29/2024</v>
          </cell>
          <cell r="H907" t="str">
            <v>MIVFS2022</v>
          </cell>
          <cell r="I907" t="str">
            <v>VIC</v>
          </cell>
          <cell r="J907" t="str">
            <v>Full Time</v>
          </cell>
          <cell r="K907" t="str">
            <v>4/29/2024</v>
          </cell>
          <cell r="L907" t="str">
            <v>4/29/2024</v>
          </cell>
        </row>
        <row r="908">
          <cell r="A908" t="str">
            <v>AU23195</v>
          </cell>
          <cell r="B908" t="str">
            <v>4/29/2002</v>
          </cell>
          <cell r="C908" t="str">
            <v>NSW-QLD</v>
          </cell>
          <cell r="D908" t="str">
            <v>Virtus Health</v>
          </cell>
          <cell r="E908" t="str">
            <v>Assistant in Nursing</v>
          </cell>
          <cell r="F908" t="str">
            <v>4/29/2024</v>
          </cell>
          <cell r="H908" t="str">
            <v>IVFN2021</v>
          </cell>
          <cell r="I908" t="str">
            <v>NSW</v>
          </cell>
          <cell r="J908" t="str">
            <v>Part Time</v>
          </cell>
          <cell r="K908" t="str">
            <v>4/29/2024</v>
          </cell>
          <cell r="L908" t="str">
            <v>4/29/2024</v>
          </cell>
        </row>
        <row r="909">
          <cell r="A909" t="str">
            <v>AU23196</v>
          </cell>
          <cell r="B909" t="str">
            <v>5/20/2002</v>
          </cell>
          <cell r="C909" t="str">
            <v>NSW-QLD</v>
          </cell>
          <cell r="D909" t="str">
            <v>Virtus Health</v>
          </cell>
          <cell r="E909" t="str">
            <v>Genetic Scientist</v>
          </cell>
          <cell r="F909" t="str">
            <v>5/20/2024</v>
          </cell>
          <cell r="H909" t="str">
            <v>QS2024</v>
          </cell>
          <cell r="I909" t="str">
            <v>QLD</v>
          </cell>
          <cell r="J909" t="str">
            <v>Full Time</v>
          </cell>
          <cell r="K909" t="str">
            <v>5/20/2024</v>
          </cell>
          <cell r="L909" t="str">
            <v>5/20/2024</v>
          </cell>
        </row>
        <row r="910">
          <cell r="A910" t="str">
            <v>AU23197</v>
          </cell>
          <cell r="B910">
            <v>37412</v>
          </cell>
          <cell r="C910" t="str">
            <v>NSW-QLD</v>
          </cell>
          <cell r="D910" t="str">
            <v>Virtus Health</v>
          </cell>
          <cell r="E910" t="str">
            <v>Nures Coordinator</v>
          </cell>
          <cell r="F910">
            <v>45448</v>
          </cell>
          <cell r="H910" t="str">
            <v>IVFN2021</v>
          </cell>
          <cell r="I910" t="str">
            <v>NSW</v>
          </cell>
          <cell r="J910" t="str">
            <v>Full Time</v>
          </cell>
          <cell r="K910">
            <v>45448</v>
          </cell>
          <cell r="L910">
            <v>45448</v>
          </cell>
        </row>
        <row r="911">
          <cell r="A911" t="str">
            <v>AU23200</v>
          </cell>
          <cell r="B911">
            <v>37291</v>
          </cell>
          <cell r="C911" t="str">
            <v>NSW-QLD</v>
          </cell>
          <cell r="D911" t="str">
            <v>Virtus Health</v>
          </cell>
          <cell r="E911" t="str">
            <v>Registered Nurse</v>
          </cell>
          <cell r="F911">
            <v>45326</v>
          </cell>
          <cell r="H911" t="str">
            <v>IVFN2021</v>
          </cell>
          <cell r="I911" t="str">
            <v>NSW</v>
          </cell>
          <cell r="J911" t="str">
            <v>Full Time</v>
          </cell>
          <cell r="K911">
            <v>45326</v>
          </cell>
          <cell r="L911">
            <v>45326</v>
          </cell>
        </row>
        <row r="912">
          <cell r="A912" t="str">
            <v>AU23201</v>
          </cell>
          <cell r="B912" t="str">
            <v>4/29/2002</v>
          </cell>
          <cell r="C912" t="str">
            <v>NSW-QLD</v>
          </cell>
          <cell r="D912" t="str">
            <v>Virtus Health</v>
          </cell>
          <cell r="E912" t="str">
            <v>Courier</v>
          </cell>
          <cell r="F912" t="str">
            <v>4/29/2024</v>
          </cell>
          <cell r="H912" t="str">
            <v>IVFS2023</v>
          </cell>
          <cell r="I912" t="str">
            <v>QLD</v>
          </cell>
          <cell r="J912" t="str">
            <v>Part Time</v>
          </cell>
          <cell r="K912" t="str">
            <v>4/29/2024</v>
          </cell>
          <cell r="L912" t="str">
            <v>4/29/2024</v>
          </cell>
        </row>
        <row r="913">
          <cell r="A913" t="str">
            <v>AU23203</v>
          </cell>
          <cell r="B913" t="str">
            <v>4/22/2002</v>
          </cell>
          <cell r="C913" t="str">
            <v>NSW-QLD</v>
          </cell>
          <cell r="D913" t="str">
            <v>Virtus Health</v>
          </cell>
          <cell r="E913" t="str">
            <v>Enrolled Nurse</v>
          </cell>
          <cell r="F913" t="str">
            <v>4/22/2024</v>
          </cell>
          <cell r="H913" t="str">
            <v>IVFN2021</v>
          </cell>
          <cell r="I913" t="str">
            <v>NSW</v>
          </cell>
          <cell r="J913" t="str">
            <v>Casual</v>
          </cell>
          <cell r="K913" t="str">
            <v>4/22/2024</v>
          </cell>
          <cell r="L913" t="str">
            <v>4/22/2024</v>
          </cell>
        </row>
        <row r="914">
          <cell r="A914" t="str">
            <v>AU23205</v>
          </cell>
          <cell r="B914">
            <v>37261</v>
          </cell>
          <cell r="C914" t="str">
            <v>NSW-QLD</v>
          </cell>
          <cell r="D914" t="str">
            <v>Virtus Health</v>
          </cell>
          <cell r="E914" t="str">
            <v>Clinical Nurse Specialist</v>
          </cell>
          <cell r="F914">
            <v>45296</v>
          </cell>
          <cell r="H914" t="str">
            <v>IVFN2021</v>
          </cell>
          <cell r="I914" t="str">
            <v>NSW</v>
          </cell>
          <cell r="J914" t="str">
            <v>Casual</v>
          </cell>
          <cell r="K914">
            <v>45296</v>
          </cell>
          <cell r="L914">
            <v>45296</v>
          </cell>
        </row>
        <row r="915">
          <cell r="A915" t="str">
            <v>AU23206</v>
          </cell>
          <cell r="B915" t="str">
            <v>5/13/2002</v>
          </cell>
          <cell r="C915" t="str">
            <v>NSW-QLD</v>
          </cell>
          <cell r="D915" t="str">
            <v>Virtus Health</v>
          </cell>
          <cell r="E915" t="str">
            <v>Marketing and Campaign Manager b</v>
          </cell>
          <cell r="F915" t="str">
            <v>5/13/2024</v>
          </cell>
          <cell r="H915" t="str">
            <v>VIC</v>
          </cell>
          <cell r="I915" t="str">
            <v>VIC</v>
          </cell>
          <cell r="J915" t="str">
            <v>Full Time</v>
          </cell>
          <cell r="K915" t="str">
            <v>5/13/2024</v>
          </cell>
          <cell r="L915" t="str">
            <v>5/13/2024</v>
          </cell>
        </row>
        <row r="916">
          <cell r="A916" t="str">
            <v>AU23207</v>
          </cell>
          <cell r="B916" t="str">
            <v>5/13/2002</v>
          </cell>
          <cell r="C916" t="str">
            <v>VIC-TAS</v>
          </cell>
          <cell r="D916" t="str">
            <v>Virtus Health</v>
          </cell>
          <cell r="E916" t="str">
            <v>Embryologist</v>
          </cell>
          <cell r="F916" t="str">
            <v>5/13/2024</v>
          </cell>
          <cell r="H916" t="str">
            <v>MIVFS2022</v>
          </cell>
          <cell r="I916" t="str">
            <v>VIC</v>
          </cell>
          <cell r="J916" t="str">
            <v>Full Time</v>
          </cell>
          <cell r="K916" t="str">
            <v>5/13/2024</v>
          </cell>
          <cell r="L916" t="str">
            <v>5/13/2024</v>
          </cell>
        </row>
        <row r="917">
          <cell r="A917" t="str">
            <v>AU23208</v>
          </cell>
          <cell r="B917" t="str">
            <v>4/29/2002</v>
          </cell>
          <cell r="C917" t="str">
            <v>NSW-QLD</v>
          </cell>
          <cell r="D917" t="str">
            <v>Virtus Health</v>
          </cell>
          <cell r="E917" t="str">
            <v>Registered Nurse</v>
          </cell>
          <cell r="F917" t="str">
            <v>4/29/2024</v>
          </cell>
          <cell r="H917" t="str">
            <v>IVFN2021</v>
          </cell>
          <cell r="I917" t="str">
            <v>ACT</v>
          </cell>
          <cell r="J917" t="str">
            <v>Casual</v>
          </cell>
          <cell r="K917" t="str">
            <v>4/29/2024</v>
          </cell>
          <cell r="L917" t="str">
            <v>4/29/2024</v>
          </cell>
        </row>
        <row r="918">
          <cell r="A918" t="str">
            <v>AU23209</v>
          </cell>
          <cell r="B918">
            <v>37412</v>
          </cell>
          <cell r="C918" t="str">
            <v>VIC-TAS</v>
          </cell>
          <cell r="D918" t="str">
            <v>Virtus Health</v>
          </cell>
          <cell r="E918" t="str">
            <v>Clinical Embryologist</v>
          </cell>
          <cell r="F918">
            <v>45448</v>
          </cell>
          <cell r="H918" t="str">
            <v>MIVFS2022</v>
          </cell>
          <cell r="I918" t="str">
            <v>VIC</v>
          </cell>
          <cell r="J918" t="str">
            <v>Full Time</v>
          </cell>
          <cell r="K918">
            <v>45448</v>
          </cell>
          <cell r="L918">
            <v>45448</v>
          </cell>
        </row>
        <row r="919">
          <cell r="A919" t="str">
            <v>AU23210</v>
          </cell>
          <cell r="B919" t="str">
            <v>4/24/2002</v>
          </cell>
          <cell r="C919" t="str">
            <v>NSW-QLD</v>
          </cell>
          <cell r="D919" t="str">
            <v>Virtus Health</v>
          </cell>
          <cell r="E919" t="str">
            <v>Registered Nurse</v>
          </cell>
          <cell r="F919" t="str">
            <v>4/24/2024</v>
          </cell>
          <cell r="H919" t="str">
            <v>IVFN2021</v>
          </cell>
          <cell r="I919" t="str">
            <v>NSW</v>
          </cell>
          <cell r="J919" t="str">
            <v>Casual</v>
          </cell>
          <cell r="K919" t="str">
            <v>4/24/2024</v>
          </cell>
          <cell r="L919" t="str">
            <v>4/24/2024</v>
          </cell>
        </row>
        <row r="920">
          <cell r="A920" t="str">
            <v>AU23211</v>
          </cell>
          <cell r="B920" t="str">
            <v>4/17/2002</v>
          </cell>
          <cell r="C920" t="str">
            <v>NSW-QLD</v>
          </cell>
          <cell r="D920" t="str">
            <v>Virtus Health</v>
          </cell>
          <cell r="E920" t="str">
            <v>Enrolled Nurse</v>
          </cell>
          <cell r="F920" t="str">
            <v>4/17/2024</v>
          </cell>
          <cell r="H920" t="str">
            <v>QN2025</v>
          </cell>
          <cell r="I920" t="str">
            <v>QLD</v>
          </cell>
          <cell r="J920" t="str">
            <v>Casual</v>
          </cell>
          <cell r="K920" t="str">
            <v>4/17/2024</v>
          </cell>
          <cell r="L920" t="str">
            <v>4/17/2024</v>
          </cell>
        </row>
        <row r="921">
          <cell r="A921" t="str">
            <v>AU23212</v>
          </cell>
          <cell r="B921" t="str">
            <v>5/13/2002</v>
          </cell>
          <cell r="C921" t="str">
            <v>NSW-QLD</v>
          </cell>
          <cell r="D921" t="str">
            <v>Virtus Health</v>
          </cell>
          <cell r="E921" t="str">
            <v>Nurse Unit Manager</v>
          </cell>
          <cell r="F921" t="str">
            <v>5/13/2024</v>
          </cell>
          <cell r="H921" t="str">
            <v>IVFN2021</v>
          </cell>
          <cell r="I921" t="str">
            <v>NSW</v>
          </cell>
          <cell r="J921" t="str">
            <v>Full Time</v>
          </cell>
          <cell r="K921" t="str">
            <v>5/13/2024</v>
          </cell>
          <cell r="L921" t="str">
            <v>5/13/2024</v>
          </cell>
        </row>
        <row r="922">
          <cell r="A922" t="str">
            <v>AU23213</v>
          </cell>
          <cell r="B922">
            <v>37412</v>
          </cell>
          <cell r="C922" t="str">
            <v>NSW-QLD</v>
          </cell>
          <cell r="D922" t="str">
            <v>Virtus Health</v>
          </cell>
          <cell r="E922" t="str">
            <v>Pathology Scientist</v>
          </cell>
          <cell r="F922">
            <v>45448</v>
          </cell>
          <cell r="H922" t="str">
            <v>IVFS2023</v>
          </cell>
          <cell r="I922" t="str">
            <v>NSW</v>
          </cell>
          <cell r="J922" t="str">
            <v>Part Time</v>
          </cell>
          <cell r="K922">
            <v>45448</v>
          </cell>
          <cell r="L922">
            <v>45448</v>
          </cell>
        </row>
        <row r="923">
          <cell r="A923" t="str">
            <v>AU23215</v>
          </cell>
          <cell r="B923" t="str">
            <v>5/20/2002</v>
          </cell>
          <cell r="C923" t="str">
            <v>NSW-QLD</v>
          </cell>
          <cell r="D923" t="str">
            <v>Virtus Health</v>
          </cell>
          <cell r="E923" t="str">
            <v>Trainee Embryologist</v>
          </cell>
          <cell r="F923" t="str">
            <v>5/20/2024</v>
          </cell>
          <cell r="H923" t="str">
            <v>QS2024</v>
          </cell>
          <cell r="I923" t="str">
            <v>QLD</v>
          </cell>
          <cell r="J923" t="str">
            <v>Part Time</v>
          </cell>
          <cell r="K923" t="str">
            <v>5/20/2024</v>
          </cell>
          <cell r="L923" t="str">
            <v>5/20/2024</v>
          </cell>
        </row>
        <row r="924">
          <cell r="A924" t="str">
            <v>AU23216</v>
          </cell>
          <cell r="B924">
            <v>37473</v>
          </cell>
          <cell r="C924" t="str">
            <v>NSW-QLD</v>
          </cell>
          <cell r="D924" t="str">
            <v>Virtus Health</v>
          </cell>
          <cell r="E924" t="str">
            <v>Registered Nurse</v>
          </cell>
          <cell r="F924">
            <v>45509</v>
          </cell>
          <cell r="H924" t="str">
            <v>IVFN2021</v>
          </cell>
          <cell r="I924" t="str">
            <v>QLD</v>
          </cell>
          <cell r="J924" t="str">
            <v>Casual</v>
          </cell>
          <cell r="K924">
            <v>45509</v>
          </cell>
          <cell r="L924">
            <v>45509</v>
          </cell>
        </row>
        <row r="925">
          <cell r="A925" t="str">
            <v>AU23217</v>
          </cell>
          <cell r="B925">
            <v>37261</v>
          </cell>
          <cell r="C925" t="str">
            <v>NSW-QLD</v>
          </cell>
          <cell r="D925" t="str">
            <v>Virtus Health</v>
          </cell>
          <cell r="E925" t="str">
            <v>Registered Nurse</v>
          </cell>
          <cell r="F925">
            <v>45296</v>
          </cell>
          <cell r="H925" t="str">
            <v>IVFN2021</v>
          </cell>
          <cell r="I925" t="str">
            <v>NSW</v>
          </cell>
          <cell r="J925" t="str">
            <v>Part Time</v>
          </cell>
          <cell r="K925">
            <v>45296</v>
          </cell>
          <cell r="L925">
            <v>45296</v>
          </cell>
        </row>
        <row r="926">
          <cell r="A926" t="str">
            <v>AU23218</v>
          </cell>
          <cell r="B926" t="str">
            <v>4/22/2002</v>
          </cell>
          <cell r="C926" t="str">
            <v>NSW-QLD</v>
          </cell>
          <cell r="D926" t="str">
            <v>Virtus Health</v>
          </cell>
          <cell r="E926" t="str">
            <v>Registered Nurse</v>
          </cell>
          <cell r="F926" t="str">
            <v>4/22/2024</v>
          </cell>
          <cell r="H926" t="str">
            <v>QN2025</v>
          </cell>
          <cell r="I926" t="str">
            <v>QLD</v>
          </cell>
          <cell r="J926" t="str">
            <v>Casual</v>
          </cell>
          <cell r="K926" t="str">
            <v>4/22/2024</v>
          </cell>
          <cell r="L926" t="str">
            <v>4/22/2024</v>
          </cell>
        </row>
        <row r="927">
          <cell r="A927" t="str">
            <v>AU23219</v>
          </cell>
          <cell r="B927" t="str">
            <v>5/20/2002</v>
          </cell>
          <cell r="C927" t="str">
            <v>NSW-QLD</v>
          </cell>
          <cell r="D927" t="str">
            <v>Virtus Health</v>
          </cell>
          <cell r="E927" t="str">
            <v>Registered Nurse</v>
          </cell>
          <cell r="F927" t="str">
            <v>5/20/2024</v>
          </cell>
          <cell r="H927" t="str">
            <v>QN2025</v>
          </cell>
          <cell r="I927" t="str">
            <v>QLD</v>
          </cell>
          <cell r="J927" t="str">
            <v>Part Time</v>
          </cell>
          <cell r="K927" t="str">
            <v>5/20/2024</v>
          </cell>
          <cell r="L927" t="str">
            <v>5/20/2024</v>
          </cell>
        </row>
        <row r="928">
          <cell r="A928" t="str">
            <v>AU23221</v>
          </cell>
          <cell r="B928" t="str">
            <v>5/20/2002</v>
          </cell>
          <cell r="C928" t="str">
            <v>NSW-QLD</v>
          </cell>
          <cell r="D928" t="str">
            <v>Virtus Health</v>
          </cell>
          <cell r="E928" t="str">
            <v>Financial Accountant</v>
          </cell>
          <cell r="F928" t="str">
            <v>5/20/2024</v>
          </cell>
          <cell r="H928" t="str">
            <v>NSW</v>
          </cell>
          <cell r="I928" t="str">
            <v>NSW</v>
          </cell>
          <cell r="J928" t="str">
            <v>Full Time</v>
          </cell>
          <cell r="K928" t="str">
            <v>5/20/2024</v>
          </cell>
          <cell r="L928" t="str">
            <v>5/20/2024</v>
          </cell>
        </row>
        <row r="929">
          <cell r="A929" t="str">
            <v>AU23222</v>
          </cell>
          <cell r="B929" t="str">
            <v>5/27/2002</v>
          </cell>
          <cell r="C929" t="str">
            <v>NSW-QLD</v>
          </cell>
          <cell r="D929" t="str">
            <v>Virtus Health</v>
          </cell>
          <cell r="E929" t="str">
            <v>Head of Department - Molecular Genetics</v>
          </cell>
          <cell r="F929" t="str">
            <v>5/27/2024</v>
          </cell>
          <cell r="H929" t="str">
            <v>NSW</v>
          </cell>
          <cell r="I929" t="str">
            <v>NSW</v>
          </cell>
          <cell r="J929" t="str">
            <v>Full Time</v>
          </cell>
          <cell r="K929" t="str">
            <v>5/27/2024</v>
          </cell>
          <cell r="L929" t="str">
            <v>5/27/2024</v>
          </cell>
        </row>
        <row r="930">
          <cell r="A930" t="str">
            <v>AU23223</v>
          </cell>
          <cell r="B930" t="str">
            <v>5/20/2002</v>
          </cell>
          <cell r="C930" t="str">
            <v>NSW-QLD</v>
          </cell>
          <cell r="D930" t="str">
            <v>Virtus Health</v>
          </cell>
          <cell r="E930" t="str">
            <v>Admin Officer</v>
          </cell>
          <cell r="F930" t="str">
            <v>5/20/2024</v>
          </cell>
          <cell r="H930" t="str">
            <v>IVFS2023</v>
          </cell>
          <cell r="I930" t="str">
            <v>NSW</v>
          </cell>
          <cell r="J930" t="str">
            <v>Full Time</v>
          </cell>
          <cell r="K930" t="str">
            <v>5/20/2024</v>
          </cell>
          <cell r="L930" t="str">
            <v>5/20/2024</v>
          </cell>
        </row>
        <row r="931">
          <cell r="A931" t="str">
            <v>AU23225</v>
          </cell>
          <cell r="B931">
            <v>37321</v>
          </cell>
          <cell r="C931" t="str">
            <v>VIC-TAS</v>
          </cell>
          <cell r="D931" t="str">
            <v>Virtus Health</v>
          </cell>
          <cell r="E931" t="str">
            <v>Senior PGT Scientist</v>
          </cell>
          <cell r="F931">
            <v>45357</v>
          </cell>
          <cell r="H931" t="str">
            <v>MIVFS2022</v>
          </cell>
          <cell r="I931" t="str">
            <v>VIC</v>
          </cell>
          <cell r="J931" t="str">
            <v>Part Time</v>
          </cell>
          <cell r="K931">
            <v>45357</v>
          </cell>
          <cell r="L931">
            <v>45357</v>
          </cell>
        </row>
        <row r="932">
          <cell r="A932" t="str">
            <v>AU23226</v>
          </cell>
          <cell r="B932" t="str">
            <v>5/20/2002</v>
          </cell>
          <cell r="C932" t="str">
            <v>NSW-QLD</v>
          </cell>
          <cell r="D932" t="str">
            <v>Virtus Health</v>
          </cell>
          <cell r="E932" t="str">
            <v>Chief Marketing &amp; Experience Officer</v>
          </cell>
          <cell r="F932" t="str">
            <v>5/20/2024</v>
          </cell>
          <cell r="H932" t="str">
            <v>NSW</v>
          </cell>
          <cell r="I932" t="str">
            <v>NSW</v>
          </cell>
          <cell r="J932" t="str">
            <v>Full Time</v>
          </cell>
          <cell r="K932" t="str">
            <v>5/20/2024</v>
          </cell>
          <cell r="L932" t="str">
            <v>5/20/2024</v>
          </cell>
        </row>
        <row r="933">
          <cell r="A933" t="str">
            <v>AU23228</v>
          </cell>
          <cell r="B933" t="str">
            <v>5/27/2002</v>
          </cell>
          <cell r="C933" t="str">
            <v>NSW-QLD</v>
          </cell>
          <cell r="D933" t="str">
            <v>Virtus Health</v>
          </cell>
          <cell r="E933" t="str">
            <v>Patient Liaison Coordinator</v>
          </cell>
          <cell r="F933" t="str">
            <v>5/27/2024</v>
          </cell>
          <cell r="H933" t="str">
            <v>IVFS2023</v>
          </cell>
          <cell r="I933" t="str">
            <v>NSW</v>
          </cell>
          <cell r="J933" t="str">
            <v>Full Time</v>
          </cell>
          <cell r="K933" t="str">
            <v>5/27/2024</v>
          </cell>
          <cell r="L933" t="str">
            <v>5/27/2024</v>
          </cell>
        </row>
        <row r="934">
          <cell r="A934" t="str">
            <v>AU23229</v>
          </cell>
          <cell r="B934" t="str">
            <v>5/27/2002</v>
          </cell>
          <cell r="C934" t="str">
            <v>NSW-QLD</v>
          </cell>
          <cell r="D934" t="str">
            <v>Virtus Health</v>
          </cell>
          <cell r="E934" t="str">
            <v>Assistant in Nursing</v>
          </cell>
          <cell r="F934" t="str">
            <v>5/27/2024</v>
          </cell>
          <cell r="H934" t="str">
            <v>IVFN2021</v>
          </cell>
          <cell r="I934" t="str">
            <v>NSW</v>
          </cell>
          <cell r="J934" t="str">
            <v>Casual</v>
          </cell>
          <cell r="K934" t="str">
            <v>5/27/2024</v>
          </cell>
          <cell r="L934" t="str">
            <v>5/27/2024</v>
          </cell>
        </row>
        <row r="935">
          <cell r="A935" t="str">
            <v>AU23230</v>
          </cell>
          <cell r="B935" t="str">
            <v>5/22/2002</v>
          </cell>
          <cell r="C935" t="str">
            <v>NSW-QLD</v>
          </cell>
          <cell r="D935" t="str">
            <v>Virtus Health</v>
          </cell>
          <cell r="E935" t="str">
            <v>Clinic Coordinator</v>
          </cell>
          <cell r="F935" t="str">
            <v>5/22/2024</v>
          </cell>
          <cell r="H935" t="str">
            <v>IVFS2023</v>
          </cell>
          <cell r="I935" t="str">
            <v>QLD</v>
          </cell>
          <cell r="J935" t="str">
            <v>Full Time</v>
          </cell>
          <cell r="K935" t="str">
            <v>5/22/2024</v>
          </cell>
          <cell r="L935" t="str">
            <v>5/22/2024</v>
          </cell>
        </row>
        <row r="936">
          <cell r="A936" t="str">
            <v>AU23232</v>
          </cell>
          <cell r="B936">
            <v>37321</v>
          </cell>
          <cell r="C936" t="str">
            <v>NSW-QLD</v>
          </cell>
          <cell r="D936" t="str">
            <v>Virtus Health</v>
          </cell>
          <cell r="E936" t="str">
            <v>Registered Nurse</v>
          </cell>
          <cell r="F936">
            <v>45357</v>
          </cell>
          <cell r="H936" t="str">
            <v>IVFN2021</v>
          </cell>
          <cell r="I936" t="str">
            <v>NSW</v>
          </cell>
          <cell r="J936" t="str">
            <v>Part Time</v>
          </cell>
          <cell r="K936">
            <v>45357</v>
          </cell>
          <cell r="L936">
            <v>45357</v>
          </cell>
        </row>
        <row r="937">
          <cell r="A937" t="str">
            <v>AU23233</v>
          </cell>
          <cell r="B937">
            <v>37566</v>
          </cell>
          <cell r="C937" t="str">
            <v>NSW-QLD</v>
          </cell>
          <cell r="D937" t="str">
            <v>Virtus Health</v>
          </cell>
          <cell r="E937" t="str">
            <v>Administration Manager</v>
          </cell>
          <cell r="F937">
            <v>45602</v>
          </cell>
          <cell r="H937" t="str">
            <v>IVFS2023</v>
          </cell>
          <cell r="I937" t="str">
            <v>NSW</v>
          </cell>
          <cell r="J937" t="str">
            <v>Full Time</v>
          </cell>
          <cell r="K937">
            <v>45602</v>
          </cell>
          <cell r="L937">
            <v>45602</v>
          </cell>
        </row>
        <row r="938">
          <cell r="A938" t="str">
            <v>AU23235</v>
          </cell>
          <cell r="B938" t="str">
            <v>5/27/2002</v>
          </cell>
          <cell r="C938" t="str">
            <v>NSW-QLD</v>
          </cell>
          <cell r="D938" t="str">
            <v>Virtus Health</v>
          </cell>
          <cell r="E938" t="str">
            <v>Administration Clerk</v>
          </cell>
          <cell r="F938" t="str">
            <v>5/27/2024</v>
          </cell>
          <cell r="H938" t="str">
            <v>IVFS2023</v>
          </cell>
          <cell r="I938" t="str">
            <v>NSW</v>
          </cell>
          <cell r="J938" t="str">
            <v>Casual</v>
          </cell>
          <cell r="K938" t="str">
            <v>5/27/2024</v>
          </cell>
          <cell r="L938" t="str">
            <v>5/27/2024</v>
          </cell>
        </row>
        <row r="939">
          <cell r="A939" t="str">
            <v>AU23239</v>
          </cell>
          <cell r="B939">
            <v>37321</v>
          </cell>
          <cell r="C939" t="str">
            <v>NSW-QLD</v>
          </cell>
          <cell r="D939" t="str">
            <v>Virtus Health</v>
          </cell>
          <cell r="E939" t="str">
            <v>Donor Co-Ordinator</v>
          </cell>
          <cell r="F939">
            <v>45357</v>
          </cell>
          <cell r="H939" t="str">
            <v>IVFS2023</v>
          </cell>
          <cell r="I939" t="str">
            <v>NSW</v>
          </cell>
          <cell r="J939" t="str">
            <v>Part Time</v>
          </cell>
          <cell r="K939">
            <v>45357</v>
          </cell>
          <cell r="L939">
            <v>45357</v>
          </cell>
        </row>
        <row r="940">
          <cell r="A940" t="str">
            <v>AU23240</v>
          </cell>
          <cell r="B940" t="str">
            <v>5/29/2002</v>
          </cell>
          <cell r="C940" t="str">
            <v>NSW-QLD</v>
          </cell>
          <cell r="D940" t="str">
            <v>Virtus Health</v>
          </cell>
          <cell r="E940" t="str">
            <v>New Patient Care Team Leader</v>
          </cell>
          <cell r="F940" t="str">
            <v>5/29/2024</v>
          </cell>
          <cell r="H940" t="str">
            <v>NSW</v>
          </cell>
          <cell r="I940" t="str">
            <v>NSW</v>
          </cell>
          <cell r="J940" t="str">
            <v>Full Time</v>
          </cell>
          <cell r="K940" t="str">
            <v>5/29/2024</v>
          </cell>
          <cell r="L940" t="str">
            <v>5/29/2024</v>
          </cell>
        </row>
        <row r="941">
          <cell r="A941" t="str">
            <v>AU23243</v>
          </cell>
          <cell r="B941">
            <v>37566</v>
          </cell>
          <cell r="C941" t="str">
            <v>NSW-QLD</v>
          </cell>
          <cell r="D941" t="str">
            <v>Virtus Health</v>
          </cell>
          <cell r="E941" t="str">
            <v>Registered Nurse</v>
          </cell>
          <cell r="F941">
            <v>45602</v>
          </cell>
          <cell r="H941" t="str">
            <v>IVFN2021</v>
          </cell>
          <cell r="I941" t="str">
            <v>NSW</v>
          </cell>
          <cell r="J941" t="str">
            <v>Full Time</v>
          </cell>
          <cell r="K941">
            <v>45602</v>
          </cell>
          <cell r="L941">
            <v>45602</v>
          </cell>
        </row>
        <row r="942">
          <cell r="A942" t="str">
            <v>AU23244</v>
          </cell>
          <cell r="B942">
            <v>37263</v>
          </cell>
          <cell r="C942" t="str">
            <v>VIC-TAS</v>
          </cell>
          <cell r="D942" t="str">
            <v>Virtus Health</v>
          </cell>
          <cell r="E942" t="str">
            <v>Medical Secretary</v>
          </cell>
          <cell r="F942">
            <v>45298</v>
          </cell>
          <cell r="H942" t="str">
            <v>MIVFS2022</v>
          </cell>
          <cell r="I942" t="str">
            <v>VIC</v>
          </cell>
          <cell r="J942" t="str">
            <v>Full Time</v>
          </cell>
          <cell r="K942">
            <v>45298</v>
          </cell>
          <cell r="L942">
            <v>45298</v>
          </cell>
        </row>
        <row r="943">
          <cell r="A943" t="str">
            <v>AU23245</v>
          </cell>
          <cell r="B943">
            <v>37321</v>
          </cell>
          <cell r="C943" t="str">
            <v>NSW-QLD</v>
          </cell>
          <cell r="D943" t="str">
            <v>Virtus Health</v>
          </cell>
          <cell r="E943" t="str">
            <v>Administration</v>
          </cell>
          <cell r="F943">
            <v>45357</v>
          </cell>
          <cell r="H943" t="str">
            <v>IVFS2023</v>
          </cell>
          <cell r="I943" t="str">
            <v>NSW</v>
          </cell>
          <cell r="J943" t="str">
            <v>Part Time</v>
          </cell>
          <cell r="K943">
            <v>45357</v>
          </cell>
          <cell r="L943">
            <v>45357</v>
          </cell>
        </row>
        <row r="944">
          <cell r="A944" t="str">
            <v>AU23246</v>
          </cell>
          <cell r="B944">
            <v>37596</v>
          </cell>
          <cell r="C944" t="str">
            <v>NSW-QLD</v>
          </cell>
          <cell r="D944" t="str">
            <v>Virtus Health</v>
          </cell>
          <cell r="E944" t="str">
            <v>Assistant in Nursing</v>
          </cell>
          <cell r="F944">
            <v>45632</v>
          </cell>
          <cell r="H944" t="str">
            <v>IVFN2021</v>
          </cell>
          <cell r="I944" t="str">
            <v>NSW</v>
          </cell>
          <cell r="J944" t="str">
            <v>Casual</v>
          </cell>
          <cell r="K944">
            <v>45632</v>
          </cell>
          <cell r="L944">
            <v>45632</v>
          </cell>
        </row>
        <row r="945">
          <cell r="A945" t="str">
            <v>AU23247</v>
          </cell>
          <cell r="B945">
            <v>37566</v>
          </cell>
          <cell r="C945" t="str">
            <v>VIC-TAS</v>
          </cell>
          <cell r="D945" t="str">
            <v>Virtus Health</v>
          </cell>
          <cell r="E945" t="str">
            <v>Donor And Surrogacy Program Administrator</v>
          </cell>
          <cell r="F945">
            <v>45602</v>
          </cell>
          <cell r="H945" t="str">
            <v>MIVFS2022</v>
          </cell>
          <cell r="I945" t="str">
            <v>VIC</v>
          </cell>
          <cell r="J945" t="str">
            <v>Full Time</v>
          </cell>
          <cell r="K945">
            <v>45602</v>
          </cell>
          <cell r="L945">
            <v>45602</v>
          </cell>
        </row>
        <row r="946">
          <cell r="A946" t="str">
            <v>AU23249</v>
          </cell>
          <cell r="B946">
            <v>37535</v>
          </cell>
          <cell r="C946" t="str">
            <v>NSW-QLD</v>
          </cell>
          <cell r="D946" t="str">
            <v>Virtus Health</v>
          </cell>
          <cell r="E946" t="str">
            <v>Registered Nurse</v>
          </cell>
          <cell r="F946">
            <v>45571</v>
          </cell>
          <cell r="H946" t="str">
            <v>IVFN2021</v>
          </cell>
          <cell r="I946" t="str">
            <v>NSW</v>
          </cell>
          <cell r="J946" t="str">
            <v>Full Time</v>
          </cell>
          <cell r="K946">
            <v>45571</v>
          </cell>
          <cell r="L946">
            <v>45571</v>
          </cell>
        </row>
        <row r="947">
          <cell r="A947" t="str">
            <v>AU23250</v>
          </cell>
          <cell r="B947" t="str">
            <v>5/27/2002</v>
          </cell>
          <cell r="C947" t="str">
            <v>NSW-QLD</v>
          </cell>
          <cell r="D947" t="str">
            <v>Virtus Health</v>
          </cell>
          <cell r="E947" t="str">
            <v>Registered Nurse</v>
          </cell>
          <cell r="F947" t="str">
            <v>5/27/2024</v>
          </cell>
          <cell r="H947" t="str">
            <v>IVFN2021</v>
          </cell>
          <cell r="I947" t="str">
            <v>NSW</v>
          </cell>
          <cell r="J947" t="str">
            <v>Casual</v>
          </cell>
          <cell r="K947" t="str">
            <v>5/27/2024</v>
          </cell>
          <cell r="L947" t="str">
            <v>5/27/2024</v>
          </cell>
        </row>
        <row r="948">
          <cell r="A948" t="str">
            <v>AU23251</v>
          </cell>
          <cell r="B948">
            <v>37413</v>
          </cell>
          <cell r="C948" t="str">
            <v>NSW-QLD</v>
          </cell>
          <cell r="D948" t="str">
            <v>Virtus Health</v>
          </cell>
          <cell r="E948" t="str">
            <v xml:space="preserve"> Embryologist</v>
          </cell>
          <cell r="F948">
            <v>45449</v>
          </cell>
          <cell r="H948" t="str">
            <v>QS2024</v>
          </cell>
          <cell r="I948" t="str">
            <v>QLD</v>
          </cell>
          <cell r="J948" t="str">
            <v>Full Time</v>
          </cell>
          <cell r="K948">
            <v>45449</v>
          </cell>
          <cell r="L948">
            <v>45449</v>
          </cell>
        </row>
        <row r="949">
          <cell r="A949" t="str">
            <v>AU23253</v>
          </cell>
          <cell r="B949">
            <v>37475</v>
          </cell>
          <cell r="C949" t="str">
            <v>NSW-QLD</v>
          </cell>
          <cell r="D949" t="str">
            <v>Virtus Health</v>
          </cell>
          <cell r="E949" t="str">
            <v>Senior Group Accountant</v>
          </cell>
          <cell r="F949">
            <v>45511</v>
          </cell>
          <cell r="H949" t="str">
            <v>NSW</v>
          </cell>
          <cell r="I949" t="str">
            <v>NSW</v>
          </cell>
          <cell r="J949" t="str">
            <v>Full Time</v>
          </cell>
          <cell r="K949">
            <v>45511</v>
          </cell>
          <cell r="L949">
            <v>45511</v>
          </cell>
        </row>
        <row r="950">
          <cell r="A950" t="str">
            <v>AU23254</v>
          </cell>
          <cell r="B950" t="str">
            <v>6/24/2002</v>
          </cell>
          <cell r="C950" t="str">
            <v>NSW-QLD</v>
          </cell>
          <cell r="D950" t="str">
            <v>Virtus Health</v>
          </cell>
          <cell r="E950" t="str">
            <v>Medical Receptionist</v>
          </cell>
          <cell r="F950" t="str">
            <v>6/24/2024</v>
          </cell>
          <cell r="H950" t="str">
            <v>IVFS2023</v>
          </cell>
          <cell r="I950" t="str">
            <v>QLD</v>
          </cell>
          <cell r="J950" t="str">
            <v>Part Time</v>
          </cell>
          <cell r="K950" t="str">
            <v>6/24/2024</v>
          </cell>
          <cell r="L950" t="str">
            <v>6/24/2024</v>
          </cell>
        </row>
        <row r="951">
          <cell r="A951" t="str">
            <v>AU23255</v>
          </cell>
          <cell r="B951">
            <v>37263</v>
          </cell>
          <cell r="C951" t="str">
            <v>VIC-TAS</v>
          </cell>
          <cell r="D951" t="str">
            <v>Virtus Health</v>
          </cell>
          <cell r="E951" t="str">
            <v>Fertility Registered Nurse</v>
          </cell>
          <cell r="F951">
            <v>45298</v>
          </cell>
          <cell r="H951" t="str">
            <v>MIVFN2023</v>
          </cell>
          <cell r="I951" t="str">
            <v>VIC</v>
          </cell>
          <cell r="J951" t="str">
            <v>Full Time</v>
          </cell>
          <cell r="K951">
            <v>45298</v>
          </cell>
          <cell r="L951">
            <v>45298</v>
          </cell>
        </row>
        <row r="952">
          <cell r="A952" t="str">
            <v>AU23257</v>
          </cell>
          <cell r="B952">
            <v>37566</v>
          </cell>
          <cell r="C952" t="str">
            <v>NSW-QLD</v>
          </cell>
          <cell r="D952" t="str">
            <v>Virtus Health</v>
          </cell>
          <cell r="E952" t="str">
            <v>Administration</v>
          </cell>
          <cell r="F952">
            <v>45602</v>
          </cell>
          <cell r="H952" t="str">
            <v>IVFS2023</v>
          </cell>
          <cell r="I952" t="str">
            <v>NSW</v>
          </cell>
          <cell r="J952" t="str">
            <v>Casual</v>
          </cell>
          <cell r="K952">
            <v>45602</v>
          </cell>
          <cell r="L952">
            <v>45602</v>
          </cell>
        </row>
        <row r="953">
          <cell r="A953" t="str">
            <v>AU23258</v>
          </cell>
          <cell r="B953">
            <v>37296</v>
          </cell>
          <cell r="C953" t="str">
            <v>NSW-QLD</v>
          </cell>
          <cell r="D953" t="str">
            <v>Virtus Health</v>
          </cell>
          <cell r="E953" t="str">
            <v>Chief Financial Officer</v>
          </cell>
          <cell r="F953">
            <v>45331</v>
          </cell>
          <cell r="H953" t="str">
            <v>NSW</v>
          </cell>
          <cell r="I953" t="str">
            <v>NSW</v>
          </cell>
          <cell r="J953" t="str">
            <v>Full Time</v>
          </cell>
          <cell r="K953">
            <v>45331</v>
          </cell>
          <cell r="L953">
            <v>45331</v>
          </cell>
        </row>
        <row r="954">
          <cell r="A954" t="str">
            <v>AU23260</v>
          </cell>
          <cell r="B954">
            <v>37566</v>
          </cell>
          <cell r="C954" t="str">
            <v>VIC-TAS</v>
          </cell>
          <cell r="D954" t="str">
            <v>Virtus Health</v>
          </cell>
          <cell r="E954" t="str">
            <v>Receptionist</v>
          </cell>
          <cell r="F954">
            <v>45602</v>
          </cell>
          <cell r="H954" t="str">
            <v>MIVFS2022</v>
          </cell>
          <cell r="I954" t="str">
            <v>VIC</v>
          </cell>
          <cell r="J954" t="str">
            <v>Part Time</v>
          </cell>
          <cell r="K954">
            <v>45602</v>
          </cell>
          <cell r="L954">
            <v>45602</v>
          </cell>
        </row>
        <row r="955">
          <cell r="A955" t="str">
            <v>AU23261</v>
          </cell>
          <cell r="B955" t="str">
            <v>6/19/2002</v>
          </cell>
          <cell r="C955" t="str">
            <v>NSW-QLD</v>
          </cell>
          <cell r="D955" t="str">
            <v>Virtus Health</v>
          </cell>
          <cell r="E955" t="str">
            <v>Communications Manager</v>
          </cell>
          <cell r="F955" t="str">
            <v>6/19/2024</v>
          </cell>
          <cell r="H955" t="str">
            <v>NSW</v>
          </cell>
          <cell r="I955" t="str">
            <v>NSW</v>
          </cell>
          <cell r="J955" t="str">
            <v>Part Time</v>
          </cell>
          <cell r="K955" t="str">
            <v>6/19/2024</v>
          </cell>
          <cell r="L955" t="str">
            <v>6/19/2024</v>
          </cell>
        </row>
        <row r="956">
          <cell r="A956" t="str">
            <v>AU23262</v>
          </cell>
          <cell r="B956">
            <v>37263</v>
          </cell>
          <cell r="C956" t="str">
            <v>VIC-TAS</v>
          </cell>
          <cell r="D956" t="str">
            <v>Virtus Health</v>
          </cell>
          <cell r="E956" t="str">
            <v>Clinical Nurse Specialist</v>
          </cell>
          <cell r="F956">
            <v>45298</v>
          </cell>
          <cell r="H956" t="str">
            <v>MIVFN2023</v>
          </cell>
          <cell r="I956" t="str">
            <v>VIC</v>
          </cell>
          <cell r="J956" t="str">
            <v>Full Time</v>
          </cell>
          <cell r="K956">
            <v>45298</v>
          </cell>
          <cell r="L956">
            <v>45298</v>
          </cell>
        </row>
        <row r="957">
          <cell r="A957" t="str">
            <v>AU23267</v>
          </cell>
          <cell r="B957">
            <v>37263</v>
          </cell>
          <cell r="C957" t="str">
            <v>VIC-TAS</v>
          </cell>
          <cell r="D957" t="str">
            <v>Virtus Health</v>
          </cell>
          <cell r="E957" t="str">
            <v>Operations Coordinator</v>
          </cell>
          <cell r="F957">
            <v>45298</v>
          </cell>
          <cell r="H957" t="str">
            <v>VIC</v>
          </cell>
          <cell r="I957" t="str">
            <v>VIC</v>
          </cell>
          <cell r="J957" t="str">
            <v>Part Time</v>
          </cell>
          <cell r="K957">
            <v>45298</v>
          </cell>
          <cell r="L957">
            <v>45298</v>
          </cell>
        </row>
        <row r="958">
          <cell r="A958" t="str">
            <v>AU23269</v>
          </cell>
          <cell r="B958" t="str">
            <v>6/24/2002</v>
          </cell>
          <cell r="C958" t="str">
            <v>NSW-QLD</v>
          </cell>
          <cell r="D958" t="str">
            <v>Virtus Health</v>
          </cell>
          <cell r="E958" t="str">
            <v>Pracrtice Manager</v>
          </cell>
          <cell r="F958" t="str">
            <v>6/24/2024</v>
          </cell>
          <cell r="H958" t="str">
            <v>IVFS2023</v>
          </cell>
          <cell r="I958" t="str">
            <v>NSW</v>
          </cell>
          <cell r="J958" t="str">
            <v>Full Time</v>
          </cell>
          <cell r="K958" t="str">
            <v>6/24/2024</v>
          </cell>
          <cell r="L958" t="str">
            <v>6/24/2024</v>
          </cell>
        </row>
        <row r="959">
          <cell r="A959" t="str">
            <v>AU23270</v>
          </cell>
          <cell r="B959">
            <v>37263</v>
          </cell>
          <cell r="C959" t="str">
            <v>NSW-QLD</v>
          </cell>
          <cell r="D959" t="str">
            <v>Virtus Health</v>
          </cell>
          <cell r="E959" t="str">
            <v>Courier</v>
          </cell>
          <cell r="F959">
            <v>45298</v>
          </cell>
          <cell r="H959" t="str">
            <v>IVFS2023</v>
          </cell>
          <cell r="I959" t="str">
            <v>NSW</v>
          </cell>
          <cell r="J959" t="str">
            <v>Casual</v>
          </cell>
          <cell r="K959">
            <v>45298</v>
          </cell>
          <cell r="L959">
            <v>45298</v>
          </cell>
        </row>
        <row r="960">
          <cell r="A960" t="str">
            <v>AU23271</v>
          </cell>
          <cell r="B960">
            <v>37263</v>
          </cell>
          <cell r="C960" t="str">
            <v>NSW-QLD</v>
          </cell>
          <cell r="D960" t="str">
            <v>Virtus Health</v>
          </cell>
          <cell r="E960" t="str">
            <v>Courier</v>
          </cell>
          <cell r="F960">
            <v>45298</v>
          </cell>
          <cell r="H960" t="str">
            <v>IVFS2023</v>
          </cell>
          <cell r="I960" t="str">
            <v>NSW</v>
          </cell>
          <cell r="J960" t="str">
            <v>Casual</v>
          </cell>
          <cell r="K960">
            <v>45298</v>
          </cell>
          <cell r="L960">
            <v>45298</v>
          </cell>
        </row>
        <row r="961">
          <cell r="A961" t="str">
            <v>AU23274</v>
          </cell>
          <cell r="B961">
            <v>37263</v>
          </cell>
          <cell r="C961" t="str">
            <v>VIC-TAS</v>
          </cell>
          <cell r="D961" t="str">
            <v>Virtus Health</v>
          </cell>
          <cell r="E961" t="str">
            <v>Associate Nurse Unit Manager</v>
          </cell>
          <cell r="F961">
            <v>45298</v>
          </cell>
          <cell r="H961" t="str">
            <v>MIVFN2023</v>
          </cell>
          <cell r="I961" t="str">
            <v>VIC</v>
          </cell>
          <cell r="J961" t="str">
            <v>Full Time</v>
          </cell>
          <cell r="K961">
            <v>45298</v>
          </cell>
          <cell r="L961">
            <v>45298</v>
          </cell>
        </row>
        <row r="962">
          <cell r="A962" t="str">
            <v>AU23278</v>
          </cell>
          <cell r="B962" t="str">
            <v>7/15/2002</v>
          </cell>
          <cell r="C962" t="str">
            <v>VIC-TAS</v>
          </cell>
          <cell r="D962" t="str">
            <v>Virtus Health</v>
          </cell>
          <cell r="E962" t="str">
            <v>Registered Nurse</v>
          </cell>
          <cell r="F962" t="str">
            <v>7/15/2024</v>
          </cell>
          <cell r="H962" t="str">
            <v>MIVFN2023</v>
          </cell>
          <cell r="I962" t="str">
            <v>VIC</v>
          </cell>
          <cell r="J962" t="str">
            <v>Full Time</v>
          </cell>
          <cell r="K962" t="str">
            <v>7/15/2024</v>
          </cell>
          <cell r="L962" t="str">
            <v>7/15/2024</v>
          </cell>
        </row>
        <row r="963">
          <cell r="A963" t="str">
            <v>AU23279</v>
          </cell>
          <cell r="B963">
            <v>37264</v>
          </cell>
          <cell r="C963" t="str">
            <v>NSW-QLD</v>
          </cell>
          <cell r="D963" t="str">
            <v>Virtus Health</v>
          </cell>
          <cell r="E963" t="str">
            <v xml:space="preserve"> Embryologist</v>
          </cell>
          <cell r="F963">
            <v>45299</v>
          </cell>
          <cell r="H963" t="str">
            <v>IVFT2024</v>
          </cell>
          <cell r="I963" t="str">
            <v>NSW</v>
          </cell>
          <cell r="J963" t="str">
            <v>Full Time</v>
          </cell>
          <cell r="K963">
            <v>45299</v>
          </cell>
          <cell r="L963">
            <v>45299</v>
          </cell>
        </row>
        <row r="964">
          <cell r="A964" t="str">
            <v>AU23280</v>
          </cell>
          <cell r="B964">
            <v>37445</v>
          </cell>
          <cell r="C964" t="str">
            <v>NSW-QLD</v>
          </cell>
          <cell r="D964" t="str">
            <v>Virtus Health</v>
          </cell>
          <cell r="E964" t="str">
            <v xml:space="preserve"> Embryologist</v>
          </cell>
          <cell r="F964">
            <v>45481</v>
          </cell>
          <cell r="H964" t="str">
            <v>IVFT2024</v>
          </cell>
          <cell r="I964" t="str">
            <v>NSW</v>
          </cell>
          <cell r="J964" t="str">
            <v>Part Time</v>
          </cell>
          <cell r="K964">
            <v>45481</v>
          </cell>
          <cell r="L964">
            <v>45481</v>
          </cell>
        </row>
        <row r="965">
          <cell r="A965" t="str">
            <v>AU23281</v>
          </cell>
          <cell r="B965">
            <v>37567</v>
          </cell>
          <cell r="C965" t="str">
            <v>NSW-QLD</v>
          </cell>
          <cell r="D965" t="str">
            <v>Virtus Health</v>
          </cell>
          <cell r="E965" t="str">
            <v>Patient Experience Specialist</v>
          </cell>
          <cell r="F965">
            <v>45603</v>
          </cell>
          <cell r="H965" t="str">
            <v>QLD</v>
          </cell>
          <cell r="I965" t="str">
            <v>QLD</v>
          </cell>
          <cell r="J965" t="str">
            <v>Part Time</v>
          </cell>
          <cell r="K965">
            <v>45603</v>
          </cell>
          <cell r="L965">
            <v>45603</v>
          </cell>
        </row>
        <row r="966">
          <cell r="A966" t="str">
            <v>AU23282</v>
          </cell>
          <cell r="B966">
            <v>37475</v>
          </cell>
          <cell r="C966" t="str">
            <v>NSW-QLD</v>
          </cell>
          <cell r="D966" t="str">
            <v>Virtus Health</v>
          </cell>
          <cell r="E966" t="str">
            <v>Senior Administration Assistant</v>
          </cell>
          <cell r="F966">
            <v>45511</v>
          </cell>
          <cell r="H966" t="str">
            <v>IVFS2023</v>
          </cell>
          <cell r="I966" t="str">
            <v>QLD</v>
          </cell>
          <cell r="J966" t="str">
            <v>Full Time</v>
          </cell>
          <cell r="K966">
            <v>45511</v>
          </cell>
          <cell r="L966">
            <v>45511</v>
          </cell>
        </row>
        <row r="967">
          <cell r="A967" t="str">
            <v>AU23284</v>
          </cell>
          <cell r="B967">
            <v>37475</v>
          </cell>
          <cell r="C967" t="str">
            <v>VIC-TAS</v>
          </cell>
          <cell r="D967" t="str">
            <v>Virtus Health</v>
          </cell>
          <cell r="E967" t="str">
            <v>IVF Laboratory Administrator</v>
          </cell>
          <cell r="F967">
            <v>45511</v>
          </cell>
          <cell r="H967" t="str">
            <v>MIVFS2022</v>
          </cell>
          <cell r="I967" t="str">
            <v>VIC</v>
          </cell>
          <cell r="J967" t="str">
            <v>Part Time</v>
          </cell>
          <cell r="K967">
            <v>45511</v>
          </cell>
          <cell r="L967">
            <v>45511</v>
          </cell>
        </row>
        <row r="968">
          <cell r="A968" t="str">
            <v>AU23286</v>
          </cell>
          <cell r="B968" t="str">
            <v>7/15/2002</v>
          </cell>
          <cell r="C968" t="str">
            <v>NSW-QLD</v>
          </cell>
          <cell r="D968" t="str">
            <v>Virtus Health</v>
          </cell>
          <cell r="E968" t="str">
            <v>Registered Nurse</v>
          </cell>
          <cell r="F968" t="str">
            <v>7/15/2024</v>
          </cell>
          <cell r="H968" t="str">
            <v>QN2025</v>
          </cell>
          <cell r="I968" t="str">
            <v>QLD</v>
          </cell>
          <cell r="J968" t="str">
            <v>Casual</v>
          </cell>
          <cell r="K968" t="str">
            <v>7/15/2024</v>
          </cell>
          <cell r="L968" t="str">
            <v>7/15/2024</v>
          </cell>
        </row>
        <row r="969">
          <cell r="A969" t="str">
            <v>AU23288</v>
          </cell>
          <cell r="B969" t="str">
            <v>7/29/2002</v>
          </cell>
          <cell r="C969" t="str">
            <v>NSW-QLD</v>
          </cell>
          <cell r="D969" t="str">
            <v>Virtus Health</v>
          </cell>
          <cell r="E969" t="str">
            <v>Registered Nurse</v>
          </cell>
          <cell r="F969" t="str">
            <v>7/29/2024</v>
          </cell>
          <cell r="H969" t="str">
            <v>QN2025</v>
          </cell>
          <cell r="I969" t="str">
            <v>QLD</v>
          </cell>
          <cell r="J969" t="str">
            <v>Casual</v>
          </cell>
          <cell r="K969" t="str">
            <v>7/29/2024</v>
          </cell>
          <cell r="L969" t="str">
            <v>7/29/2024</v>
          </cell>
        </row>
        <row r="970">
          <cell r="A970" t="str">
            <v>AU23289</v>
          </cell>
          <cell r="B970">
            <v>37384</v>
          </cell>
          <cell r="C970" t="str">
            <v>VIC-TAS</v>
          </cell>
          <cell r="D970" t="str">
            <v>Virtus Health</v>
          </cell>
          <cell r="E970" t="str">
            <v>Registered Nurse</v>
          </cell>
          <cell r="F970">
            <v>45420</v>
          </cell>
          <cell r="H970" t="str">
            <v>TIVF2024</v>
          </cell>
          <cell r="I970" t="str">
            <v>TAS</v>
          </cell>
          <cell r="J970" t="str">
            <v>Casual</v>
          </cell>
          <cell r="K970">
            <v>45420</v>
          </cell>
          <cell r="L970">
            <v>45420</v>
          </cell>
        </row>
        <row r="971">
          <cell r="A971" t="str">
            <v>AU23294</v>
          </cell>
          <cell r="B971" t="str">
            <v>7/22/2002</v>
          </cell>
          <cell r="C971" t="str">
            <v>VIC-TAS</v>
          </cell>
          <cell r="D971" t="str">
            <v>Virtus Health</v>
          </cell>
          <cell r="E971" t="str">
            <v>Patient Liaison Administrator</v>
          </cell>
          <cell r="F971" t="str">
            <v>7/22/2024</v>
          </cell>
          <cell r="H971" t="str">
            <v>TIVF2024</v>
          </cell>
          <cell r="I971" t="str">
            <v>TAS</v>
          </cell>
          <cell r="J971" t="str">
            <v>Full Time</v>
          </cell>
          <cell r="K971" t="str">
            <v>7/22/2024</v>
          </cell>
          <cell r="L971" t="str">
            <v>7/22/2024</v>
          </cell>
        </row>
        <row r="972">
          <cell r="A972" t="str">
            <v>AU23295</v>
          </cell>
          <cell r="B972">
            <v>37263</v>
          </cell>
          <cell r="C972" t="str">
            <v>NSW-QLD</v>
          </cell>
          <cell r="D972" t="str">
            <v>Virtus Health</v>
          </cell>
          <cell r="E972" t="str">
            <v>Administration Clerk</v>
          </cell>
          <cell r="F972">
            <v>45298</v>
          </cell>
          <cell r="H972" t="str">
            <v>IVFS2023</v>
          </cell>
          <cell r="I972" t="str">
            <v>NSW</v>
          </cell>
          <cell r="J972" t="str">
            <v>Part Time</v>
          </cell>
          <cell r="K972">
            <v>45298</v>
          </cell>
          <cell r="L972">
            <v>45298</v>
          </cell>
        </row>
        <row r="973">
          <cell r="A973" t="str">
            <v>AU23296</v>
          </cell>
          <cell r="B973" t="str">
            <v>7/17/2002</v>
          </cell>
          <cell r="C973" t="str">
            <v>NSW-QLD</v>
          </cell>
          <cell r="D973" t="str">
            <v>Virtus Health</v>
          </cell>
          <cell r="E973" t="str">
            <v>Registered Nurse</v>
          </cell>
          <cell r="F973" t="str">
            <v>7/17/2024</v>
          </cell>
          <cell r="H973" t="str">
            <v>IVFN2021</v>
          </cell>
          <cell r="I973" t="str">
            <v>NSW</v>
          </cell>
          <cell r="J973" t="str">
            <v>Casual</v>
          </cell>
          <cell r="K973" t="str">
            <v>7/17/2024</v>
          </cell>
          <cell r="L973" t="str">
            <v>7/17/2024</v>
          </cell>
        </row>
        <row r="974">
          <cell r="A974" t="str">
            <v>AU23297</v>
          </cell>
          <cell r="B974" t="str">
            <v>7/29/2002</v>
          </cell>
          <cell r="C974" t="str">
            <v>NSW-QLD</v>
          </cell>
          <cell r="D974" t="str">
            <v>Virtus Health</v>
          </cell>
          <cell r="E974" t="str">
            <v>Enrolled Nurse</v>
          </cell>
          <cell r="F974" t="str">
            <v>7/29/2024</v>
          </cell>
          <cell r="H974" t="str">
            <v>IVFN2021</v>
          </cell>
          <cell r="I974" t="str">
            <v>NSW</v>
          </cell>
          <cell r="J974" t="str">
            <v>Casual</v>
          </cell>
          <cell r="K974" t="str">
            <v>7/29/2024</v>
          </cell>
          <cell r="L974" t="str">
            <v>7/29/2024</v>
          </cell>
        </row>
        <row r="975">
          <cell r="A975" t="str">
            <v>AU23298</v>
          </cell>
          <cell r="B975" t="str">
            <v>7/29/2002</v>
          </cell>
          <cell r="C975" t="str">
            <v>NSW-QLD</v>
          </cell>
          <cell r="D975" t="str">
            <v>Virtus Health</v>
          </cell>
          <cell r="E975" t="str">
            <v>Registered Nurse</v>
          </cell>
          <cell r="F975" t="str">
            <v>7/29/2024</v>
          </cell>
          <cell r="H975" t="str">
            <v>QN2025</v>
          </cell>
          <cell r="I975" t="str">
            <v>QLD</v>
          </cell>
          <cell r="J975" t="str">
            <v>Part Time</v>
          </cell>
          <cell r="K975" t="str">
            <v>7/29/2024</v>
          </cell>
          <cell r="L975" t="str">
            <v>7/29/2024</v>
          </cell>
        </row>
        <row r="976">
          <cell r="A976" t="str">
            <v>AU23299</v>
          </cell>
          <cell r="B976">
            <v>37295</v>
          </cell>
          <cell r="C976" t="str">
            <v>VIC-TAS</v>
          </cell>
          <cell r="D976" t="str">
            <v>Virtus Health</v>
          </cell>
          <cell r="E976" t="str">
            <v>Embryologist/Andrologist</v>
          </cell>
          <cell r="F976">
            <v>45330</v>
          </cell>
          <cell r="H976" t="str">
            <v>TIVF2024</v>
          </cell>
          <cell r="I976" t="str">
            <v>TAS</v>
          </cell>
          <cell r="J976" t="str">
            <v>Part Time</v>
          </cell>
          <cell r="K976">
            <v>45330</v>
          </cell>
          <cell r="L976">
            <v>45330</v>
          </cell>
        </row>
        <row r="977">
          <cell r="A977" t="str">
            <v>AU23300</v>
          </cell>
          <cell r="B977" t="str">
            <v>7/29/2002</v>
          </cell>
          <cell r="C977" t="str">
            <v>NSW-QLD</v>
          </cell>
          <cell r="D977" t="str">
            <v>Virtus Health</v>
          </cell>
          <cell r="E977" t="str">
            <v>Administration Clerk</v>
          </cell>
          <cell r="F977" t="str">
            <v>7/29/2024</v>
          </cell>
          <cell r="H977" t="str">
            <v>IVFS2023</v>
          </cell>
          <cell r="I977" t="str">
            <v>NSW</v>
          </cell>
          <cell r="J977" t="str">
            <v>Casual</v>
          </cell>
          <cell r="K977" t="str">
            <v>7/29/2024</v>
          </cell>
          <cell r="L977" t="str">
            <v>7/29/2024</v>
          </cell>
        </row>
        <row r="978">
          <cell r="A978" t="str">
            <v>AU23301</v>
          </cell>
          <cell r="B978">
            <v>37263</v>
          </cell>
          <cell r="C978" t="str">
            <v>NSW-QLD</v>
          </cell>
          <cell r="D978" t="str">
            <v>Virtus Health</v>
          </cell>
          <cell r="E978" t="str">
            <v>Technology Business Partner</v>
          </cell>
          <cell r="F978">
            <v>45298</v>
          </cell>
          <cell r="H978" t="str">
            <v>VIC</v>
          </cell>
          <cell r="I978" t="str">
            <v>VIC</v>
          </cell>
          <cell r="J978" t="str">
            <v>Full Time</v>
          </cell>
          <cell r="K978">
            <v>45298</v>
          </cell>
          <cell r="L978">
            <v>45298</v>
          </cell>
        </row>
        <row r="979">
          <cell r="A979" t="str">
            <v>AU23309</v>
          </cell>
          <cell r="B979" t="str">
            <v>8/26/2002</v>
          </cell>
          <cell r="C979" t="str">
            <v>NSW-QLD</v>
          </cell>
          <cell r="D979" t="str">
            <v>Virtus Health</v>
          </cell>
          <cell r="E979" t="str">
            <v>Supervising Scientist</v>
          </cell>
          <cell r="F979" t="str">
            <v>8/26/2024</v>
          </cell>
          <cell r="H979" t="str">
            <v>IVFS2023</v>
          </cell>
          <cell r="I979" t="str">
            <v>NSW</v>
          </cell>
          <cell r="J979" t="str">
            <v>Full Time</v>
          </cell>
          <cell r="K979" t="str">
            <v>8/26/2024</v>
          </cell>
          <cell r="L979" t="str">
            <v>8/26/2024</v>
          </cell>
        </row>
        <row r="980">
          <cell r="A980" t="str">
            <v>AU23313</v>
          </cell>
          <cell r="B980">
            <v>37445</v>
          </cell>
          <cell r="C980" t="str">
            <v>NSW-QLD</v>
          </cell>
          <cell r="D980" t="str">
            <v>Virtus Health</v>
          </cell>
          <cell r="E980" t="str">
            <v>Assistant Accountant</v>
          </cell>
          <cell r="F980">
            <v>45481</v>
          </cell>
          <cell r="H980" t="str">
            <v>NSW</v>
          </cell>
          <cell r="I980" t="str">
            <v>NSW</v>
          </cell>
          <cell r="J980" t="str">
            <v>Full Time</v>
          </cell>
          <cell r="K980">
            <v>45481</v>
          </cell>
          <cell r="L980">
            <v>45481</v>
          </cell>
        </row>
        <row r="981">
          <cell r="A981" t="str">
            <v>AU23315</v>
          </cell>
          <cell r="B981" t="str">
            <v>7/29/2002</v>
          </cell>
          <cell r="C981" t="str">
            <v>NSW-QLD</v>
          </cell>
          <cell r="D981" t="str">
            <v>Virtus Health</v>
          </cell>
          <cell r="E981" t="str">
            <v>Registered Nurse</v>
          </cell>
          <cell r="F981" t="str">
            <v>7/29/2024</v>
          </cell>
          <cell r="H981" t="str">
            <v>IVFN2021</v>
          </cell>
          <cell r="I981" t="str">
            <v>NSW</v>
          </cell>
          <cell r="J981" t="str">
            <v>Casual</v>
          </cell>
          <cell r="K981" t="str">
            <v>7/29/2024</v>
          </cell>
          <cell r="L981" t="str">
            <v>7/29/2024</v>
          </cell>
        </row>
        <row r="982">
          <cell r="A982" t="str">
            <v>AU23318</v>
          </cell>
          <cell r="B982">
            <v>37598</v>
          </cell>
          <cell r="C982" t="str">
            <v>NSW-QLD</v>
          </cell>
          <cell r="D982" t="str">
            <v>Virtus Health</v>
          </cell>
          <cell r="E982" t="str">
            <v>Head Of Department - Endocrinology Labs</v>
          </cell>
          <cell r="F982">
            <v>45634</v>
          </cell>
          <cell r="H982" t="str">
            <v>VIC</v>
          </cell>
          <cell r="I982" t="str">
            <v>VIC</v>
          </cell>
          <cell r="J982" t="str">
            <v>Full Time</v>
          </cell>
          <cell r="K982">
            <v>45634</v>
          </cell>
          <cell r="L982">
            <v>45634</v>
          </cell>
        </row>
        <row r="983">
          <cell r="A983" t="str">
            <v>AU23319</v>
          </cell>
          <cell r="B983" t="str">
            <v>8/19/2002</v>
          </cell>
          <cell r="C983" t="str">
            <v>NSW-QLD</v>
          </cell>
          <cell r="D983" t="str">
            <v>Virtus Health</v>
          </cell>
          <cell r="E983" t="str">
            <v>Phlebotomist</v>
          </cell>
          <cell r="F983" t="str">
            <v>8/19/2024</v>
          </cell>
          <cell r="H983" t="str">
            <v>IVFS2023</v>
          </cell>
          <cell r="I983" t="str">
            <v>QLD</v>
          </cell>
          <cell r="J983" t="str">
            <v>Casual</v>
          </cell>
          <cell r="K983" t="str">
            <v>8/19/2024</v>
          </cell>
          <cell r="L983" t="str">
            <v>8/19/2024</v>
          </cell>
        </row>
        <row r="984">
          <cell r="A984" t="str">
            <v>AU23322</v>
          </cell>
          <cell r="B984" t="str">
            <v>9/23/2002</v>
          </cell>
          <cell r="C984" t="str">
            <v>NSW-QLD</v>
          </cell>
          <cell r="D984" t="str">
            <v>Virtus Health</v>
          </cell>
          <cell r="E984" t="str">
            <v xml:space="preserve"> Embryologist</v>
          </cell>
          <cell r="F984" t="str">
            <v>9/23/2024</v>
          </cell>
          <cell r="H984" t="str">
            <v>QS2024</v>
          </cell>
          <cell r="I984" t="str">
            <v>QLD</v>
          </cell>
          <cell r="J984" t="str">
            <v>Part Time</v>
          </cell>
          <cell r="K984" t="str">
            <v>9/23/2024</v>
          </cell>
          <cell r="L984" t="str">
            <v>9/23/2024</v>
          </cell>
        </row>
        <row r="985">
          <cell r="A985" t="str">
            <v>AU23323</v>
          </cell>
          <cell r="B985" t="str">
            <v>8/26/2002</v>
          </cell>
          <cell r="C985" t="str">
            <v>NSW-QLD</v>
          </cell>
          <cell r="D985" t="str">
            <v>Virtus Health</v>
          </cell>
          <cell r="E985" t="str">
            <v>Nurse Coordinator</v>
          </cell>
          <cell r="F985" t="str">
            <v>8/26/2024</v>
          </cell>
          <cell r="H985" t="str">
            <v>IVFN2021</v>
          </cell>
          <cell r="I985" t="str">
            <v>NSW</v>
          </cell>
          <cell r="J985" t="str">
            <v>Full Time</v>
          </cell>
          <cell r="K985" t="str">
            <v>8/26/2024</v>
          </cell>
          <cell r="L985" t="str">
            <v>8/26/2024</v>
          </cell>
        </row>
        <row r="986">
          <cell r="A986" t="str">
            <v>AU23324</v>
          </cell>
          <cell r="B986" t="str">
            <v>8/26/2002</v>
          </cell>
          <cell r="C986" t="str">
            <v>NSW-QLD</v>
          </cell>
          <cell r="D986" t="str">
            <v>Virtus Health</v>
          </cell>
          <cell r="E986" t="str">
            <v>Registered Nurse</v>
          </cell>
          <cell r="F986" t="str">
            <v>8/26/2024</v>
          </cell>
          <cell r="H986" t="str">
            <v>IVFN2021</v>
          </cell>
          <cell r="I986" t="str">
            <v>NSW</v>
          </cell>
          <cell r="J986" t="str">
            <v>Part Time</v>
          </cell>
          <cell r="K986" t="str">
            <v>8/26/2024</v>
          </cell>
          <cell r="L986" t="str">
            <v>8/26/2024</v>
          </cell>
        </row>
        <row r="987">
          <cell r="A987" t="str">
            <v>AU23325</v>
          </cell>
          <cell r="B987" t="str">
            <v>8/26/2002</v>
          </cell>
          <cell r="C987" t="str">
            <v>VIC-TAS</v>
          </cell>
          <cell r="D987" t="str">
            <v>Virtus Health</v>
          </cell>
          <cell r="E987" t="str">
            <v>Executive Assistant</v>
          </cell>
          <cell r="F987" t="str">
            <v>8/26/2024</v>
          </cell>
          <cell r="H987" t="str">
            <v>VIC</v>
          </cell>
          <cell r="I987" t="str">
            <v>VIC</v>
          </cell>
          <cell r="J987" t="str">
            <v>Full Time</v>
          </cell>
          <cell r="K987" t="str">
            <v>8/26/2024</v>
          </cell>
          <cell r="L987" t="str">
            <v>8/26/2024</v>
          </cell>
        </row>
        <row r="988">
          <cell r="A988" t="str">
            <v>AU23327</v>
          </cell>
          <cell r="B988" t="str">
            <v>8/26/2002</v>
          </cell>
          <cell r="C988" t="str">
            <v>NSW-QLD</v>
          </cell>
          <cell r="D988" t="str">
            <v>Virtus Health</v>
          </cell>
          <cell r="E988" t="str">
            <v>Assistant in Nursing</v>
          </cell>
          <cell r="F988" t="str">
            <v>8/26/2024</v>
          </cell>
          <cell r="H988" t="str">
            <v>IVFN2021</v>
          </cell>
          <cell r="I988" t="str">
            <v>NSW</v>
          </cell>
          <cell r="J988" t="str">
            <v>Part Time</v>
          </cell>
          <cell r="K988" t="str">
            <v>8/26/2024</v>
          </cell>
          <cell r="L988" t="str">
            <v>8/26/2024</v>
          </cell>
        </row>
        <row r="989">
          <cell r="A989" t="str">
            <v>AU23328</v>
          </cell>
          <cell r="B989" t="str">
            <v>8/26/2002</v>
          </cell>
          <cell r="C989" t="str">
            <v>NSW-QLD</v>
          </cell>
          <cell r="D989" t="str">
            <v>Virtus Health</v>
          </cell>
          <cell r="E989" t="str">
            <v>Patient Support Officer</v>
          </cell>
          <cell r="F989" t="str">
            <v>8/26/2024</v>
          </cell>
          <cell r="H989" t="str">
            <v>IVFS2023</v>
          </cell>
          <cell r="I989" t="str">
            <v>NSW</v>
          </cell>
          <cell r="J989" t="str">
            <v>Full Time</v>
          </cell>
          <cell r="K989" t="str">
            <v>8/26/2024</v>
          </cell>
          <cell r="L989" t="str">
            <v>8/26/2024</v>
          </cell>
        </row>
        <row r="990">
          <cell r="A990" t="str">
            <v>AU23330</v>
          </cell>
          <cell r="B990" t="str">
            <v>8/20/2002</v>
          </cell>
          <cell r="C990" t="str">
            <v>NSW-QLD</v>
          </cell>
          <cell r="D990" t="str">
            <v>Virtus Health</v>
          </cell>
          <cell r="E990" t="str">
            <v>Registered Nurse</v>
          </cell>
          <cell r="F990" t="str">
            <v>8/20/2024</v>
          </cell>
          <cell r="H990" t="str">
            <v>IVFN2021</v>
          </cell>
          <cell r="I990" t="str">
            <v>NSW</v>
          </cell>
          <cell r="J990" t="str">
            <v>Casual</v>
          </cell>
          <cell r="K990" t="str">
            <v>8/20/2024</v>
          </cell>
          <cell r="L990" t="str">
            <v>8/20/2024</v>
          </cell>
        </row>
        <row r="991">
          <cell r="A991" t="str">
            <v>AU23332</v>
          </cell>
          <cell r="B991">
            <v>37508</v>
          </cell>
          <cell r="C991" t="str">
            <v>NSW-QLD</v>
          </cell>
          <cell r="D991" t="str">
            <v>Virtus Health</v>
          </cell>
          <cell r="E991" t="str">
            <v>Chief Commercial Officer</v>
          </cell>
          <cell r="F991">
            <v>45544</v>
          </cell>
          <cell r="H991" t="str">
            <v>NSW</v>
          </cell>
          <cell r="I991" t="str">
            <v>NSW</v>
          </cell>
          <cell r="J991" t="str">
            <v>Full Time</v>
          </cell>
          <cell r="K991">
            <v>45544</v>
          </cell>
          <cell r="L991">
            <v>45544</v>
          </cell>
        </row>
        <row r="992">
          <cell r="A992" t="str">
            <v>AU23333</v>
          </cell>
          <cell r="B992">
            <v>37296</v>
          </cell>
          <cell r="C992" t="str">
            <v>NSW-QLD</v>
          </cell>
          <cell r="D992" t="str">
            <v>Virtus Health</v>
          </cell>
          <cell r="E992" t="str">
            <v>Donor Lead Specialist</v>
          </cell>
          <cell r="F992">
            <v>45331</v>
          </cell>
          <cell r="H992" t="str">
            <v>NSW</v>
          </cell>
          <cell r="I992" t="str">
            <v>NSW</v>
          </cell>
          <cell r="J992" t="str">
            <v>Full Time</v>
          </cell>
          <cell r="K992">
            <v>45331</v>
          </cell>
          <cell r="L992">
            <v>45331</v>
          </cell>
        </row>
        <row r="993">
          <cell r="A993" t="str">
            <v>AU23335</v>
          </cell>
          <cell r="B993" t="str">
            <v>9/23/2002</v>
          </cell>
          <cell r="C993" t="str">
            <v>NSW-QLD</v>
          </cell>
          <cell r="D993" t="str">
            <v>Virtus Health</v>
          </cell>
          <cell r="E993" t="str">
            <v>Executive Assistant</v>
          </cell>
          <cell r="F993" t="str">
            <v>9/23/2024</v>
          </cell>
          <cell r="H993" t="str">
            <v>NSW</v>
          </cell>
          <cell r="I993" t="str">
            <v>NSW</v>
          </cell>
          <cell r="J993" t="str">
            <v>Full Time</v>
          </cell>
          <cell r="K993" t="str">
            <v>9/23/2024</v>
          </cell>
          <cell r="L993" t="str">
            <v>9/23/2024</v>
          </cell>
        </row>
        <row r="994">
          <cell r="A994" t="str">
            <v>AU23336</v>
          </cell>
          <cell r="B994" t="str">
            <v>9/16/2002</v>
          </cell>
          <cell r="C994" t="str">
            <v>VIC-TAS</v>
          </cell>
          <cell r="D994" t="str">
            <v>Virtus Health</v>
          </cell>
          <cell r="E994" t="str">
            <v>Fertility Registered Nurse</v>
          </cell>
          <cell r="F994" t="str">
            <v>9/16/2024</v>
          </cell>
          <cell r="H994" t="str">
            <v>MIVFN2023</v>
          </cell>
          <cell r="I994" t="str">
            <v>VIC</v>
          </cell>
          <cell r="J994" t="str">
            <v>Part Time</v>
          </cell>
          <cell r="K994" t="str">
            <v>9/16/2024</v>
          </cell>
          <cell r="L994" t="str">
            <v>9/16/2024</v>
          </cell>
        </row>
        <row r="995">
          <cell r="A995" t="str">
            <v>AU23343</v>
          </cell>
          <cell r="B995">
            <v>37508</v>
          </cell>
          <cell r="C995" t="str">
            <v>NSW-QLD</v>
          </cell>
          <cell r="D995" t="str">
            <v>Virtus Health</v>
          </cell>
          <cell r="E995" t="str">
            <v>Registered Nurse</v>
          </cell>
          <cell r="F995">
            <v>45544</v>
          </cell>
          <cell r="H995" t="str">
            <v>QN2025</v>
          </cell>
          <cell r="I995" t="str">
            <v>QLD</v>
          </cell>
          <cell r="J995" t="str">
            <v>Part Time</v>
          </cell>
          <cell r="K995">
            <v>45544</v>
          </cell>
          <cell r="L995">
            <v>45544</v>
          </cell>
        </row>
        <row r="996">
          <cell r="A996" t="str">
            <v>AU23344</v>
          </cell>
          <cell r="B996">
            <v>37324</v>
          </cell>
          <cell r="C996" t="str">
            <v>VIC-TAS</v>
          </cell>
          <cell r="D996" t="str">
            <v>Virtus Health</v>
          </cell>
          <cell r="E996" t="str">
            <v>Project Operation</v>
          </cell>
          <cell r="F996">
            <v>45360</v>
          </cell>
          <cell r="H996" t="str">
            <v>VIC</v>
          </cell>
          <cell r="I996" t="str">
            <v>VIC</v>
          </cell>
          <cell r="J996" t="str">
            <v>Casual</v>
          </cell>
          <cell r="K996">
            <v>45360</v>
          </cell>
          <cell r="L996">
            <v>45360</v>
          </cell>
        </row>
        <row r="997">
          <cell r="A997" t="str">
            <v>AU23345</v>
          </cell>
          <cell r="B997" t="str">
            <v>9/23/2002</v>
          </cell>
          <cell r="C997" t="str">
            <v>NSW-QLD</v>
          </cell>
          <cell r="D997" t="str">
            <v>Virtus Health</v>
          </cell>
          <cell r="E997" t="str">
            <v>Senior Data Analyst</v>
          </cell>
          <cell r="F997" t="str">
            <v>9/23/2024</v>
          </cell>
          <cell r="H997" t="str">
            <v>VIC</v>
          </cell>
          <cell r="I997" t="str">
            <v>VIC</v>
          </cell>
          <cell r="J997" t="str">
            <v>Full Time</v>
          </cell>
          <cell r="K997" t="str">
            <v>9/23/2024</v>
          </cell>
          <cell r="L997" t="str">
            <v>9/23/2024</v>
          </cell>
        </row>
        <row r="998">
          <cell r="A998" t="str">
            <v>AU23346</v>
          </cell>
          <cell r="B998" t="str">
            <v>8/26/2002</v>
          </cell>
          <cell r="C998" t="str">
            <v>NSW-QLD</v>
          </cell>
          <cell r="D998" t="str">
            <v>Virtus Health</v>
          </cell>
          <cell r="E998" t="str">
            <v>Enrolled Nurse</v>
          </cell>
          <cell r="F998" t="str">
            <v>8/26/2024</v>
          </cell>
          <cell r="H998" t="str">
            <v>IVFN2021</v>
          </cell>
          <cell r="I998" t="str">
            <v>NSW</v>
          </cell>
          <cell r="J998" t="str">
            <v>Casual</v>
          </cell>
          <cell r="K998" t="str">
            <v>8/26/2024</v>
          </cell>
          <cell r="L998" t="str">
            <v>8/26/2024</v>
          </cell>
        </row>
        <row r="999">
          <cell r="A999" t="str">
            <v>AU23348</v>
          </cell>
          <cell r="B999" t="str">
            <v>8/26/2002</v>
          </cell>
          <cell r="C999" t="str">
            <v>NSW-QLD</v>
          </cell>
          <cell r="D999" t="str">
            <v>Virtus Health</v>
          </cell>
          <cell r="E999" t="str">
            <v>Registered Nurse</v>
          </cell>
          <cell r="F999" t="str">
            <v>8/26/2024</v>
          </cell>
          <cell r="H999" t="str">
            <v>QN2025</v>
          </cell>
          <cell r="I999" t="str">
            <v>QLD</v>
          </cell>
          <cell r="J999" t="str">
            <v>Part Time</v>
          </cell>
          <cell r="K999" t="str">
            <v>8/26/2024</v>
          </cell>
          <cell r="L999" t="str">
            <v>8/26/2024</v>
          </cell>
        </row>
        <row r="1000">
          <cell r="A1000" t="str">
            <v>AU23350</v>
          </cell>
          <cell r="B1000" t="str">
            <v>10/21/2002</v>
          </cell>
          <cell r="C1000" t="str">
            <v>NSW-QLD</v>
          </cell>
          <cell r="D1000" t="str">
            <v>Virtus Health</v>
          </cell>
          <cell r="E1000" t="str">
            <v>Digital Analyst</v>
          </cell>
          <cell r="F1000" t="str">
            <v>10/21/2024</v>
          </cell>
          <cell r="H1000" t="str">
            <v>NSW</v>
          </cell>
          <cell r="I1000" t="str">
            <v>NSW</v>
          </cell>
          <cell r="J1000" t="str">
            <v>Full Time</v>
          </cell>
          <cell r="K1000" t="str">
            <v>10/21/2024</v>
          </cell>
          <cell r="L1000" t="str">
            <v>10/21/2024</v>
          </cell>
        </row>
        <row r="1001">
          <cell r="A1001" t="str">
            <v>AU23353</v>
          </cell>
          <cell r="B1001">
            <v>37508</v>
          </cell>
          <cell r="C1001" t="str">
            <v>VIC-TAS</v>
          </cell>
          <cell r="D1001" t="str">
            <v>Virtus Health</v>
          </cell>
          <cell r="E1001" t="str">
            <v>Phlebotomist</v>
          </cell>
          <cell r="F1001">
            <v>45544</v>
          </cell>
          <cell r="H1001" t="str">
            <v>IVFS2023</v>
          </cell>
          <cell r="I1001" t="str">
            <v>VIC</v>
          </cell>
          <cell r="J1001" t="str">
            <v>Casual</v>
          </cell>
          <cell r="K1001">
            <v>45544</v>
          </cell>
          <cell r="L1001">
            <v>45544</v>
          </cell>
        </row>
        <row r="1002">
          <cell r="A1002" t="str">
            <v>AU23354</v>
          </cell>
          <cell r="B1002" t="str">
            <v>9/17/2002</v>
          </cell>
          <cell r="C1002" t="str">
            <v>NSW-QLD</v>
          </cell>
          <cell r="D1002" t="str">
            <v>Virtus Health</v>
          </cell>
          <cell r="E1002" t="str">
            <v>Registered Nurse</v>
          </cell>
          <cell r="F1002" t="str">
            <v>9/17/2024</v>
          </cell>
          <cell r="H1002" t="str">
            <v>IVFN2021</v>
          </cell>
          <cell r="I1002" t="str">
            <v>NSW</v>
          </cell>
          <cell r="J1002" t="str">
            <v>Full Time</v>
          </cell>
          <cell r="K1002" t="str">
            <v>9/17/2024</v>
          </cell>
          <cell r="L1002" t="str">
            <v>9/17/2024</v>
          </cell>
        </row>
        <row r="1003">
          <cell r="A1003" t="str">
            <v>AU23355</v>
          </cell>
          <cell r="B1003">
            <v>37508</v>
          </cell>
          <cell r="C1003" t="str">
            <v>NSW-QLD</v>
          </cell>
          <cell r="D1003" t="str">
            <v>Virtus Health</v>
          </cell>
          <cell r="E1003" t="str">
            <v>Administration</v>
          </cell>
          <cell r="F1003">
            <v>45544</v>
          </cell>
          <cell r="H1003" t="str">
            <v>IVFS2023</v>
          </cell>
          <cell r="I1003" t="str">
            <v>NSW</v>
          </cell>
          <cell r="J1003" t="str">
            <v>Part Time</v>
          </cell>
          <cell r="K1003">
            <v>45544</v>
          </cell>
          <cell r="L1003">
            <v>45544</v>
          </cell>
        </row>
        <row r="1004">
          <cell r="A1004" t="str">
            <v>AU23359</v>
          </cell>
          <cell r="B1004" t="str">
            <v>9/16/2002</v>
          </cell>
          <cell r="C1004" t="str">
            <v>NSW-QLD</v>
          </cell>
          <cell r="D1004" t="str">
            <v>Virtus Health</v>
          </cell>
          <cell r="E1004" t="str">
            <v>Registered Nurse</v>
          </cell>
          <cell r="F1004" t="str">
            <v>9/16/2024</v>
          </cell>
          <cell r="H1004" t="str">
            <v>IVFN2021</v>
          </cell>
          <cell r="I1004" t="str">
            <v>ACT</v>
          </cell>
          <cell r="J1004" t="str">
            <v>Part Time</v>
          </cell>
          <cell r="K1004" t="str">
            <v>9/16/2024</v>
          </cell>
          <cell r="L1004" t="str">
            <v>9/16/2024</v>
          </cell>
        </row>
        <row r="1005">
          <cell r="A1005" t="str">
            <v>AU23360</v>
          </cell>
          <cell r="B1005" t="str">
            <v>9/16/2002</v>
          </cell>
          <cell r="C1005" t="str">
            <v>NSW-QLD</v>
          </cell>
          <cell r="D1005" t="str">
            <v>Virtus Health</v>
          </cell>
          <cell r="E1005" t="str">
            <v>New Patient Care Consultant</v>
          </cell>
          <cell r="F1005" t="str">
            <v>9/16/2024</v>
          </cell>
          <cell r="H1005" t="str">
            <v>IVFS2023</v>
          </cell>
          <cell r="I1005" t="str">
            <v>QLD</v>
          </cell>
          <cell r="J1005" t="str">
            <v>Part Time</v>
          </cell>
          <cell r="K1005" t="str">
            <v>9/16/2024</v>
          </cell>
          <cell r="L1005" t="str">
            <v>9/16/2024</v>
          </cell>
        </row>
        <row r="1006">
          <cell r="A1006" t="str">
            <v>AU23361</v>
          </cell>
          <cell r="B1006">
            <v>37571</v>
          </cell>
          <cell r="C1006" t="str">
            <v>NSW-QLD</v>
          </cell>
          <cell r="D1006" t="str">
            <v>Virtus Health</v>
          </cell>
          <cell r="E1006" t="str">
            <v>Registered Nurse</v>
          </cell>
          <cell r="F1006">
            <v>45607</v>
          </cell>
          <cell r="H1006" t="str">
            <v>IVFN2021</v>
          </cell>
          <cell r="I1006" t="str">
            <v>NSW</v>
          </cell>
          <cell r="J1006" t="str">
            <v>Casual</v>
          </cell>
          <cell r="K1006">
            <v>45607</v>
          </cell>
          <cell r="L1006">
            <v>45607</v>
          </cell>
        </row>
        <row r="1007">
          <cell r="A1007" t="str">
            <v>AU23363</v>
          </cell>
          <cell r="B1007" t="str">
            <v>9/17/2002</v>
          </cell>
          <cell r="C1007" t="str">
            <v>NSW-QLD</v>
          </cell>
          <cell r="D1007" t="str">
            <v>Virtus Health</v>
          </cell>
          <cell r="E1007" t="str">
            <v>Registered Nurse</v>
          </cell>
          <cell r="F1007" t="str">
            <v>9/17/2024</v>
          </cell>
          <cell r="H1007" t="str">
            <v>IVFN2021</v>
          </cell>
          <cell r="I1007" t="str">
            <v>NSW</v>
          </cell>
          <cell r="J1007" t="str">
            <v>Full Time</v>
          </cell>
          <cell r="K1007" t="str">
            <v>9/17/2024</v>
          </cell>
          <cell r="L1007" t="str">
            <v>9/17/2024</v>
          </cell>
        </row>
        <row r="1008">
          <cell r="A1008" t="str">
            <v>AU23366</v>
          </cell>
          <cell r="B1008" t="str">
            <v>9/23/2002</v>
          </cell>
          <cell r="C1008" t="str">
            <v>NSW-QLD</v>
          </cell>
          <cell r="D1008" t="str">
            <v>Virtus Health</v>
          </cell>
          <cell r="E1008" t="str">
            <v>Registered Nurse</v>
          </cell>
          <cell r="F1008" t="str">
            <v>9/23/2024</v>
          </cell>
          <cell r="H1008" t="str">
            <v>QN2025</v>
          </cell>
          <cell r="I1008" t="str">
            <v>QLD</v>
          </cell>
          <cell r="J1008" t="str">
            <v>Casual</v>
          </cell>
          <cell r="K1008" t="str">
            <v>9/23/2024</v>
          </cell>
          <cell r="L1008" t="str">
            <v>9/23/2024</v>
          </cell>
        </row>
        <row r="1009">
          <cell r="A1009" t="str">
            <v>AU23367</v>
          </cell>
          <cell r="B1009">
            <v>37478</v>
          </cell>
          <cell r="C1009" t="str">
            <v>NSW-QLD</v>
          </cell>
          <cell r="D1009" t="str">
            <v>Virtus Health</v>
          </cell>
          <cell r="E1009" t="str">
            <v>Registered Nurse</v>
          </cell>
          <cell r="F1009">
            <v>45514</v>
          </cell>
          <cell r="H1009" t="str">
            <v>IVFN2021</v>
          </cell>
          <cell r="I1009" t="str">
            <v>NSW</v>
          </cell>
          <cell r="J1009" t="str">
            <v>Full Time</v>
          </cell>
          <cell r="K1009">
            <v>45514</v>
          </cell>
          <cell r="L1009">
            <v>45514</v>
          </cell>
        </row>
        <row r="1010">
          <cell r="A1010" t="str">
            <v>AU23368</v>
          </cell>
          <cell r="B1010" t="str">
            <v>9/16/2002</v>
          </cell>
          <cell r="C1010" t="str">
            <v>NSW-QLD</v>
          </cell>
          <cell r="D1010" t="str">
            <v>Virtus Health</v>
          </cell>
          <cell r="E1010" t="str">
            <v>Registered Nurse</v>
          </cell>
          <cell r="F1010" t="str">
            <v>9/16/2024</v>
          </cell>
          <cell r="H1010" t="str">
            <v>IVFN2021</v>
          </cell>
          <cell r="I1010" t="str">
            <v>NSW</v>
          </cell>
          <cell r="J1010" t="str">
            <v>Casual</v>
          </cell>
          <cell r="K1010" t="str">
            <v>9/16/2024</v>
          </cell>
          <cell r="L1010" t="str">
            <v>9/16/2024</v>
          </cell>
        </row>
        <row r="1011">
          <cell r="A1011" t="str">
            <v>AU23372</v>
          </cell>
          <cell r="B1011" t="str">
            <v>9/23/2002</v>
          </cell>
          <cell r="C1011" t="str">
            <v>NSW-QLD</v>
          </cell>
          <cell r="D1011" t="str">
            <v>Virtus Health</v>
          </cell>
          <cell r="E1011" t="str">
            <v>Registered Nurse</v>
          </cell>
          <cell r="F1011" t="str">
            <v>9/23/2024</v>
          </cell>
          <cell r="H1011" t="str">
            <v>QN2025</v>
          </cell>
          <cell r="I1011" t="str">
            <v>QLD</v>
          </cell>
          <cell r="J1011" t="str">
            <v>Casual</v>
          </cell>
          <cell r="K1011" t="str">
            <v>9/23/2024</v>
          </cell>
          <cell r="L1011" t="str">
            <v>9/23/2024</v>
          </cell>
        </row>
        <row r="1012">
          <cell r="A1012" t="str">
            <v>AU23375</v>
          </cell>
          <cell r="B1012">
            <v>37508</v>
          </cell>
          <cell r="C1012" t="str">
            <v>VIC-TAS</v>
          </cell>
          <cell r="D1012" t="str">
            <v>Virtus Health</v>
          </cell>
          <cell r="E1012" t="str">
            <v>Registered Nurse</v>
          </cell>
          <cell r="F1012">
            <v>45544</v>
          </cell>
          <cell r="H1012" t="str">
            <v>MIVFN2023</v>
          </cell>
          <cell r="I1012" t="str">
            <v>VIC</v>
          </cell>
          <cell r="J1012" t="str">
            <v>Part Time</v>
          </cell>
          <cell r="K1012">
            <v>45544</v>
          </cell>
          <cell r="L1012">
            <v>45544</v>
          </cell>
        </row>
        <row r="1013">
          <cell r="A1013" t="str">
            <v>AU23377</v>
          </cell>
          <cell r="B1013" t="str">
            <v>9/23/2002</v>
          </cell>
          <cell r="C1013" t="str">
            <v>NSW-QLD</v>
          </cell>
          <cell r="D1013" t="str">
            <v>Virtus Health</v>
          </cell>
          <cell r="E1013" t="str">
            <v>Registered Nurse</v>
          </cell>
          <cell r="F1013" t="str">
            <v>9/23/2024</v>
          </cell>
          <cell r="H1013" t="str">
            <v>IVFN2021</v>
          </cell>
          <cell r="I1013" t="str">
            <v>NSW</v>
          </cell>
          <cell r="J1013" t="str">
            <v>Casual</v>
          </cell>
          <cell r="K1013" t="str">
            <v>9/23/2024</v>
          </cell>
          <cell r="L1013" t="str">
            <v>9/23/2024</v>
          </cell>
        </row>
        <row r="1014">
          <cell r="A1014" t="str">
            <v>AU23382</v>
          </cell>
          <cell r="B1014">
            <v>37447</v>
          </cell>
          <cell r="C1014" t="str">
            <v>NSW-QLD</v>
          </cell>
          <cell r="D1014" t="str">
            <v>Virtus Health</v>
          </cell>
          <cell r="E1014" t="str">
            <v>Genetic Counsellor</v>
          </cell>
          <cell r="F1014">
            <v>45483</v>
          </cell>
          <cell r="H1014" t="str">
            <v>IVFS2023</v>
          </cell>
          <cell r="I1014" t="str">
            <v>NSW</v>
          </cell>
          <cell r="J1014" t="str">
            <v>Full Time</v>
          </cell>
          <cell r="K1014">
            <v>45483</v>
          </cell>
          <cell r="L1014">
            <v>45483</v>
          </cell>
        </row>
        <row r="1015">
          <cell r="A1015" t="str">
            <v>AU23384</v>
          </cell>
          <cell r="B1015">
            <v>37478</v>
          </cell>
          <cell r="C1015" t="str">
            <v>NSW-QLD</v>
          </cell>
          <cell r="D1015" t="str">
            <v>Virtus Health</v>
          </cell>
          <cell r="E1015" t="str">
            <v>Patient Support Officer</v>
          </cell>
          <cell r="F1015">
            <v>45514</v>
          </cell>
          <cell r="H1015" t="str">
            <v>IVFS2023</v>
          </cell>
          <cell r="I1015" t="str">
            <v>NSW</v>
          </cell>
          <cell r="J1015" t="str">
            <v>Full Time</v>
          </cell>
          <cell r="K1015">
            <v>45514</v>
          </cell>
          <cell r="L1015">
            <v>45514</v>
          </cell>
        </row>
        <row r="1016">
          <cell r="A1016" t="str">
            <v>AU23385</v>
          </cell>
          <cell r="B1016" t="str">
            <v>9/23/2002</v>
          </cell>
          <cell r="C1016" t="str">
            <v>NSW-QLD</v>
          </cell>
          <cell r="D1016" t="str">
            <v>Virtus Health</v>
          </cell>
          <cell r="E1016" t="str">
            <v>Registered Nurse</v>
          </cell>
          <cell r="F1016" t="str">
            <v>9/23/2024</v>
          </cell>
          <cell r="H1016" t="str">
            <v>QN2025</v>
          </cell>
          <cell r="I1016" t="str">
            <v>QLD</v>
          </cell>
          <cell r="J1016" t="str">
            <v>Part Time</v>
          </cell>
          <cell r="K1016" t="str">
            <v>9/23/2024</v>
          </cell>
          <cell r="L1016" t="str">
            <v>9/23/2024</v>
          </cell>
        </row>
        <row r="1017">
          <cell r="A1017" t="str">
            <v>AU23386</v>
          </cell>
          <cell r="B1017" t="str">
            <v>9/23/2002</v>
          </cell>
          <cell r="C1017" t="str">
            <v>NSW-QLD</v>
          </cell>
          <cell r="D1017" t="str">
            <v>Virtus Health</v>
          </cell>
          <cell r="E1017" t="str">
            <v>Enrolled Nurse</v>
          </cell>
          <cell r="F1017" t="str">
            <v>9/23/2024</v>
          </cell>
          <cell r="H1017" t="str">
            <v>QN2025</v>
          </cell>
          <cell r="I1017" t="str">
            <v>QLD</v>
          </cell>
          <cell r="J1017" t="str">
            <v>Casual</v>
          </cell>
          <cell r="K1017" t="str">
            <v>9/23/2024</v>
          </cell>
          <cell r="L1017" t="str">
            <v>9/23/2024</v>
          </cell>
        </row>
        <row r="1018">
          <cell r="A1018" t="str">
            <v>AU23388</v>
          </cell>
          <cell r="B1018" t="str">
            <v>9/30/2002</v>
          </cell>
          <cell r="C1018" t="str">
            <v>NSW-QLD</v>
          </cell>
          <cell r="D1018" t="str">
            <v>Virtus Health</v>
          </cell>
          <cell r="E1018" t="str">
            <v>Enrolled Nurse</v>
          </cell>
          <cell r="F1018" t="str">
            <v>9/30/2024</v>
          </cell>
          <cell r="H1018" t="str">
            <v>IVFN2021</v>
          </cell>
          <cell r="I1018" t="str">
            <v>NSW</v>
          </cell>
          <cell r="J1018" t="str">
            <v>Casual</v>
          </cell>
          <cell r="K1018" t="str">
            <v>9/30/2024</v>
          </cell>
          <cell r="L1018" t="str">
            <v>9/30/2024</v>
          </cell>
        </row>
        <row r="1019">
          <cell r="A1019" t="str">
            <v>AU23389</v>
          </cell>
          <cell r="B1019" t="str">
            <v>1/13/2003</v>
          </cell>
          <cell r="C1019" t="str">
            <v>NSW-QLD</v>
          </cell>
          <cell r="D1019" t="str">
            <v>Virtus Health</v>
          </cell>
          <cell r="E1019" t="str">
            <v>National Quality Manager (Virtus Diagnostics)</v>
          </cell>
          <cell r="F1019" t="str">
            <v>1/13/2025</v>
          </cell>
          <cell r="H1019" t="str">
            <v>NSW</v>
          </cell>
          <cell r="I1019" t="str">
            <v>NSW</v>
          </cell>
          <cell r="J1019" t="str">
            <v>Full Time</v>
          </cell>
          <cell r="K1019" t="str">
            <v>1/13/2025</v>
          </cell>
          <cell r="L1019" t="str">
            <v>1/13/2025</v>
          </cell>
        </row>
        <row r="1020">
          <cell r="A1020" t="str">
            <v>AU23391</v>
          </cell>
          <cell r="B1020">
            <v>37478</v>
          </cell>
          <cell r="C1020" t="str">
            <v>NSW-QLD</v>
          </cell>
          <cell r="D1020" t="str">
            <v>Virtus Health</v>
          </cell>
          <cell r="E1020" t="str">
            <v>Group Procurement Officer</v>
          </cell>
          <cell r="F1020">
            <v>45514</v>
          </cell>
          <cell r="H1020" t="str">
            <v>NSW</v>
          </cell>
          <cell r="I1020" t="str">
            <v>NSW</v>
          </cell>
          <cell r="J1020" t="str">
            <v>Full Time</v>
          </cell>
          <cell r="K1020">
            <v>45514</v>
          </cell>
          <cell r="L1020">
            <v>45514</v>
          </cell>
        </row>
        <row r="1021">
          <cell r="A1021" t="str">
            <v>AU23392</v>
          </cell>
          <cell r="B1021">
            <v>37478</v>
          </cell>
          <cell r="C1021" t="str">
            <v>NSW-QLD</v>
          </cell>
          <cell r="D1021" t="str">
            <v>Virtus Health</v>
          </cell>
          <cell r="E1021" t="str">
            <v>Administration Officer</v>
          </cell>
          <cell r="F1021">
            <v>45514</v>
          </cell>
          <cell r="H1021" t="str">
            <v>IVFS2023</v>
          </cell>
          <cell r="I1021" t="str">
            <v>NSW</v>
          </cell>
          <cell r="J1021" t="str">
            <v>Full Time</v>
          </cell>
          <cell r="K1021">
            <v>45514</v>
          </cell>
          <cell r="L1021">
            <v>45514</v>
          </cell>
        </row>
        <row r="1022">
          <cell r="A1022" t="str">
            <v>AU23393</v>
          </cell>
          <cell r="B1022" t="str">
            <v>9/30/2002</v>
          </cell>
          <cell r="C1022" t="str">
            <v>NSW-QLD</v>
          </cell>
          <cell r="D1022" t="str">
            <v>Virtus Health</v>
          </cell>
          <cell r="E1022" t="str">
            <v>Registered Nurse</v>
          </cell>
          <cell r="F1022" t="str">
            <v>9/30/2024</v>
          </cell>
          <cell r="H1022" t="str">
            <v>IVFN2021</v>
          </cell>
          <cell r="I1022" t="str">
            <v>NSW</v>
          </cell>
          <cell r="J1022" t="str">
            <v>Casual</v>
          </cell>
          <cell r="K1022" t="str">
            <v>9/30/2024</v>
          </cell>
          <cell r="L1022" t="str">
            <v>9/30/2024</v>
          </cell>
        </row>
        <row r="1023">
          <cell r="A1023" t="str">
            <v>AU23395</v>
          </cell>
          <cell r="B1023" t="str">
            <v>10/14/2002</v>
          </cell>
          <cell r="C1023" t="str">
            <v>NSW-QLD</v>
          </cell>
          <cell r="D1023" t="str">
            <v>Virtus Health</v>
          </cell>
          <cell r="E1023" t="str">
            <v>Head of Information Technology</v>
          </cell>
          <cell r="F1023" t="str">
            <v>10/14/2024</v>
          </cell>
          <cell r="H1023" t="str">
            <v>VIC</v>
          </cell>
          <cell r="I1023" t="str">
            <v>VIC</v>
          </cell>
          <cell r="J1023" t="str">
            <v>Full Time</v>
          </cell>
          <cell r="K1023" t="str">
            <v>10/14/2024</v>
          </cell>
          <cell r="L1023" t="str">
            <v>10/14/2024</v>
          </cell>
        </row>
        <row r="1024">
          <cell r="A1024" t="str">
            <v>AU23397</v>
          </cell>
          <cell r="B1024">
            <v>37509</v>
          </cell>
          <cell r="C1024" t="str">
            <v>VIC-TAS</v>
          </cell>
          <cell r="D1024" t="str">
            <v>Virtus Health</v>
          </cell>
          <cell r="E1024" t="str">
            <v>Administration Clerk</v>
          </cell>
          <cell r="F1024">
            <v>45545</v>
          </cell>
          <cell r="H1024" t="str">
            <v>MIVFS2022</v>
          </cell>
          <cell r="I1024" t="str">
            <v>VIC</v>
          </cell>
          <cell r="J1024" t="str">
            <v>Casual</v>
          </cell>
          <cell r="K1024">
            <v>45545</v>
          </cell>
          <cell r="L1024">
            <v>45545</v>
          </cell>
        </row>
        <row r="1025">
          <cell r="A1025" t="str">
            <v>AU23398</v>
          </cell>
          <cell r="B1025" t="str">
            <v>11/18/2002</v>
          </cell>
          <cell r="C1025" t="str">
            <v>NSW-QLD</v>
          </cell>
          <cell r="D1025" t="str">
            <v>Virtus Health</v>
          </cell>
          <cell r="E1025" t="str">
            <v>Pathologist - Immunology &amp; Genetics</v>
          </cell>
          <cell r="F1025" t="str">
            <v>11/18/2024</v>
          </cell>
          <cell r="H1025" t="str">
            <v>NSW</v>
          </cell>
          <cell r="I1025" t="str">
            <v>NSW</v>
          </cell>
          <cell r="J1025" t="str">
            <v>Part Time</v>
          </cell>
          <cell r="K1025" t="str">
            <v>11/18/2024</v>
          </cell>
          <cell r="L1025" t="str">
            <v>11/18/2024</v>
          </cell>
        </row>
        <row r="1026">
          <cell r="A1026" t="str">
            <v>AU23399</v>
          </cell>
          <cell r="B1026">
            <v>37478</v>
          </cell>
          <cell r="C1026" t="str">
            <v>NSW-QLD</v>
          </cell>
          <cell r="D1026" t="str">
            <v>Virtus Health</v>
          </cell>
          <cell r="E1026" t="str">
            <v>Head of Growth</v>
          </cell>
          <cell r="F1026">
            <v>45514</v>
          </cell>
          <cell r="H1026" t="str">
            <v>VIC</v>
          </cell>
          <cell r="I1026" t="str">
            <v>VIC</v>
          </cell>
          <cell r="J1026" t="str">
            <v>Full Time</v>
          </cell>
          <cell r="K1026">
            <v>45514</v>
          </cell>
          <cell r="L1026">
            <v>45514</v>
          </cell>
        </row>
        <row r="1027">
          <cell r="A1027" t="str">
            <v>AU23400</v>
          </cell>
          <cell r="B1027" t="str">
            <v>11/30/1998</v>
          </cell>
          <cell r="C1027" t="str">
            <v>NSW-QLD</v>
          </cell>
          <cell r="D1027" t="str">
            <v>Virtus Health</v>
          </cell>
          <cell r="E1027" t="str">
            <v>Registered Nurse</v>
          </cell>
          <cell r="F1027" t="str">
            <v>11/30/2020</v>
          </cell>
          <cell r="H1027" t="str">
            <v>IVFN2021</v>
          </cell>
          <cell r="I1027" t="str">
            <v>NSW</v>
          </cell>
          <cell r="J1027" t="str">
            <v>Casual</v>
          </cell>
          <cell r="K1027" t="str">
            <v>11/30/2020</v>
          </cell>
          <cell r="L1027" t="str">
            <v>11/30/2020</v>
          </cell>
        </row>
        <row r="1028">
          <cell r="A1028" t="str">
            <v>AU23401</v>
          </cell>
          <cell r="B1028">
            <v>37571</v>
          </cell>
          <cell r="C1028" t="str">
            <v>NSW-QLD</v>
          </cell>
          <cell r="D1028" t="str">
            <v>Virtus Health</v>
          </cell>
          <cell r="E1028" t="str">
            <v>Nurse Coordinator</v>
          </cell>
          <cell r="F1028">
            <v>45607</v>
          </cell>
          <cell r="H1028" t="str">
            <v>QN2025</v>
          </cell>
          <cell r="I1028" t="str">
            <v>QLD</v>
          </cell>
          <cell r="J1028" t="str">
            <v>Part Time</v>
          </cell>
          <cell r="K1028">
            <v>45607</v>
          </cell>
          <cell r="L1028">
            <v>45607</v>
          </cell>
        </row>
        <row r="1029">
          <cell r="A1029" t="str">
            <v>AU23403</v>
          </cell>
          <cell r="B1029" t="str">
            <v>10/28/2002</v>
          </cell>
          <cell r="C1029" t="str">
            <v>NSW-QLD</v>
          </cell>
          <cell r="D1029" t="str">
            <v>Virtus Health</v>
          </cell>
          <cell r="E1029" t="str">
            <v>Nurse Coordinator</v>
          </cell>
          <cell r="F1029" t="str">
            <v>10/28/2024</v>
          </cell>
          <cell r="H1029" t="str">
            <v>IVFN2021</v>
          </cell>
          <cell r="I1029" t="str">
            <v>NSW</v>
          </cell>
          <cell r="J1029" t="str">
            <v>Part Time</v>
          </cell>
          <cell r="K1029" t="str">
            <v>10/28/2024</v>
          </cell>
          <cell r="L1029" t="str">
            <v>10/28/2024</v>
          </cell>
        </row>
        <row r="1030">
          <cell r="A1030" t="str">
            <v>AU23404</v>
          </cell>
          <cell r="B1030" t="str">
            <v>10/14/2002</v>
          </cell>
          <cell r="C1030" t="str">
            <v>NSW-QLD</v>
          </cell>
          <cell r="D1030" t="str">
            <v>Virtus Health</v>
          </cell>
          <cell r="E1030" t="str">
            <v>Administration</v>
          </cell>
          <cell r="F1030" t="str">
            <v>10/14/2024</v>
          </cell>
          <cell r="H1030" t="str">
            <v>IVFS2023</v>
          </cell>
          <cell r="I1030" t="str">
            <v>QLD</v>
          </cell>
          <cell r="J1030" t="str">
            <v>Part Time</v>
          </cell>
          <cell r="K1030" t="str">
            <v>10/14/2024</v>
          </cell>
          <cell r="L1030" t="str">
            <v>10/14/2024</v>
          </cell>
        </row>
        <row r="1031">
          <cell r="A1031" t="str">
            <v>AU23405</v>
          </cell>
          <cell r="B1031" t="str">
            <v>10/28/2002</v>
          </cell>
          <cell r="C1031" t="str">
            <v>NSW-QLD</v>
          </cell>
          <cell r="D1031" t="str">
            <v>Virtus Health</v>
          </cell>
          <cell r="E1031" t="str">
            <v>Nurse Coordinator</v>
          </cell>
          <cell r="F1031" t="str">
            <v>10/28/2024</v>
          </cell>
          <cell r="H1031" t="str">
            <v>QN2025</v>
          </cell>
          <cell r="I1031" t="str">
            <v>QLD</v>
          </cell>
          <cell r="J1031" t="str">
            <v>Part Time</v>
          </cell>
          <cell r="K1031" t="str">
            <v>10/28/2024</v>
          </cell>
          <cell r="L1031" t="str">
            <v>10/28/2024</v>
          </cell>
        </row>
        <row r="1032">
          <cell r="A1032" t="str">
            <v>AU23406</v>
          </cell>
          <cell r="B1032" t="str">
            <v>10/21/2002</v>
          </cell>
          <cell r="C1032" t="str">
            <v>NSW-QLD</v>
          </cell>
          <cell r="D1032" t="str">
            <v>Virtus Health</v>
          </cell>
          <cell r="E1032" t="str">
            <v>Laboratory Assistant</v>
          </cell>
          <cell r="F1032" t="str">
            <v>10/21/2024</v>
          </cell>
          <cell r="H1032" t="str">
            <v>QS2024</v>
          </cell>
          <cell r="I1032" t="str">
            <v>QLD</v>
          </cell>
          <cell r="J1032" t="str">
            <v>Full Time</v>
          </cell>
          <cell r="K1032" t="str">
            <v>10/21/2024</v>
          </cell>
          <cell r="L1032" t="str">
            <v>10/21/2024</v>
          </cell>
        </row>
        <row r="1033">
          <cell r="A1033" t="str">
            <v>AU23407</v>
          </cell>
          <cell r="B1033">
            <v>37267</v>
          </cell>
          <cell r="C1033" t="str">
            <v>NSW-QLD</v>
          </cell>
          <cell r="D1033" t="str">
            <v>Virtus Health</v>
          </cell>
          <cell r="E1033" t="str">
            <v>Chief Legal and Risk Officer</v>
          </cell>
          <cell r="F1033">
            <v>45302</v>
          </cell>
          <cell r="H1033" t="str">
            <v>VIC</v>
          </cell>
          <cell r="I1033" t="str">
            <v>VIC</v>
          </cell>
          <cell r="J1033" t="str">
            <v>Full Time</v>
          </cell>
          <cell r="K1033">
            <v>45302</v>
          </cell>
          <cell r="L1033">
            <v>45302</v>
          </cell>
        </row>
        <row r="1034">
          <cell r="A1034" t="str">
            <v>AU23408</v>
          </cell>
          <cell r="B1034" t="str">
            <v>10/21/2002</v>
          </cell>
          <cell r="C1034" t="str">
            <v>VIC-TAS</v>
          </cell>
          <cell r="D1034" t="str">
            <v>Virtus Health</v>
          </cell>
          <cell r="E1034" t="str">
            <v>Patient Care Co-ordinator</v>
          </cell>
          <cell r="F1034" t="str">
            <v>10/21/2024</v>
          </cell>
          <cell r="H1034" t="str">
            <v>MIVFS2022</v>
          </cell>
          <cell r="I1034" t="str">
            <v>VIC</v>
          </cell>
          <cell r="J1034" t="str">
            <v>Full Time</v>
          </cell>
          <cell r="K1034" t="str">
            <v>10/21/2024</v>
          </cell>
          <cell r="L1034" t="str">
            <v>10/21/2024</v>
          </cell>
        </row>
        <row r="1035">
          <cell r="A1035" t="str">
            <v>AU23409</v>
          </cell>
          <cell r="B1035" t="str">
            <v>10/30/2002</v>
          </cell>
          <cell r="C1035" t="str">
            <v>VIC-TAS</v>
          </cell>
          <cell r="D1035" t="str">
            <v>Virtus Health</v>
          </cell>
          <cell r="E1035" t="str">
            <v>Registered Nurse</v>
          </cell>
          <cell r="F1035" t="str">
            <v>10/30/2024</v>
          </cell>
          <cell r="H1035" t="str">
            <v>TIVF2024</v>
          </cell>
          <cell r="I1035" t="str">
            <v>TAS</v>
          </cell>
          <cell r="J1035" t="str">
            <v>Casual</v>
          </cell>
          <cell r="K1035" t="str">
            <v>10/30/2024</v>
          </cell>
          <cell r="L1035" t="str">
            <v>10/30/2024</v>
          </cell>
        </row>
        <row r="1036">
          <cell r="A1036" t="str">
            <v>AU23411</v>
          </cell>
          <cell r="B1036" t="str">
            <v>10/21/2002</v>
          </cell>
          <cell r="C1036" t="str">
            <v>NSW-QLD</v>
          </cell>
          <cell r="D1036" t="str">
            <v>Virtus Health</v>
          </cell>
          <cell r="E1036" t="str">
            <v>Registered Nurse</v>
          </cell>
          <cell r="F1036" t="str">
            <v>10/21/2024</v>
          </cell>
          <cell r="H1036" t="str">
            <v>IVFN2021</v>
          </cell>
          <cell r="I1036" t="str">
            <v>NSW</v>
          </cell>
          <cell r="J1036" t="str">
            <v>Part Time</v>
          </cell>
          <cell r="K1036" t="str">
            <v>10/21/2024</v>
          </cell>
          <cell r="L1036" t="str">
            <v>10/21/2024</v>
          </cell>
        </row>
        <row r="1037">
          <cell r="A1037" t="str">
            <v>AU23412</v>
          </cell>
          <cell r="B1037" t="str">
            <v>10/21/2002</v>
          </cell>
          <cell r="C1037" t="str">
            <v>NSW-QLD</v>
          </cell>
          <cell r="D1037" t="str">
            <v>Virtus Health</v>
          </cell>
          <cell r="E1037" t="str">
            <v>Theatre Orderly</v>
          </cell>
          <cell r="F1037" t="str">
            <v>10/21/2024</v>
          </cell>
          <cell r="H1037" t="str">
            <v>IVFS2023</v>
          </cell>
          <cell r="I1037" t="str">
            <v>NSW</v>
          </cell>
          <cell r="J1037" t="str">
            <v>Casual</v>
          </cell>
          <cell r="K1037" t="str">
            <v>10/21/2024</v>
          </cell>
          <cell r="L1037" t="str">
            <v>10/21/2024</v>
          </cell>
        </row>
        <row r="1038">
          <cell r="A1038" t="str">
            <v>AU23413</v>
          </cell>
          <cell r="B1038" t="str">
            <v>10/28/2002</v>
          </cell>
          <cell r="C1038" t="str">
            <v>NSW-QLD</v>
          </cell>
          <cell r="D1038" t="str">
            <v>Virtus Health</v>
          </cell>
          <cell r="E1038" t="str">
            <v xml:space="preserve"> Embryologist</v>
          </cell>
          <cell r="F1038" t="str">
            <v>10/28/2024</v>
          </cell>
          <cell r="H1038" t="str">
            <v>IVFT2024</v>
          </cell>
          <cell r="I1038" t="str">
            <v>NSW</v>
          </cell>
          <cell r="J1038" t="str">
            <v>Full Time</v>
          </cell>
          <cell r="K1038" t="str">
            <v>10/28/2024</v>
          </cell>
          <cell r="L1038" t="str">
            <v>10/28/2024</v>
          </cell>
        </row>
        <row r="1039">
          <cell r="A1039" t="str">
            <v>AU23414</v>
          </cell>
          <cell r="B1039">
            <v>37357</v>
          </cell>
          <cell r="C1039" t="str">
            <v>VIC-TAS</v>
          </cell>
          <cell r="D1039" t="str">
            <v>Virtus Health</v>
          </cell>
          <cell r="E1039" t="str">
            <v>IVF Laboratory Administrator</v>
          </cell>
          <cell r="F1039">
            <v>45393</v>
          </cell>
          <cell r="H1039" t="str">
            <v>MIVFS2022</v>
          </cell>
          <cell r="I1039" t="str">
            <v>VIC</v>
          </cell>
          <cell r="J1039" t="str">
            <v>Full Time</v>
          </cell>
          <cell r="K1039">
            <v>45393</v>
          </cell>
          <cell r="L1039">
            <v>45393</v>
          </cell>
        </row>
        <row r="1040">
          <cell r="A1040" t="str">
            <v>AU23415</v>
          </cell>
          <cell r="B1040">
            <v>37357</v>
          </cell>
          <cell r="C1040" t="str">
            <v>NSW-QLD</v>
          </cell>
          <cell r="D1040" t="str">
            <v>Virtus Health</v>
          </cell>
          <cell r="E1040" t="str">
            <v>Registered Nurse</v>
          </cell>
          <cell r="F1040">
            <v>45393</v>
          </cell>
          <cell r="H1040" t="str">
            <v>QN2025</v>
          </cell>
          <cell r="I1040" t="str">
            <v>QLD</v>
          </cell>
          <cell r="J1040" t="str">
            <v>Part Time</v>
          </cell>
          <cell r="K1040">
            <v>45393</v>
          </cell>
          <cell r="L1040">
            <v>45393</v>
          </cell>
        </row>
        <row r="1041">
          <cell r="A1041" t="str">
            <v>AU23416</v>
          </cell>
          <cell r="B1041">
            <v>37387</v>
          </cell>
          <cell r="C1041" t="str">
            <v>VIC-TAS</v>
          </cell>
          <cell r="D1041" t="str">
            <v>Virtus Health</v>
          </cell>
          <cell r="E1041" t="str">
            <v>Administration Clerk</v>
          </cell>
          <cell r="F1041">
            <v>45423</v>
          </cell>
          <cell r="H1041" t="str">
            <v>MIVFS2022</v>
          </cell>
          <cell r="I1041" t="str">
            <v>VIC</v>
          </cell>
          <cell r="J1041" t="str">
            <v>Casual</v>
          </cell>
          <cell r="K1041">
            <v>45423</v>
          </cell>
          <cell r="L1041">
            <v>45423</v>
          </cell>
        </row>
        <row r="1042">
          <cell r="A1042" t="str">
            <v>AU23417</v>
          </cell>
          <cell r="B1042" t="str">
            <v>11/18/2002</v>
          </cell>
          <cell r="C1042" t="str">
            <v>VIC-TAS</v>
          </cell>
          <cell r="D1042" t="str">
            <v>Virtus Health</v>
          </cell>
          <cell r="E1042" t="str">
            <v>Donor Registered Nurse</v>
          </cell>
          <cell r="F1042" t="str">
            <v>11/18/2024</v>
          </cell>
          <cell r="H1042" t="str">
            <v>MIVFN2023</v>
          </cell>
          <cell r="I1042" t="str">
            <v>VIC</v>
          </cell>
          <cell r="J1042" t="str">
            <v>Part Time</v>
          </cell>
          <cell r="K1042" t="str">
            <v>11/18/2024</v>
          </cell>
          <cell r="L1042" t="str">
            <v>11/18/2024</v>
          </cell>
        </row>
        <row r="1043">
          <cell r="A1043" t="str">
            <v>AU23418</v>
          </cell>
          <cell r="B1043" t="str">
            <v>10/28/2002</v>
          </cell>
          <cell r="C1043" t="str">
            <v>NSW-QLD</v>
          </cell>
          <cell r="D1043" t="str">
            <v>Virtus Health</v>
          </cell>
          <cell r="E1043" t="str">
            <v>Registered Nurse</v>
          </cell>
          <cell r="F1043" t="str">
            <v>10/28/2024</v>
          </cell>
          <cell r="H1043" t="str">
            <v>IVFN2021</v>
          </cell>
          <cell r="I1043" t="str">
            <v>NSW</v>
          </cell>
          <cell r="J1043" t="str">
            <v>Part Time</v>
          </cell>
          <cell r="K1043" t="str">
            <v>10/28/2024</v>
          </cell>
          <cell r="L1043" t="str">
            <v>10/28/2024</v>
          </cell>
        </row>
        <row r="1044">
          <cell r="A1044" t="str">
            <v>AU23419</v>
          </cell>
          <cell r="B1044">
            <v>37299</v>
          </cell>
          <cell r="C1044" t="str">
            <v>NSW-QLD</v>
          </cell>
          <cell r="D1044" t="str">
            <v>Virtus Health</v>
          </cell>
          <cell r="E1044" t="str">
            <v>Nurse Coordinator</v>
          </cell>
          <cell r="F1044">
            <v>45334</v>
          </cell>
          <cell r="H1044" t="str">
            <v>IVFN2021</v>
          </cell>
          <cell r="I1044" t="str">
            <v>NSW</v>
          </cell>
          <cell r="J1044" t="str">
            <v>Part Time</v>
          </cell>
          <cell r="K1044">
            <v>45334</v>
          </cell>
          <cell r="L1044">
            <v>45334</v>
          </cell>
        </row>
        <row r="1045">
          <cell r="A1045" t="str">
            <v>AU23420</v>
          </cell>
          <cell r="B1045">
            <v>37623</v>
          </cell>
          <cell r="C1045" t="str">
            <v>NSW-QLD</v>
          </cell>
          <cell r="D1045" t="str">
            <v>Virtus Health</v>
          </cell>
          <cell r="E1045" t="str">
            <v>Accredited CREI Trainee</v>
          </cell>
          <cell r="F1045">
            <v>45659</v>
          </cell>
          <cell r="H1045" t="str">
            <v>NSW</v>
          </cell>
          <cell r="I1045" t="str">
            <v>NSW</v>
          </cell>
          <cell r="J1045" t="str">
            <v>Full Time</v>
          </cell>
          <cell r="K1045">
            <v>45659</v>
          </cell>
          <cell r="L1045">
            <v>45659</v>
          </cell>
        </row>
        <row r="1046">
          <cell r="A1046" t="str">
            <v>AU23421</v>
          </cell>
          <cell r="B1046">
            <v>37357</v>
          </cell>
          <cell r="C1046" t="str">
            <v>NSW-QLD</v>
          </cell>
          <cell r="D1046" t="str">
            <v>Virtus Health</v>
          </cell>
          <cell r="E1046" t="str">
            <v>Administration</v>
          </cell>
          <cell r="F1046">
            <v>45393</v>
          </cell>
          <cell r="H1046" t="str">
            <v>IVFS2023</v>
          </cell>
          <cell r="I1046" t="str">
            <v>QLD</v>
          </cell>
          <cell r="J1046" t="str">
            <v>Part Time</v>
          </cell>
          <cell r="K1046">
            <v>45393</v>
          </cell>
          <cell r="L1046">
            <v>45393</v>
          </cell>
        </row>
        <row r="1047">
          <cell r="A1047" t="str">
            <v>AU23422</v>
          </cell>
          <cell r="B1047">
            <v>37571</v>
          </cell>
          <cell r="C1047" t="str">
            <v>NSW-QLD</v>
          </cell>
          <cell r="D1047" t="str">
            <v>Virtus Health</v>
          </cell>
          <cell r="E1047" t="str">
            <v>Manager Fertility Preservation, Performance &amp; Anal</v>
          </cell>
          <cell r="F1047">
            <v>45607</v>
          </cell>
          <cell r="H1047" t="str">
            <v>NSW</v>
          </cell>
          <cell r="I1047" t="str">
            <v>NSW</v>
          </cell>
          <cell r="J1047" t="str">
            <v>Full Time</v>
          </cell>
          <cell r="K1047">
            <v>45607</v>
          </cell>
          <cell r="L1047">
            <v>45607</v>
          </cell>
        </row>
        <row r="1048">
          <cell r="A1048" t="str">
            <v>AU23423</v>
          </cell>
          <cell r="B1048">
            <v>37357</v>
          </cell>
          <cell r="C1048" t="str">
            <v>VIC-TAS</v>
          </cell>
          <cell r="D1048" t="str">
            <v>Virtus Health</v>
          </cell>
          <cell r="E1048" t="str">
            <v>Clinical Embryologist</v>
          </cell>
          <cell r="F1048">
            <v>45393</v>
          </cell>
          <cell r="H1048" t="str">
            <v>MIVFS2022</v>
          </cell>
          <cell r="I1048" t="str">
            <v>TAS</v>
          </cell>
          <cell r="J1048" t="str">
            <v>Full Time</v>
          </cell>
          <cell r="K1048">
            <v>45393</v>
          </cell>
          <cell r="L1048">
            <v>45393</v>
          </cell>
        </row>
        <row r="1049">
          <cell r="A1049" t="str">
            <v>AU23425</v>
          </cell>
          <cell r="B1049" t="str">
            <v>11/18/2002</v>
          </cell>
          <cell r="C1049" t="str">
            <v>NSW-QLD</v>
          </cell>
          <cell r="D1049" t="str">
            <v>Virtus Health</v>
          </cell>
          <cell r="E1049" t="str">
            <v>Donor Administrator</v>
          </cell>
          <cell r="F1049" t="str">
            <v>11/18/2024</v>
          </cell>
          <cell r="H1049" t="str">
            <v>IVFS2023</v>
          </cell>
          <cell r="I1049" t="str">
            <v>QLD</v>
          </cell>
          <cell r="J1049" t="str">
            <v>Full Time</v>
          </cell>
          <cell r="K1049" t="str">
            <v>11/18/2024</v>
          </cell>
          <cell r="L1049" t="str">
            <v>11/18/2024</v>
          </cell>
        </row>
        <row r="1050">
          <cell r="A1050" t="str">
            <v>AU23426</v>
          </cell>
          <cell r="B1050">
            <v>37299</v>
          </cell>
          <cell r="C1050" t="str">
            <v>VIC-TAS</v>
          </cell>
          <cell r="D1050" t="str">
            <v>Virtus Health</v>
          </cell>
          <cell r="E1050" t="str">
            <v>Andrology Scientist</v>
          </cell>
          <cell r="F1050">
            <v>45334</v>
          </cell>
          <cell r="H1050" t="str">
            <v>MIVFS2022</v>
          </cell>
          <cell r="I1050" t="str">
            <v>VIC</v>
          </cell>
          <cell r="J1050" t="str">
            <v>Full Time</v>
          </cell>
          <cell r="K1050">
            <v>45334</v>
          </cell>
          <cell r="L1050">
            <v>45334</v>
          </cell>
        </row>
        <row r="1051">
          <cell r="A1051" t="str">
            <v>AU23427</v>
          </cell>
          <cell r="B1051" t="str">
            <v>10/30/2002</v>
          </cell>
          <cell r="C1051" t="str">
            <v>NSW-QLD</v>
          </cell>
          <cell r="D1051" t="str">
            <v>Virtus Health</v>
          </cell>
          <cell r="E1051" t="str">
            <v>Registered Nurse</v>
          </cell>
          <cell r="F1051" t="str">
            <v>10/30/2024</v>
          </cell>
          <cell r="H1051" t="str">
            <v>QN2025</v>
          </cell>
          <cell r="I1051" t="str">
            <v>QLD</v>
          </cell>
          <cell r="J1051" t="str">
            <v>Full Time</v>
          </cell>
          <cell r="K1051" t="str">
            <v>10/30/2024</v>
          </cell>
          <cell r="L1051" t="str">
            <v>10/30/2024</v>
          </cell>
        </row>
        <row r="1052">
          <cell r="A1052" t="str">
            <v>AU23429</v>
          </cell>
          <cell r="B1052" t="str">
            <v>10/21/2002</v>
          </cell>
          <cell r="C1052" t="str">
            <v>NSW-QLD</v>
          </cell>
          <cell r="D1052" t="str">
            <v>Virtus Health</v>
          </cell>
          <cell r="E1052" t="str">
            <v>Registered Nurse</v>
          </cell>
          <cell r="F1052" t="str">
            <v>10/21/2024</v>
          </cell>
          <cell r="H1052" t="str">
            <v>IVFN2021</v>
          </cell>
          <cell r="I1052" t="str">
            <v>NSW</v>
          </cell>
          <cell r="J1052" t="str">
            <v>Full Time</v>
          </cell>
          <cell r="K1052" t="str">
            <v>10/21/2024</v>
          </cell>
          <cell r="L1052" t="str">
            <v>10/21/2024</v>
          </cell>
        </row>
        <row r="1053">
          <cell r="A1053" t="str">
            <v>AU23430</v>
          </cell>
          <cell r="B1053">
            <v>37418</v>
          </cell>
          <cell r="C1053" t="str">
            <v>VIC-TAS</v>
          </cell>
          <cell r="D1053" t="str">
            <v>Virtus Health</v>
          </cell>
          <cell r="E1053" t="str">
            <v>Patient Care Co-ordinator</v>
          </cell>
          <cell r="F1053">
            <v>45454</v>
          </cell>
          <cell r="H1053" t="str">
            <v>MIVFS2022</v>
          </cell>
          <cell r="I1053" t="str">
            <v>VIC</v>
          </cell>
          <cell r="J1053" t="str">
            <v>Part Time</v>
          </cell>
          <cell r="K1053">
            <v>45454</v>
          </cell>
          <cell r="L1053">
            <v>45454</v>
          </cell>
        </row>
        <row r="1054">
          <cell r="A1054" t="str">
            <v>AU23431</v>
          </cell>
          <cell r="B1054" t="str">
            <v>10/23/2002</v>
          </cell>
          <cell r="C1054" t="str">
            <v>NSW-QLD</v>
          </cell>
          <cell r="D1054" t="str">
            <v>Virtus Health</v>
          </cell>
          <cell r="E1054" t="str">
            <v>Registered Nurse</v>
          </cell>
          <cell r="F1054" t="str">
            <v>10/23/2024</v>
          </cell>
          <cell r="H1054" t="str">
            <v>IVFN2021</v>
          </cell>
          <cell r="I1054" t="str">
            <v>NSW</v>
          </cell>
          <cell r="J1054" t="str">
            <v>Casual</v>
          </cell>
          <cell r="K1054" t="str">
            <v>10/23/2024</v>
          </cell>
          <cell r="L1054" t="str">
            <v>10/23/2024</v>
          </cell>
        </row>
        <row r="1055">
          <cell r="A1055" t="str">
            <v>AU23432</v>
          </cell>
          <cell r="B1055">
            <v>34489</v>
          </cell>
          <cell r="C1055" t="str">
            <v>NSW-QLD</v>
          </cell>
          <cell r="D1055" t="str">
            <v>Virtus Health</v>
          </cell>
          <cell r="E1055" t="str">
            <v>Registered Nurse</v>
          </cell>
          <cell r="F1055">
            <v>42525</v>
          </cell>
          <cell r="H1055" t="str">
            <v>IVFN2021</v>
          </cell>
          <cell r="I1055" t="str">
            <v>NSW</v>
          </cell>
          <cell r="J1055" t="str">
            <v>Part Time</v>
          </cell>
          <cell r="K1055">
            <v>42525</v>
          </cell>
          <cell r="L1055">
            <v>42525</v>
          </cell>
        </row>
        <row r="1056">
          <cell r="A1056" t="str">
            <v>AU23433</v>
          </cell>
          <cell r="B1056">
            <v>37571</v>
          </cell>
          <cell r="C1056" t="str">
            <v>NSW-QLD</v>
          </cell>
          <cell r="D1056" t="str">
            <v>Virtus Health</v>
          </cell>
          <cell r="E1056" t="str">
            <v>Nurse Coordinator</v>
          </cell>
          <cell r="F1056">
            <v>45607</v>
          </cell>
          <cell r="H1056" t="str">
            <v>QN2025</v>
          </cell>
          <cell r="I1056" t="str">
            <v>QLD</v>
          </cell>
          <cell r="J1056" t="str">
            <v>Part Time</v>
          </cell>
          <cell r="K1056">
            <v>45607</v>
          </cell>
          <cell r="L1056">
            <v>45607</v>
          </cell>
        </row>
        <row r="1057">
          <cell r="A1057" t="str">
            <v>AU23435</v>
          </cell>
          <cell r="B1057">
            <v>37773</v>
          </cell>
          <cell r="C1057" t="str">
            <v>NSW-QLD</v>
          </cell>
          <cell r="D1057" t="str">
            <v>Virtus Health</v>
          </cell>
          <cell r="E1057" t="str">
            <v xml:space="preserve">Senior Scientists Team Leader </v>
          </cell>
          <cell r="F1057">
            <v>45809</v>
          </cell>
          <cell r="H1057" t="str">
            <v>QS2024</v>
          </cell>
          <cell r="I1057" t="str">
            <v>QLD</v>
          </cell>
          <cell r="J1057" t="str">
            <v>Full Time</v>
          </cell>
          <cell r="K1057">
            <v>45809</v>
          </cell>
          <cell r="L1057">
            <v>45809</v>
          </cell>
        </row>
        <row r="1058">
          <cell r="A1058" t="str">
            <v>AU23438</v>
          </cell>
          <cell r="B1058" t="str">
            <v>11/14/2002</v>
          </cell>
          <cell r="C1058" t="str">
            <v>NSW-QLD</v>
          </cell>
          <cell r="D1058" t="str">
            <v>Virtus Health</v>
          </cell>
          <cell r="E1058" t="str">
            <v>Marketing Optimisation Specialist</v>
          </cell>
          <cell r="F1058" t="str">
            <v>11/14/2024</v>
          </cell>
          <cell r="H1058" t="str">
            <v>NSW</v>
          </cell>
          <cell r="I1058" t="str">
            <v>NSW</v>
          </cell>
          <cell r="J1058" t="str">
            <v>Full Time</v>
          </cell>
          <cell r="K1058" t="str">
            <v>11/14/2024</v>
          </cell>
          <cell r="L1058" t="str">
            <v>11/14/2024</v>
          </cell>
        </row>
        <row r="1059">
          <cell r="A1059" t="str">
            <v>AU23440</v>
          </cell>
          <cell r="B1059" t="str">
            <v>11/25/2002</v>
          </cell>
          <cell r="C1059" t="str">
            <v>VIC-TAS</v>
          </cell>
          <cell r="D1059" t="str">
            <v>Virtus Health</v>
          </cell>
          <cell r="E1059" t="str">
            <v>Clinical Administrator</v>
          </cell>
          <cell r="F1059" t="str">
            <v>11/25/2024</v>
          </cell>
          <cell r="H1059" t="str">
            <v>MIVFS2022</v>
          </cell>
          <cell r="I1059" t="str">
            <v>VIC</v>
          </cell>
          <cell r="J1059" t="str">
            <v>Full Time</v>
          </cell>
          <cell r="K1059" t="str">
            <v>11/25/2024</v>
          </cell>
          <cell r="L1059" t="str">
            <v>11/25/2024</v>
          </cell>
        </row>
        <row r="1060">
          <cell r="A1060" t="str">
            <v>AU23444</v>
          </cell>
          <cell r="B1060" t="str">
            <v>11/25/2002</v>
          </cell>
          <cell r="C1060" t="str">
            <v>NSW-QLD</v>
          </cell>
          <cell r="D1060" t="str">
            <v>Virtus Health</v>
          </cell>
          <cell r="E1060" t="str">
            <v>Carpark Concierge</v>
          </cell>
          <cell r="F1060" t="str">
            <v>11/25/2024</v>
          </cell>
          <cell r="H1060" t="str">
            <v>IVFS2023</v>
          </cell>
          <cell r="I1060" t="str">
            <v>NSW</v>
          </cell>
          <cell r="J1060" t="str">
            <v>Casual</v>
          </cell>
          <cell r="K1060" t="str">
            <v>11/25/2024</v>
          </cell>
          <cell r="L1060" t="str">
            <v>11/25/2024</v>
          </cell>
        </row>
        <row r="1061">
          <cell r="A1061" t="str">
            <v>AU23445</v>
          </cell>
          <cell r="B1061" t="str">
            <v>11/21/2002</v>
          </cell>
          <cell r="C1061" t="str">
            <v>NSW-QLD</v>
          </cell>
          <cell r="D1061" t="str">
            <v>Virtus Health</v>
          </cell>
          <cell r="E1061" t="str">
            <v>Customer Call Operator</v>
          </cell>
          <cell r="F1061" t="str">
            <v>11/21/2024</v>
          </cell>
          <cell r="H1061" t="str">
            <v>IVFS2023</v>
          </cell>
          <cell r="I1061" t="str">
            <v>NSW</v>
          </cell>
          <cell r="J1061" t="str">
            <v>Casual</v>
          </cell>
          <cell r="K1061" t="str">
            <v>11/21/2024</v>
          </cell>
          <cell r="L1061" t="str">
            <v>11/21/2024</v>
          </cell>
        </row>
        <row r="1062">
          <cell r="A1062" t="str">
            <v>AU23448</v>
          </cell>
          <cell r="B1062">
            <v>37299</v>
          </cell>
          <cell r="C1062" t="str">
            <v>NSW-QLD</v>
          </cell>
          <cell r="D1062" t="str">
            <v>Virtus Health</v>
          </cell>
          <cell r="E1062" t="str">
            <v>Enrolled Nurse</v>
          </cell>
          <cell r="F1062">
            <v>45334</v>
          </cell>
          <cell r="H1062" t="str">
            <v>QN2025</v>
          </cell>
          <cell r="I1062" t="str">
            <v>QLD</v>
          </cell>
          <cell r="J1062" t="str">
            <v>Casual</v>
          </cell>
          <cell r="K1062">
            <v>45334</v>
          </cell>
          <cell r="L1062">
            <v>45334</v>
          </cell>
        </row>
        <row r="1063">
          <cell r="A1063" t="str">
            <v>AU23449</v>
          </cell>
          <cell r="B1063">
            <v>37357</v>
          </cell>
          <cell r="C1063" t="str">
            <v>NSW-QLD</v>
          </cell>
          <cell r="D1063" t="str">
            <v>Virtus Health</v>
          </cell>
          <cell r="E1063" t="str">
            <v>Administration Clerk</v>
          </cell>
          <cell r="F1063">
            <v>45393</v>
          </cell>
          <cell r="H1063" t="str">
            <v>IVFS2023</v>
          </cell>
          <cell r="I1063" t="str">
            <v>NSW</v>
          </cell>
          <cell r="J1063" t="str">
            <v>Casual</v>
          </cell>
          <cell r="K1063">
            <v>45393</v>
          </cell>
          <cell r="L1063">
            <v>45393</v>
          </cell>
        </row>
        <row r="1064">
          <cell r="A1064" t="str">
            <v>AU23452</v>
          </cell>
          <cell r="B1064" t="str">
            <v>11/25/2002</v>
          </cell>
          <cell r="C1064" t="str">
            <v>NSW-QLD</v>
          </cell>
          <cell r="D1064" t="str">
            <v>Virtus Health</v>
          </cell>
          <cell r="E1064" t="str">
            <v>Carpark Concierge</v>
          </cell>
          <cell r="F1064" t="str">
            <v>11/25/2024</v>
          </cell>
          <cell r="H1064" t="str">
            <v>IVFS2023</v>
          </cell>
          <cell r="I1064" t="str">
            <v>NSW</v>
          </cell>
          <cell r="J1064" t="str">
            <v>Casual</v>
          </cell>
          <cell r="K1064" t="str">
            <v>11/25/2024</v>
          </cell>
          <cell r="L1064" t="str">
            <v>11/25/2024</v>
          </cell>
        </row>
        <row r="1065">
          <cell r="A1065" t="str">
            <v>AU23454</v>
          </cell>
          <cell r="B1065">
            <v>37541</v>
          </cell>
          <cell r="C1065" t="str">
            <v>NSW-QLD</v>
          </cell>
          <cell r="D1065" t="str">
            <v>Virtus Health</v>
          </cell>
          <cell r="E1065" t="str">
            <v>New Patient Care Consultant</v>
          </cell>
          <cell r="F1065">
            <v>45577</v>
          </cell>
          <cell r="H1065" t="str">
            <v>IVFS2023</v>
          </cell>
          <cell r="I1065" t="str">
            <v>QLD</v>
          </cell>
          <cell r="J1065" t="str">
            <v>Part Time</v>
          </cell>
          <cell r="K1065">
            <v>45577</v>
          </cell>
          <cell r="L1065">
            <v>45577</v>
          </cell>
        </row>
        <row r="1066">
          <cell r="A1066" t="str">
            <v>AU23455</v>
          </cell>
          <cell r="B1066" t="str">
            <v>1/20/2003</v>
          </cell>
          <cell r="C1066" t="str">
            <v>NSW-QLD</v>
          </cell>
          <cell r="D1066" t="str">
            <v>Virtus Health</v>
          </cell>
          <cell r="E1066" t="str">
            <v>Head of Donor Program</v>
          </cell>
          <cell r="F1066" t="str">
            <v>1/20/2025</v>
          </cell>
          <cell r="H1066" t="str">
            <v>VIC</v>
          </cell>
          <cell r="I1066" t="str">
            <v>VIC</v>
          </cell>
          <cell r="J1066" t="str">
            <v>Full Time</v>
          </cell>
          <cell r="K1066" t="str">
            <v>1/20/2025</v>
          </cell>
          <cell r="L1066" t="str">
            <v>1/20/2025</v>
          </cell>
        </row>
        <row r="1067">
          <cell r="A1067" t="str">
            <v>AU23456</v>
          </cell>
          <cell r="B1067">
            <v>37511</v>
          </cell>
          <cell r="C1067" t="str">
            <v>VIC-TAS</v>
          </cell>
          <cell r="D1067" t="str">
            <v>Virtus Health</v>
          </cell>
          <cell r="E1067" t="str">
            <v>New Patient Care Consultant</v>
          </cell>
          <cell r="F1067">
            <v>45547</v>
          </cell>
          <cell r="H1067" t="str">
            <v>MIVFS2022</v>
          </cell>
          <cell r="I1067" t="str">
            <v>VIC</v>
          </cell>
          <cell r="J1067" t="str">
            <v>Part Time</v>
          </cell>
          <cell r="K1067">
            <v>45547</v>
          </cell>
          <cell r="L1067">
            <v>45547</v>
          </cell>
        </row>
        <row r="1068">
          <cell r="A1068" t="str">
            <v>AU23457</v>
          </cell>
          <cell r="B1068" t="str">
            <v>11/25/2002</v>
          </cell>
          <cell r="C1068" t="str">
            <v>VIC-TAS</v>
          </cell>
          <cell r="D1068" t="str">
            <v>Virtus Health</v>
          </cell>
          <cell r="E1068" t="str">
            <v>Embryologist/Andrologist</v>
          </cell>
          <cell r="F1068" t="str">
            <v>11/25/2024</v>
          </cell>
          <cell r="H1068" t="str">
            <v>TIVF2024</v>
          </cell>
          <cell r="I1068" t="str">
            <v>TAS</v>
          </cell>
          <cell r="J1068" t="str">
            <v>Full Time</v>
          </cell>
          <cell r="K1068" t="str">
            <v>11/25/2024</v>
          </cell>
          <cell r="L1068" t="str">
            <v>11/25/2024</v>
          </cell>
        </row>
        <row r="1069">
          <cell r="A1069" t="str">
            <v>AU23458</v>
          </cell>
          <cell r="B1069">
            <v>37358</v>
          </cell>
          <cell r="C1069" t="str">
            <v>NSW-QLD</v>
          </cell>
          <cell r="D1069" t="str">
            <v>Virtus Health</v>
          </cell>
          <cell r="E1069" t="str">
            <v>Pathologist - Microbiology</v>
          </cell>
          <cell r="F1069">
            <v>45394</v>
          </cell>
          <cell r="H1069" t="str">
            <v>VIC</v>
          </cell>
          <cell r="I1069" t="str">
            <v>VIC</v>
          </cell>
          <cell r="J1069" t="str">
            <v>Casual</v>
          </cell>
          <cell r="K1069">
            <v>45394</v>
          </cell>
          <cell r="L1069">
            <v>45394</v>
          </cell>
        </row>
        <row r="1070">
          <cell r="A1070" t="str">
            <v>AU23459</v>
          </cell>
          <cell r="B1070">
            <v>37299</v>
          </cell>
          <cell r="C1070" t="str">
            <v>NSW-QLD</v>
          </cell>
          <cell r="D1070" t="str">
            <v>Virtus Health</v>
          </cell>
          <cell r="E1070" t="str">
            <v>Registered Nurse</v>
          </cell>
          <cell r="F1070">
            <v>45334</v>
          </cell>
          <cell r="H1070" t="str">
            <v>IVFN2021</v>
          </cell>
          <cell r="I1070" t="str">
            <v>NSW</v>
          </cell>
          <cell r="J1070" t="str">
            <v>Casual</v>
          </cell>
          <cell r="K1070">
            <v>45334</v>
          </cell>
          <cell r="L1070">
            <v>45334</v>
          </cell>
        </row>
        <row r="1071">
          <cell r="A1071" t="str">
            <v>AU23461</v>
          </cell>
          <cell r="B1071">
            <v>37511</v>
          </cell>
          <cell r="C1071" t="str">
            <v>VIC-TAS</v>
          </cell>
          <cell r="D1071" t="str">
            <v>Virtus Health</v>
          </cell>
          <cell r="E1071" t="str">
            <v>Assistant in Nursing</v>
          </cell>
          <cell r="F1071">
            <v>45547</v>
          </cell>
          <cell r="H1071" t="str">
            <v>VIC</v>
          </cell>
          <cell r="I1071" t="str">
            <v>VIC</v>
          </cell>
          <cell r="J1071" t="str">
            <v>Casual</v>
          </cell>
          <cell r="K1071">
            <v>45547</v>
          </cell>
          <cell r="L1071">
            <v>45547</v>
          </cell>
        </row>
        <row r="1072">
          <cell r="A1072" t="str">
            <v>AU23462</v>
          </cell>
          <cell r="B1072" t="str">
            <v>12/16/2002</v>
          </cell>
          <cell r="C1072" t="str">
            <v>VIC-TAS</v>
          </cell>
          <cell r="D1072" t="str">
            <v>Virtus Health</v>
          </cell>
          <cell r="E1072" t="str">
            <v>Registered Nurse</v>
          </cell>
          <cell r="F1072" t="str">
            <v>12/16/2024</v>
          </cell>
          <cell r="H1072" t="str">
            <v>MIVFN2023</v>
          </cell>
          <cell r="I1072" t="str">
            <v>VIC</v>
          </cell>
          <cell r="J1072" t="str">
            <v>Casual</v>
          </cell>
          <cell r="K1072" t="str">
            <v>12/16/2024</v>
          </cell>
          <cell r="L1072" t="str">
            <v>12/16/2024</v>
          </cell>
        </row>
        <row r="1073">
          <cell r="A1073" t="str">
            <v>AU23463</v>
          </cell>
          <cell r="B1073">
            <v>37358</v>
          </cell>
          <cell r="C1073" t="str">
            <v>VIC-TAS</v>
          </cell>
          <cell r="D1073" t="str">
            <v>Virtus Health</v>
          </cell>
          <cell r="E1073" t="str">
            <v>Theatre Technician</v>
          </cell>
          <cell r="F1073">
            <v>45394</v>
          </cell>
          <cell r="H1073" t="str">
            <v>MIVFS2022</v>
          </cell>
          <cell r="I1073" t="str">
            <v>VIC</v>
          </cell>
          <cell r="J1073" t="str">
            <v>Casual</v>
          </cell>
          <cell r="K1073">
            <v>45394</v>
          </cell>
          <cell r="L1073">
            <v>45394</v>
          </cell>
        </row>
        <row r="1074">
          <cell r="A1074" t="str">
            <v>AU23465</v>
          </cell>
          <cell r="B1074">
            <v>37773</v>
          </cell>
          <cell r="C1074" t="str">
            <v>NSW-QLD</v>
          </cell>
          <cell r="D1074" t="str">
            <v>Virtus Health</v>
          </cell>
          <cell r="E1074" t="str">
            <v>Payroll Business Partner</v>
          </cell>
          <cell r="F1074">
            <v>45809</v>
          </cell>
          <cell r="H1074" t="str">
            <v>NSW</v>
          </cell>
          <cell r="I1074" t="str">
            <v>NSW</v>
          </cell>
          <cell r="J1074" t="str">
            <v>Casual</v>
          </cell>
          <cell r="K1074">
            <v>45809</v>
          </cell>
          <cell r="L1074">
            <v>45809</v>
          </cell>
        </row>
        <row r="1075">
          <cell r="A1075" t="str">
            <v>AU23468</v>
          </cell>
          <cell r="B1075" t="str">
            <v>2/19/2003</v>
          </cell>
          <cell r="C1075" t="str">
            <v>NSW-QLD</v>
          </cell>
          <cell r="D1075" t="str">
            <v>Virtus Health</v>
          </cell>
          <cell r="E1075" t="str">
            <v>Theatre Orderly</v>
          </cell>
          <cell r="F1075" t="str">
            <v>2/19/2025</v>
          </cell>
          <cell r="H1075" t="str">
            <v>IVFS2023</v>
          </cell>
          <cell r="I1075" t="str">
            <v>QLD</v>
          </cell>
          <cell r="J1075" t="str">
            <v>Casual</v>
          </cell>
          <cell r="K1075" t="str">
            <v>2/19/2025</v>
          </cell>
          <cell r="L1075" t="str">
            <v>2/19/2025</v>
          </cell>
        </row>
        <row r="1076">
          <cell r="A1076" t="str">
            <v>AU23471</v>
          </cell>
          <cell r="B1076">
            <v>37773</v>
          </cell>
          <cell r="C1076" t="str">
            <v>NSW-QLD</v>
          </cell>
          <cell r="D1076" t="str">
            <v>Virtus Health</v>
          </cell>
          <cell r="E1076" t="str">
            <v>Registered Nurse</v>
          </cell>
          <cell r="F1076">
            <v>45809</v>
          </cell>
          <cell r="H1076" t="str">
            <v>QN2025</v>
          </cell>
          <cell r="I1076" t="str">
            <v>QLD</v>
          </cell>
          <cell r="J1076" t="str">
            <v>Casual</v>
          </cell>
          <cell r="K1076">
            <v>45809</v>
          </cell>
          <cell r="L1076">
            <v>45809</v>
          </cell>
        </row>
        <row r="1077">
          <cell r="A1077" t="str">
            <v>AU23474</v>
          </cell>
          <cell r="B1077" t="str">
            <v>1/13/2003</v>
          </cell>
          <cell r="C1077" t="str">
            <v>NSW-QLD</v>
          </cell>
          <cell r="D1077" t="str">
            <v>Virtus Health</v>
          </cell>
          <cell r="E1077" t="str">
            <v>Registered Nurse</v>
          </cell>
          <cell r="F1077" t="str">
            <v>1/13/2025</v>
          </cell>
          <cell r="H1077" t="str">
            <v>QN2025</v>
          </cell>
          <cell r="I1077" t="str">
            <v>QLD</v>
          </cell>
          <cell r="J1077" t="str">
            <v>Part Time</v>
          </cell>
          <cell r="K1077" t="str">
            <v>1/13/2025</v>
          </cell>
          <cell r="L1077" t="str">
            <v>1/13/2025</v>
          </cell>
        </row>
        <row r="1078">
          <cell r="A1078" t="str">
            <v>AU23475</v>
          </cell>
          <cell r="B1078" t="str">
            <v>1/14/2003</v>
          </cell>
          <cell r="C1078" t="str">
            <v>VIC-TAS</v>
          </cell>
          <cell r="D1078" t="str">
            <v>Virtus Health</v>
          </cell>
          <cell r="E1078" t="str">
            <v>Theatre Orderly</v>
          </cell>
          <cell r="F1078" t="str">
            <v>1/14/2025</v>
          </cell>
          <cell r="H1078" t="str">
            <v>TIVF2024</v>
          </cell>
          <cell r="I1078" t="str">
            <v>TAS</v>
          </cell>
          <cell r="J1078" t="str">
            <v>Casual</v>
          </cell>
          <cell r="K1078" t="str">
            <v>1/14/2025</v>
          </cell>
          <cell r="L1078" t="str">
            <v>1/14/2025</v>
          </cell>
        </row>
        <row r="1079">
          <cell r="A1079" t="str">
            <v>AU23477</v>
          </cell>
          <cell r="B1079" t="str">
            <v>1/13/2003</v>
          </cell>
          <cell r="C1079" t="str">
            <v>NSW-QLD</v>
          </cell>
          <cell r="D1079" t="str">
            <v>Virtus Health</v>
          </cell>
          <cell r="E1079" t="str">
            <v>Laboratory Administration Assistant</v>
          </cell>
          <cell r="F1079" t="str">
            <v>1/13/2025</v>
          </cell>
          <cell r="H1079" t="str">
            <v>IVFS2023</v>
          </cell>
          <cell r="I1079" t="str">
            <v>QLD</v>
          </cell>
          <cell r="J1079" t="str">
            <v>Casual</v>
          </cell>
          <cell r="K1079" t="str">
            <v>1/13/2025</v>
          </cell>
          <cell r="L1079" t="str">
            <v>1/13/2025</v>
          </cell>
        </row>
        <row r="1080">
          <cell r="A1080" t="str">
            <v>AU23478</v>
          </cell>
          <cell r="B1080" t="str">
            <v>1/13/2003</v>
          </cell>
          <cell r="C1080" t="str">
            <v>NSW-QLD</v>
          </cell>
          <cell r="D1080" t="str">
            <v>Virtus Health</v>
          </cell>
          <cell r="E1080" t="str">
            <v>Managing Director IVF Australia</v>
          </cell>
          <cell r="F1080" t="str">
            <v>1/13/2025</v>
          </cell>
          <cell r="H1080" t="str">
            <v>NSW</v>
          </cell>
          <cell r="I1080" t="str">
            <v>NSW</v>
          </cell>
          <cell r="J1080" t="str">
            <v>Full Time</v>
          </cell>
          <cell r="K1080" t="str">
            <v>1/13/2025</v>
          </cell>
          <cell r="L1080" t="str">
            <v>1/13/2025</v>
          </cell>
        </row>
        <row r="1081">
          <cell r="A1081" t="str">
            <v>AU23479</v>
          </cell>
          <cell r="B1081" t="str">
            <v>1/27/2003</v>
          </cell>
          <cell r="C1081" t="str">
            <v>NSW-QLD</v>
          </cell>
          <cell r="D1081" t="str">
            <v>Virtus Health</v>
          </cell>
          <cell r="E1081" t="str">
            <v>Brisbane Clinic Manager</v>
          </cell>
          <cell r="F1081" t="str">
            <v>1/27/2025</v>
          </cell>
          <cell r="H1081" t="str">
            <v>IVFS2023</v>
          </cell>
          <cell r="I1081" t="str">
            <v>QLD</v>
          </cell>
          <cell r="J1081" t="str">
            <v>Full Time</v>
          </cell>
          <cell r="K1081" t="str">
            <v>1/27/2025</v>
          </cell>
          <cell r="L1081" t="str">
            <v>1/27/2025</v>
          </cell>
        </row>
        <row r="1082">
          <cell r="A1082" t="str">
            <v>AU23481</v>
          </cell>
          <cell r="B1082">
            <v>37896</v>
          </cell>
          <cell r="C1082" t="str">
            <v>VIC-TAS</v>
          </cell>
          <cell r="D1082" t="str">
            <v>Virtus Health</v>
          </cell>
          <cell r="E1082" t="str">
            <v>Counsellor</v>
          </cell>
          <cell r="F1082">
            <v>45932</v>
          </cell>
          <cell r="H1082" t="str">
            <v>MIVFC2021</v>
          </cell>
          <cell r="I1082" t="str">
            <v>VIC</v>
          </cell>
          <cell r="J1082" t="str">
            <v>Part Time</v>
          </cell>
          <cell r="K1082">
            <v>45932</v>
          </cell>
          <cell r="L1082">
            <v>45932</v>
          </cell>
        </row>
        <row r="1083">
          <cell r="A1083" t="str">
            <v>AU23482</v>
          </cell>
          <cell r="B1083" t="str">
            <v>1/13/2003</v>
          </cell>
          <cell r="C1083" t="str">
            <v>NSW-QLD</v>
          </cell>
          <cell r="D1083" t="str">
            <v>Virtus Health</v>
          </cell>
          <cell r="E1083" t="str">
            <v>Medical Receptionist</v>
          </cell>
          <cell r="F1083" t="str">
            <v>1/13/2025</v>
          </cell>
          <cell r="H1083" t="str">
            <v>IVFS2023</v>
          </cell>
          <cell r="I1083" t="str">
            <v>QLD</v>
          </cell>
          <cell r="J1083" t="str">
            <v>Part Time</v>
          </cell>
          <cell r="K1083" t="str">
            <v>1/13/2025</v>
          </cell>
          <cell r="L1083" t="str">
            <v>1/13/2025</v>
          </cell>
        </row>
        <row r="1084">
          <cell r="A1084" t="str">
            <v>AU23484</v>
          </cell>
          <cell r="B1084" t="str">
            <v>1/28/2003</v>
          </cell>
          <cell r="C1084" t="str">
            <v>NSW-QLD</v>
          </cell>
          <cell r="D1084" t="str">
            <v>Virtus Health</v>
          </cell>
          <cell r="E1084" t="str">
            <v>Senior Administration Assistant</v>
          </cell>
          <cell r="F1084" t="str">
            <v>1/28/2025</v>
          </cell>
          <cell r="H1084" t="str">
            <v>IVFS2023</v>
          </cell>
          <cell r="I1084" t="str">
            <v>QLD</v>
          </cell>
          <cell r="J1084" t="str">
            <v>Full Time</v>
          </cell>
          <cell r="K1084" t="str">
            <v>1/28/2025</v>
          </cell>
          <cell r="L1084" t="str">
            <v>1/28/2025</v>
          </cell>
        </row>
        <row r="1085">
          <cell r="A1085" t="str">
            <v>AU23485</v>
          </cell>
          <cell r="B1085" t="str">
            <v>1/28/2003</v>
          </cell>
          <cell r="C1085" t="str">
            <v>NSW-QLD</v>
          </cell>
          <cell r="D1085" t="str">
            <v>Virtus Health</v>
          </cell>
          <cell r="E1085" t="str">
            <v>Administration</v>
          </cell>
          <cell r="F1085" t="str">
            <v>1/28/2025</v>
          </cell>
          <cell r="H1085" t="str">
            <v>IVFS2023</v>
          </cell>
          <cell r="I1085" t="str">
            <v>QLD</v>
          </cell>
          <cell r="J1085" t="str">
            <v>Casual</v>
          </cell>
          <cell r="K1085" t="str">
            <v>1/28/2025</v>
          </cell>
          <cell r="L1085" t="str">
            <v>1/28/2025</v>
          </cell>
        </row>
        <row r="1086">
          <cell r="A1086" t="str">
            <v>AU23486</v>
          </cell>
          <cell r="B1086" t="str">
            <v>1/28/2003</v>
          </cell>
          <cell r="C1086" t="str">
            <v>NSW-QLD</v>
          </cell>
          <cell r="D1086" t="str">
            <v>Virtus Health</v>
          </cell>
          <cell r="E1086" t="str">
            <v xml:space="preserve">Senior Medical Administrator </v>
          </cell>
          <cell r="F1086" t="str">
            <v>1/28/2025</v>
          </cell>
          <cell r="H1086" t="str">
            <v>IVFS2023</v>
          </cell>
          <cell r="I1086" t="str">
            <v>QLD</v>
          </cell>
          <cell r="J1086" t="str">
            <v>Part Time</v>
          </cell>
          <cell r="K1086" t="str">
            <v>1/28/2025</v>
          </cell>
          <cell r="L1086" t="str">
            <v>1/28/2025</v>
          </cell>
        </row>
        <row r="1087">
          <cell r="A1087" t="str">
            <v>AU23488</v>
          </cell>
          <cell r="B1087" t="str">
            <v>1/28/2003</v>
          </cell>
          <cell r="C1087" t="str">
            <v>NSW-QLD</v>
          </cell>
          <cell r="D1087" t="str">
            <v>Virtus Health</v>
          </cell>
          <cell r="E1087" t="str">
            <v>Technology Operations Engineer</v>
          </cell>
          <cell r="F1087" t="str">
            <v>1/28/2025</v>
          </cell>
          <cell r="H1087" t="str">
            <v>QLD</v>
          </cell>
          <cell r="I1087" t="str">
            <v>QLD</v>
          </cell>
          <cell r="J1087" t="str">
            <v>Full Time</v>
          </cell>
          <cell r="K1087" t="str">
            <v>1/28/2025</v>
          </cell>
          <cell r="L1087" t="str">
            <v>1/28/2025</v>
          </cell>
        </row>
        <row r="1088">
          <cell r="A1088" t="str">
            <v>AU23492</v>
          </cell>
          <cell r="B1088" t="str">
            <v>1/23/2003</v>
          </cell>
          <cell r="C1088" t="str">
            <v>NSW-QLD</v>
          </cell>
          <cell r="D1088" t="str">
            <v>Virtus Health</v>
          </cell>
          <cell r="E1088" t="str">
            <v>Pathologist - Microbiology</v>
          </cell>
          <cell r="F1088" t="str">
            <v>1/23/2025</v>
          </cell>
          <cell r="H1088" t="str">
            <v>VIC</v>
          </cell>
          <cell r="I1088" t="str">
            <v>VIC</v>
          </cell>
          <cell r="J1088" t="str">
            <v>Full Time</v>
          </cell>
          <cell r="K1088" t="str">
            <v>1/23/2025</v>
          </cell>
          <cell r="L1088" t="str">
            <v>1/23/2025</v>
          </cell>
        </row>
        <row r="1089">
          <cell r="A1089" t="str">
            <v>AU23493</v>
          </cell>
          <cell r="B1089" t="str">
            <v>1/13/2003</v>
          </cell>
          <cell r="C1089" t="str">
            <v>NSW-QLD</v>
          </cell>
          <cell r="D1089" t="str">
            <v>Virtus Health</v>
          </cell>
          <cell r="E1089" t="str">
            <v>Registered Nurse</v>
          </cell>
          <cell r="F1089" t="str">
            <v>1/13/2025</v>
          </cell>
          <cell r="H1089" t="str">
            <v>QN2025</v>
          </cell>
          <cell r="I1089" t="str">
            <v>QLD</v>
          </cell>
          <cell r="J1089" t="str">
            <v>Casual</v>
          </cell>
          <cell r="K1089" t="str">
            <v>1/13/2025</v>
          </cell>
          <cell r="L1089" t="str">
            <v>1/13/2025</v>
          </cell>
        </row>
        <row r="1090">
          <cell r="A1090" t="str">
            <v>AU23494</v>
          </cell>
          <cell r="B1090" t="str">
            <v>1/13/2003</v>
          </cell>
          <cell r="C1090" t="str">
            <v>NSW-QLD</v>
          </cell>
          <cell r="D1090" t="str">
            <v>Virtus Health</v>
          </cell>
          <cell r="E1090" t="str">
            <v>CSSD Tech</v>
          </cell>
          <cell r="F1090" t="str">
            <v>1/13/2025</v>
          </cell>
          <cell r="H1090" t="str">
            <v>IVFS2023</v>
          </cell>
          <cell r="I1090" t="str">
            <v>NSW</v>
          </cell>
          <cell r="J1090" t="str">
            <v>Casual</v>
          </cell>
          <cell r="K1090" t="str">
            <v>1/13/2025</v>
          </cell>
          <cell r="L1090" t="str">
            <v>1/13/2025</v>
          </cell>
        </row>
        <row r="1091">
          <cell r="A1091" t="str">
            <v>AU23496</v>
          </cell>
          <cell r="B1091" t="str">
            <v>1/28/2003</v>
          </cell>
          <cell r="C1091" t="str">
            <v>NSW-QLD</v>
          </cell>
          <cell r="D1091" t="str">
            <v>Virtus Health</v>
          </cell>
          <cell r="E1091" t="str">
            <v>Registered Nurse</v>
          </cell>
          <cell r="F1091" t="str">
            <v>1/28/2025</v>
          </cell>
          <cell r="H1091" t="str">
            <v>IVFN2021</v>
          </cell>
          <cell r="I1091" t="str">
            <v>NSW</v>
          </cell>
          <cell r="J1091" t="str">
            <v>Part Time</v>
          </cell>
          <cell r="K1091" t="str">
            <v>1/28/2025</v>
          </cell>
          <cell r="L1091" t="str">
            <v>1/28/2025</v>
          </cell>
        </row>
        <row r="1092">
          <cell r="A1092" t="str">
            <v>AU23497</v>
          </cell>
          <cell r="B1092">
            <v>37682</v>
          </cell>
          <cell r="C1092" t="str">
            <v>NSW-QLD</v>
          </cell>
          <cell r="D1092" t="str">
            <v>Virtus Health</v>
          </cell>
          <cell r="E1092" t="str">
            <v>Administration</v>
          </cell>
          <cell r="F1092">
            <v>45718</v>
          </cell>
          <cell r="H1092" t="str">
            <v>IVFS2023</v>
          </cell>
          <cell r="I1092" t="str">
            <v>QLD</v>
          </cell>
          <cell r="J1092" t="str">
            <v>Casual</v>
          </cell>
          <cell r="K1092">
            <v>45718</v>
          </cell>
          <cell r="L1092">
            <v>45718</v>
          </cell>
        </row>
        <row r="1093">
          <cell r="A1093" t="str">
            <v>AU23498</v>
          </cell>
          <cell r="B1093" t="str">
            <v>1/27/2003</v>
          </cell>
          <cell r="C1093" t="str">
            <v>NSW-QLD</v>
          </cell>
          <cell r="D1093" t="str">
            <v>Virtus Health</v>
          </cell>
          <cell r="E1093" t="str">
            <v>Laboratory Assistant</v>
          </cell>
          <cell r="F1093" t="str">
            <v>1/27/2025</v>
          </cell>
          <cell r="H1093" t="str">
            <v>QS2024</v>
          </cell>
          <cell r="I1093" t="str">
            <v>QLD</v>
          </cell>
          <cell r="J1093" t="str">
            <v>Part Time</v>
          </cell>
          <cell r="K1093" t="str">
            <v>1/27/2025</v>
          </cell>
          <cell r="L1093" t="str">
            <v>1/27/2025</v>
          </cell>
        </row>
        <row r="1094">
          <cell r="A1094" t="str">
            <v>AU23501</v>
          </cell>
          <cell r="B1094" t="str">
            <v>1/28/2003</v>
          </cell>
          <cell r="C1094" t="str">
            <v>NSW-QLD</v>
          </cell>
          <cell r="D1094" t="str">
            <v>Virtus Health</v>
          </cell>
          <cell r="E1094" t="str">
            <v>Medical Secretary</v>
          </cell>
          <cell r="F1094" t="str">
            <v>1/28/2025</v>
          </cell>
          <cell r="H1094" t="str">
            <v>IVFS2023</v>
          </cell>
          <cell r="I1094" t="str">
            <v>NSW</v>
          </cell>
          <cell r="J1094" t="str">
            <v>Full Time</v>
          </cell>
          <cell r="K1094" t="str">
            <v>1/28/2025</v>
          </cell>
          <cell r="L1094" t="str">
            <v>1/28/2025</v>
          </cell>
        </row>
        <row r="1095">
          <cell r="A1095" t="str">
            <v>AU23512</v>
          </cell>
          <cell r="B1095" t="str">
            <v>2/17/2003</v>
          </cell>
          <cell r="C1095" t="str">
            <v>NSW-QLD</v>
          </cell>
          <cell r="D1095" t="str">
            <v>Virtus Health</v>
          </cell>
          <cell r="E1095" t="str">
            <v>Phlebotomist</v>
          </cell>
          <cell r="F1095" t="str">
            <v>2/17/2025</v>
          </cell>
          <cell r="H1095" t="str">
            <v>IVFS2023</v>
          </cell>
          <cell r="I1095" t="str">
            <v>QLD</v>
          </cell>
          <cell r="J1095" t="str">
            <v>Casual</v>
          </cell>
          <cell r="K1095" t="str">
            <v>2/17/2025</v>
          </cell>
          <cell r="L1095" t="str">
            <v>2/17/2025</v>
          </cell>
        </row>
        <row r="1096">
          <cell r="A1096" t="str">
            <v>AU23513</v>
          </cell>
          <cell r="B1096" t="str">
            <v>2/24/2003</v>
          </cell>
          <cell r="C1096" t="str">
            <v>NSW-QLD</v>
          </cell>
          <cell r="D1096" t="str">
            <v>Virtus Health</v>
          </cell>
          <cell r="E1096" t="str">
            <v>General Manager Day Hospitals</v>
          </cell>
          <cell r="F1096" t="str">
            <v>2/24/2025</v>
          </cell>
          <cell r="H1096" t="str">
            <v>NSW</v>
          </cell>
          <cell r="I1096" t="str">
            <v>NSW</v>
          </cell>
          <cell r="J1096" t="str">
            <v>Full Time</v>
          </cell>
          <cell r="K1096" t="str">
            <v>2/24/2025</v>
          </cell>
          <cell r="L1096" t="str">
            <v>2/24/2025</v>
          </cell>
        </row>
        <row r="1097">
          <cell r="A1097" t="str">
            <v>AU23514</v>
          </cell>
          <cell r="B1097">
            <v>37896</v>
          </cell>
          <cell r="C1097" t="str">
            <v>VIC-TAS</v>
          </cell>
          <cell r="D1097" t="str">
            <v>Virtus Health</v>
          </cell>
          <cell r="E1097" t="str">
            <v>Patient Liaison Administrator</v>
          </cell>
          <cell r="F1097">
            <v>45932</v>
          </cell>
          <cell r="H1097" t="str">
            <v>TIVF2024</v>
          </cell>
          <cell r="I1097" t="str">
            <v>TAS</v>
          </cell>
          <cell r="J1097" t="str">
            <v>Part Time</v>
          </cell>
          <cell r="K1097">
            <v>45932</v>
          </cell>
          <cell r="L1097">
            <v>45932</v>
          </cell>
        </row>
        <row r="1098">
          <cell r="A1098" t="str">
            <v>AU23515</v>
          </cell>
          <cell r="B1098">
            <v>37683</v>
          </cell>
          <cell r="C1098" t="str">
            <v>NSW-QLD</v>
          </cell>
          <cell r="D1098" t="str">
            <v>Virtus Health</v>
          </cell>
          <cell r="E1098" t="str">
            <v>Head of Business Partnerships</v>
          </cell>
          <cell r="F1098">
            <v>45719</v>
          </cell>
          <cell r="H1098" t="str">
            <v>NSW</v>
          </cell>
          <cell r="I1098" t="str">
            <v>NSW</v>
          </cell>
          <cell r="J1098" t="str">
            <v>Part Time</v>
          </cell>
          <cell r="K1098">
            <v>45719</v>
          </cell>
          <cell r="L1098">
            <v>45719</v>
          </cell>
        </row>
        <row r="1099">
          <cell r="A1099" t="str">
            <v>AU23516</v>
          </cell>
          <cell r="B1099">
            <v>37957</v>
          </cell>
          <cell r="C1099" t="str">
            <v>NSW-QLD</v>
          </cell>
          <cell r="D1099" t="str">
            <v>Virtus Health</v>
          </cell>
          <cell r="E1099" t="str">
            <v>Administration Team Leader</v>
          </cell>
          <cell r="F1099">
            <v>45993</v>
          </cell>
          <cell r="H1099" t="str">
            <v>IVFS2023</v>
          </cell>
          <cell r="I1099" t="str">
            <v>QLD</v>
          </cell>
          <cell r="J1099" t="str">
            <v>Full Time</v>
          </cell>
          <cell r="K1099">
            <v>45993</v>
          </cell>
          <cell r="L1099">
            <v>45993</v>
          </cell>
        </row>
        <row r="1100">
          <cell r="A1100" t="str">
            <v>AU23517</v>
          </cell>
          <cell r="B1100" t="str">
            <v>2/17/2003</v>
          </cell>
          <cell r="C1100" t="str">
            <v>NSW-QLD</v>
          </cell>
          <cell r="D1100" t="str">
            <v>Virtus Health</v>
          </cell>
          <cell r="E1100" t="str">
            <v>Nurse Coordinator</v>
          </cell>
          <cell r="F1100" t="str">
            <v>2/17/2025</v>
          </cell>
          <cell r="H1100" t="str">
            <v>IVFN2021</v>
          </cell>
          <cell r="I1100" t="str">
            <v>NSW</v>
          </cell>
          <cell r="J1100" t="str">
            <v>Casual</v>
          </cell>
          <cell r="K1100" t="str">
            <v>2/17/2025</v>
          </cell>
          <cell r="L1100" t="str">
            <v>2/17/2025</v>
          </cell>
        </row>
        <row r="1101">
          <cell r="A1101" t="str">
            <v>AU23518</v>
          </cell>
          <cell r="B1101" t="str">
            <v>1/27/2003</v>
          </cell>
          <cell r="C1101" t="str">
            <v>NSW-QLD</v>
          </cell>
          <cell r="D1101" t="str">
            <v>Virtus Health</v>
          </cell>
          <cell r="E1101" t="str">
            <v>Registered Nurse</v>
          </cell>
          <cell r="F1101" t="str">
            <v>1/27/2025</v>
          </cell>
          <cell r="H1101" t="str">
            <v>IVFN2021</v>
          </cell>
          <cell r="I1101" t="str">
            <v>NSW</v>
          </cell>
          <cell r="J1101" t="str">
            <v>Part Time</v>
          </cell>
          <cell r="K1101" t="str">
            <v>1/27/2025</v>
          </cell>
          <cell r="L1101" t="str">
            <v>1/27/2025</v>
          </cell>
        </row>
        <row r="1102">
          <cell r="A1102" t="str">
            <v>AU23519</v>
          </cell>
          <cell r="B1102" t="str">
            <v>12/24/2002</v>
          </cell>
          <cell r="C1102" t="str">
            <v>NSW-QLD</v>
          </cell>
          <cell r="D1102" t="str">
            <v>Virtus Health</v>
          </cell>
          <cell r="E1102" t="str">
            <v>Registered Nurse</v>
          </cell>
          <cell r="F1102" t="str">
            <v>12/24/2024</v>
          </cell>
          <cell r="H1102" t="str">
            <v>QN2025</v>
          </cell>
          <cell r="I1102" t="str">
            <v>QLD</v>
          </cell>
          <cell r="J1102" t="str">
            <v>Casual</v>
          </cell>
          <cell r="K1102" t="str">
            <v>12/24/2024</v>
          </cell>
          <cell r="L1102" t="str">
            <v>12/24/2024</v>
          </cell>
        </row>
        <row r="1103">
          <cell r="A1103" t="str">
            <v>AU23520</v>
          </cell>
          <cell r="B1103">
            <v>37896</v>
          </cell>
          <cell r="C1103" t="str">
            <v>VIC-TAS</v>
          </cell>
          <cell r="D1103" t="str">
            <v>Virtus Health</v>
          </cell>
          <cell r="E1103" t="str">
            <v>Receptionist</v>
          </cell>
          <cell r="F1103">
            <v>45932</v>
          </cell>
          <cell r="H1103" t="str">
            <v>MIVFS2022</v>
          </cell>
          <cell r="I1103" t="str">
            <v>VIC</v>
          </cell>
          <cell r="J1103" t="str">
            <v>Part Time</v>
          </cell>
          <cell r="K1103">
            <v>45932</v>
          </cell>
          <cell r="L1103">
            <v>45932</v>
          </cell>
        </row>
        <row r="1104">
          <cell r="A1104" t="str">
            <v>AU23521</v>
          </cell>
          <cell r="B1104" t="str">
            <v>2/24/2003</v>
          </cell>
          <cell r="C1104" t="str">
            <v>VIC-TAS</v>
          </cell>
          <cell r="D1104" t="str">
            <v>Virtus Health</v>
          </cell>
          <cell r="E1104" t="str">
            <v>Associate Nurse Unit Manager</v>
          </cell>
          <cell r="F1104" t="str">
            <v>2/24/2025</v>
          </cell>
          <cell r="H1104" t="str">
            <v>MIVFN2023</v>
          </cell>
          <cell r="I1104" t="str">
            <v>VIC</v>
          </cell>
          <cell r="J1104" t="str">
            <v>Part Time</v>
          </cell>
          <cell r="K1104" t="str">
            <v>2/24/2025</v>
          </cell>
          <cell r="L1104" t="str">
            <v>2/24/2025</v>
          </cell>
        </row>
        <row r="1105">
          <cell r="A1105" t="str">
            <v>AU23523</v>
          </cell>
          <cell r="B1105" t="str">
            <v>2/24/2003</v>
          </cell>
          <cell r="C1105" t="str">
            <v>VIC-TAS</v>
          </cell>
          <cell r="D1105" t="str">
            <v>Virtus Health</v>
          </cell>
          <cell r="E1105" t="str">
            <v>Registered Nurse</v>
          </cell>
          <cell r="F1105" t="str">
            <v>2/24/2025</v>
          </cell>
          <cell r="H1105" t="str">
            <v>MIVFN2023</v>
          </cell>
          <cell r="I1105" t="str">
            <v>VIC</v>
          </cell>
          <cell r="J1105" t="str">
            <v>Full Time</v>
          </cell>
          <cell r="K1105" t="str">
            <v>2/24/2025</v>
          </cell>
          <cell r="L1105" t="str">
            <v>2/24/2025</v>
          </cell>
        </row>
        <row r="1106">
          <cell r="A1106" t="str">
            <v>AU23524</v>
          </cell>
          <cell r="B1106" t="str">
            <v>3/19/2003</v>
          </cell>
          <cell r="C1106" t="str">
            <v>VIC-TAS</v>
          </cell>
          <cell r="D1106" t="str">
            <v>Virtus Health</v>
          </cell>
          <cell r="E1106" t="str">
            <v xml:space="preserve">Fertility Specialist </v>
          </cell>
          <cell r="F1106" t="str">
            <v>3/19/2025</v>
          </cell>
          <cell r="H1106" t="str">
            <v>VIC</v>
          </cell>
          <cell r="I1106" t="str">
            <v>VIC</v>
          </cell>
          <cell r="J1106" t="str">
            <v>Full Time</v>
          </cell>
          <cell r="K1106" t="str">
            <v>3/19/2025</v>
          </cell>
          <cell r="L1106" t="str">
            <v>3/19/2025</v>
          </cell>
        </row>
        <row r="1107">
          <cell r="A1107" t="str">
            <v>AU23525</v>
          </cell>
          <cell r="B1107" t="str">
            <v>2/24/2003</v>
          </cell>
          <cell r="C1107" t="str">
            <v>VIC-TAS</v>
          </cell>
          <cell r="D1107" t="str">
            <v>Virtus Health</v>
          </cell>
          <cell r="E1107" t="str">
            <v>Registered Nurse</v>
          </cell>
          <cell r="F1107" t="str">
            <v>2/24/2025</v>
          </cell>
          <cell r="H1107" t="str">
            <v>MIVFN2023</v>
          </cell>
          <cell r="I1107" t="str">
            <v>VIC</v>
          </cell>
          <cell r="J1107" t="str">
            <v>Part Time</v>
          </cell>
          <cell r="K1107" t="str">
            <v>2/24/2025</v>
          </cell>
          <cell r="L1107" t="str">
            <v>2/24/2025</v>
          </cell>
        </row>
        <row r="1108">
          <cell r="A1108" t="str">
            <v>AU23526</v>
          </cell>
          <cell r="B1108" t="str">
            <v>2/24/2003</v>
          </cell>
          <cell r="C1108" t="str">
            <v>VIC-TAS</v>
          </cell>
          <cell r="D1108" t="str">
            <v>Virtus Health</v>
          </cell>
          <cell r="E1108" t="str">
            <v>Registered Nurse</v>
          </cell>
          <cell r="F1108" t="str">
            <v>2/24/2025</v>
          </cell>
          <cell r="H1108" t="str">
            <v>MIVFN2023</v>
          </cell>
          <cell r="I1108" t="str">
            <v>VIC</v>
          </cell>
          <cell r="J1108" t="str">
            <v>Full Time</v>
          </cell>
          <cell r="K1108" t="str">
            <v>2/24/2025</v>
          </cell>
          <cell r="L1108" t="str">
            <v>2/24/2025</v>
          </cell>
        </row>
        <row r="1109">
          <cell r="A1109" t="str">
            <v>AU23528</v>
          </cell>
          <cell r="B1109">
            <v>37683</v>
          </cell>
          <cell r="C1109" t="str">
            <v>VIC-TAS</v>
          </cell>
          <cell r="D1109" t="str">
            <v>Virtus Health</v>
          </cell>
          <cell r="E1109" t="str">
            <v>Assistant in Nursing</v>
          </cell>
          <cell r="F1109">
            <v>45719</v>
          </cell>
          <cell r="H1109" t="str">
            <v>VIC</v>
          </cell>
          <cell r="I1109" t="str">
            <v>VIC</v>
          </cell>
          <cell r="J1109" t="str">
            <v>Casual</v>
          </cell>
          <cell r="K1109">
            <v>45719</v>
          </cell>
          <cell r="L1109">
            <v>45719</v>
          </cell>
        </row>
        <row r="1110">
          <cell r="A1110" t="str">
            <v>AU23529</v>
          </cell>
          <cell r="B1110" t="str">
            <v>2/24/2003</v>
          </cell>
          <cell r="C1110" t="str">
            <v>VIC-TAS</v>
          </cell>
          <cell r="D1110" t="str">
            <v>Virtus Health</v>
          </cell>
          <cell r="E1110" t="str">
            <v>Registered Nurse</v>
          </cell>
          <cell r="F1110" t="str">
            <v>2/24/2025</v>
          </cell>
          <cell r="H1110" t="str">
            <v>MIVFN2023</v>
          </cell>
          <cell r="I1110" t="str">
            <v>VIC</v>
          </cell>
          <cell r="J1110" t="str">
            <v>Casual</v>
          </cell>
          <cell r="K1110" t="str">
            <v>2/24/2025</v>
          </cell>
          <cell r="L1110" t="str">
            <v>2/24/2025</v>
          </cell>
        </row>
        <row r="1111">
          <cell r="A1111" t="str">
            <v>AU23531</v>
          </cell>
          <cell r="B1111" t="str">
            <v>2/24/2003</v>
          </cell>
          <cell r="C1111" t="str">
            <v>VIC-TAS</v>
          </cell>
          <cell r="D1111" t="str">
            <v>Virtus Health</v>
          </cell>
          <cell r="E1111" t="str">
            <v>Registered Nurse</v>
          </cell>
          <cell r="F1111" t="str">
            <v>2/24/2025</v>
          </cell>
          <cell r="H1111" t="str">
            <v>MIVFN2023</v>
          </cell>
          <cell r="I1111" t="str">
            <v>VIC</v>
          </cell>
          <cell r="J1111" t="str">
            <v>Full Time</v>
          </cell>
          <cell r="K1111" t="str">
            <v>2/24/2025</v>
          </cell>
          <cell r="L1111" t="str">
            <v>2/24/2025</v>
          </cell>
        </row>
        <row r="1112">
          <cell r="A1112" t="str">
            <v>AU23533</v>
          </cell>
          <cell r="B1112" t="str">
            <v>2/26/2003</v>
          </cell>
          <cell r="C1112" t="str">
            <v>VIC-TAS</v>
          </cell>
          <cell r="D1112" t="str">
            <v>Virtus Health</v>
          </cell>
          <cell r="E1112" t="str">
            <v>Registered Nurse</v>
          </cell>
          <cell r="F1112" t="str">
            <v>2/26/2025</v>
          </cell>
          <cell r="H1112" t="str">
            <v>MIVFN2023</v>
          </cell>
          <cell r="I1112" t="str">
            <v>VIC</v>
          </cell>
          <cell r="J1112" t="str">
            <v>Casual</v>
          </cell>
          <cell r="K1112" t="str">
            <v>2/26/2025</v>
          </cell>
          <cell r="L1112" t="str">
            <v>2/26/2025</v>
          </cell>
        </row>
        <row r="1113">
          <cell r="A1113" t="str">
            <v>AU23534</v>
          </cell>
          <cell r="B1113" t="str">
            <v>3/17/2003</v>
          </cell>
          <cell r="C1113" t="str">
            <v>VIC-TAS</v>
          </cell>
          <cell r="D1113" t="str">
            <v>Virtus Health</v>
          </cell>
          <cell r="E1113" t="str">
            <v>Clinical Embryologist</v>
          </cell>
          <cell r="F1113" t="str">
            <v>3/17/2025</v>
          </cell>
          <cell r="H1113" t="str">
            <v>MIVFS2022</v>
          </cell>
          <cell r="I1113" t="str">
            <v>VIC</v>
          </cell>
          <cell r="J1113" t="str">
            <v>Full Time</v>
          </cell>
          <cell r="K1113" t="str">
            <v>3/17/2025</v>
          </cell>
          <cell r="L1113" t="str">
            <v>3/17/2025</v>
          </cell>
        </row>
        <row r="1114">
          <cell r="A1114" t="str">
            <v>AU23537</v>
          </cell>
          <cell r="B1114">
            <v>37928</v>
          </cell>
          <cell r="C1114" t="str">
            <v>VIC-TAS</v>
          </cell>
          <cell r="D1114" t="str">
            <v>Virtus Health</v>
          </cell>
          <cell r="E1114" t="str">
            <v>Receptionist</v>
          </cell>
          <cell r="F1114">
            <v>45964</v>
          </cell>
          <cell r="H1114" t="str">
            <v>MIVFS2022</v>
          </cell>
          <cell r="I1114" t="str">
            <v>VIC</v>
          </cell>
          <cell r="J1114" t="str">
            <v>Full Time</v>
          </cell>
          <cell r="K1114">
            <v>45964</v>
          </cell>
          <cell r="L1114">
            <v>45964</v>
          </cell>
        </row>
        <row r="1115">
          <cell r="A1115" t="str">
            <v>AU23538</v>
          </cell>
          <cell r="B1115" t="str">
            <v>2/24/2003</v>
          </cell>
          <cell r="C1115" t="str">
            <v>VIC-TAS</v>
          </cell>
          <cell r="D1115" t="str">
            <v>Virtus Health</v>
          </cell>
          <cell r="E1115" t="str">
            <v>Registered Nurse</v>
          </cell>
          <cell r="F1115" t="str">
            <v>2/24/2025</v>
          </cell>
          <cell r="H1115" t="str">
            <v>MIVFN2023</v>
          </cell>
          <cell r="I1115" t="str">
            <v>VIC</v>
          </cell>
          <cell r="J1115" t="str">
            <v>Casual</v>
          </cell>
          <cell r="K1115" t="str">
            <v>2/24/2025</v>
          </cell>
          <cell r="L1115" t="str">
            <v>2/24/2025</v>
          </cell>
        </row>
        <row r="1116">
          <cell r="A1116" t="str">
            <v>AU23540</v>
          </cell>
          <cell r="B1116" t="str">
            <v>2/24/2003</v>
          </cell>
          <cell r="C1116" t="str">
            <v>NSW-QLD</v>
          </cell>
          <cell r="D1116" t="str">
            <v>Virtus Health</v>
          </cell>
          <cell r="E1116" t="str">
            <v>Assistant in Nursing</v>
          </cell>
          <cell r="F1116" t="str">
            <v>2/24/2025</v>
          </cell>
          <cell r="H1116" t="str">
            <v>QN2025</v>
          </cell>
          <cell r="I1116" t="str">
            <v>QLD</v>
          </cell>
          <cell r="J1116" t="str">
            <v>Casual</v>
          </cell>
          <cell r="K1116" t="str">
            <v>2/24/2025</v>
          </cell>
          <cell r="L1116" t="str">
            <v>2/24/2025</v>
          </cell>
        </row>
        <row r="1117">
          <cell r="A1117" t="str">
            <v>AU23542</v>
          </cell>
          <cell r="B1117" t="str">
            <v>2/24/2003</v>
          </cell>
          <cell r="C1117" t="str">
            <v>VIC-TAS</v>
          </cell>
          <cell r="D1117" t="str">
            <v>Virtus Health</v>
          </cell>
          <cell r="E1117" t="str">
            <v>Registered Nurse</v>
          </cell>
          <cell r="F1117" t="str">
            <v>2/24/2025</v>
          </cell>
          <cell r="H1117" t="str">
            <v>MIVFN2023</v>
          </cell>
          <cell r="I1117" t="str">
            <v>VIC</v>
          </cell>
          <cell r="J1117" t="str">
            <v>Full Time</v>
          </cell>
          <cell r="K1117" t="str">
            <v>2/24/2025</v>
          </cell>
          <cell r="L1117" t="str">
            <v>2/24/2025</v>
          </cell>
        </row>
        <row r="1118">
          <cell r="A1118" t="str">
            <v>AU23543</v>
          </cell>
          <cell r="B1118">
            <v>37897</v>
          </cell>
          <cell r="C1118" t="str">
            <v>NSW-QLD</v>
          </cell>
          <cell r="D1118" t="str">
            <v>Virtus Health</v>
          </cell>
          <cell r="E1118" t="str">
            <v>New Patient Care Consultant</v>
          </cell>
          <cell r="F1118">
            <v>45933</v>
          </cell>
          <cell r="H1118" t="str">
            <v>IVFS2023</v>
          </cell>
          <cell r="I1118" t="str">
            <v>NSW</v>
          </cell>
          <cell r="J1118" t="str">
            <v>Part Time</v>
          </cell>
          <cell r="K1118">
            <v>45933</v>
          </cell>
          <cell r="L1118">
            <v>45933</v>
          </cell>
        </row>
        <row r="1119">
          <cell r="A1119" t="str">
            <v>AU23544</v>
          </cell>
          <cell r="B1119">
            <v>37928</v>
          </cell>
          <cell r="C1119" t="str">
            <v>VIC-TAS</v>
          </cell>
          <cell r="D1119" t="str">
            <v>Virtus Health</v>
          </cell>
          <cell r="E1119" t="str">
            <v>Donor Administrator</v>
          </cell>
          <cell r="F1119">
            <v>45964</v>
          </cell>
          <cell r="H1119" t="str">
            <v>MIVFS2022</v>
          </cell>
          <cell r="I1119" t="str">
            <v>VIC</v>
          </cell>
          <cell r="J1119" t="str">
            <v>Full Time</v>
          </cell>
          <cell r="K1119">
            <v>45964</v>
          </cell>
          <cell r="L1119">
            <v>45964</v>
          </cell>
        </row>
        <row r="1120">
          <cell r="A1120" t="str">
            <v>AU23546</v>
          </cell>
          <cell r="B1120">
            <v>37897</v>
          </cell>
          <cell r="C1120" t="str">
            <v>NSW-QLD</v>
          </cell>
          <cell r="D1120" t="str">
            <v>Virtus Health</v>
          </cell>
          <cell r="E1120" t="str">
            <v>Nurse Coordinator</v>
          </cell>
          <cell r="F1120">
            <v>45933</v>
          </cell>
          <cell r="H1120" t="str">
            <v>IVFN2021</v>
          </cell>
          <cell r="I1120" t="str">
            <v>NSW</v>
          </cell>
          <cell r="J1120" t="str">
            <v>Full Time</v>
          </cell>
          <cell r="K1120">
            <v>45933</v>
          </cell>
          <cell r="L1120">
            <v>45933</v>
          </cell>
        </row>
        <row r="1121">
          <cell r="A1121" t="str">
            <v>AU23548</v>
          </cell>
          <cell r="B1121">
            <v>37683</v>
          </cell>
          <cell r="C1121" t="str">
            <v>NSW-QLD</v>
          </cell>
          <cell r="D1121" t="str">
            <v>Virtus Health</v>
          </cell>
          <cell r="E1121" t="str">
            <v>Administration Assistant</v>
          </cell>
          <cell r="F1121">
            <v>45719</v>
          </cell>
          <cell r="H1121" t="str">
            <v>IVFS2023</v>
          </cell>
          <cell r="I1121" t="str">
            <v>NSW</v>
          </cell>
          <cell r="J1121" t="str">
            <v>Casual</v>
          </cell>
          <cell r="K1121">
            <v>45719</v>
          </cell>
          <cell r="L1121">
            <v>45719</v>
          </cell>
        </row>
        <row r="1122">
          <cell r="A1122" t="str">
            <v>AU23549</v>
          </cell>
          <cell r="B1122">
            <v>37897</v>
          </cell>
          <cell r="C1122" t="str">
            <v>NSW-QLD</v>
          </cell>
          <cell r="D1122" t="str">
            <v>Virtus Health</v>
          </cell>
          <cell r="E1122" t="str">
            <v>HR Administration Support</v>
          </cell>
          <cell r="F1122">
            <v>45933</v>
          </cell>
          <cell r="H1122" t="str">
            <v>NSW</v>
          </cell>
          <cell r="I1122" t="str">
            <v>NSW</v>
          </cell>
          <cell r="J1122" t="str">
            <v>Casual</v>
          </cell>
          <cell r="K1122">
            <v>45933</v>
          </cell>
          <cell r="L1122">
            <v>45933</v>
          </cell>
        </row>
        <row r="1123">
          <cell r="A1123" t="str">
            <v>AU23551</v>
          </cell>
          <cell r="B1123">
            <v>37897</v>
          </cell>
          <cell r="C1123" t="str">
            <v>VIC-TAS</v>
          </cell>
          <cell r="D1123" t="str">
            <v>Virtus Health</v>
          </cell>
          <cell r="E1123" t="str">
            <v>Commercial Manager</v>
          </cell>
          <cell r="F1123">
            <v>45933</v>
          </cell>
          <cell r="H1123" t="str">
            <v>VIC</v>
          </cell>
          <cell r="I1123" t="str">
            <v>VIC</v>
          </cell>
          <cell r="J1123" t="str">
            <v>Full Time</v>
          </cell>
          <cell r="K1123">
            <v>45933</v>
          </cell>
          <cell r="L1123">
            <v>45933</v>
          </cell>
        </row>
        <row r="1124">
          <cell r="A1124" t="str">
            <v>AU23553</v>
          </cell>
          <cell r="B1124">
            <v>37806</v>
          </cell>
          <cell r="C1124" t="str">
            <v>NSW-QLD</v>
          </cell>
          <cell r="D1124" t="str">
            <v>Virtus Health</v>
          </cell>
          <cell r="E1124" t="str">
            <v>Registered Nurse</v>
          </cell>
          <cell r="F1124">
            <v>45842</v>
          </cell>
          <cell r="H1124" t="str">
            <v>QN2025</v>
          </cell>
          <cell r="I1124" t="str">
            <v>QLD</v>
          </cell>
          <cell r="J1124" t="str">
            <v>Part Time</v>
          </cell>
          <cell r="K1124">
            <v>45842</v>
          </cell>
          <cell r="L1124">
            <v>45842</v>
          </cell>
        </row>
        <row r="1125">
          <cell r="A1125" t="str">
            <v>AU23554</v>
          </cell>
          <cell r="B1125" t="str">
            <v>3/31/2003</v>
          </cell>
          <cell r="C1125" t="str">
            <v>VIC-TAS</v>
          </cell>
          <cell r="D1125" t="str">
            <v>Virtus Health</v>
          </cell>
          <cell r="E1125" t="str">
            <v>Clinical Embryologist</v>
          </cell>
          <cell r="F1125" t="str">
            <v>3/31/2025</v>
          </cell>
          <cell r="H1125" t="str">
            <v>MIVFS2022</v>
          </cell>
          <cell r="I1125" t="str">
            <v>VIC</v>
          </cell>
          <cell r="J1125" t="str">
            <v>Full Time</v>
          </cell>
          <cell r="K1125" t="str">
            <v>3/31/2025</v>
          </cell>
          <cell r="L1125" t="str">
            <v>3/31/2025</v>
          </cell>
        </row>
        <row r="1126">
          <cell r="A1126" t="str">
            <v>AU23555</v>
          </cell>
          <cell r="B1126" t="str">
            <v>4/23/2003</v>
          </cell>
          <cell r="C1126" t="str">
            <v>NSW-QLD</v>
          </cell>
          <cell r="D1126" t="str">
            <v>Virtus Health</v>
          </cell>
          <cell r="E1126" t="str">
            <v>Head of Digital Health Applications</v>
          </cell>
          <cell r="F1126" t="str">
            <v>4/23/2025</v>
          </cell>
          <cell r="H1126" t="str">
            <v>VIC</v>
          </cell>
          <cell r="I1126" t="str">
            <v>VIC</v>
          </cell>
          <cell r="J1126" t="str">
            <v>Full Time</v>
          </cell>
          <cell r="K1126" t="str">
            <v>4/23/2025</v>
          </cell>
          <cell r="L1126" t="str">
            <v>4/23/2025</v>
          </cell>
        </row>
        <row r="1127">
          <cell r="A1127" t="str">
            <v>AU23557</v>
          </cell>
          <cell r="B1127">
            <v>37656</v>
          </cell>
          <cell r="C1127" t="str">
            <v>VIC-TAS</v>
          </cell>
          <cell r="D1127" t="str">
            <v>Virtus Health</v>
          </cell>
          <cell r="E1127" t="str">
            <v>Counsellor</v>
          </cell>
          <cell r="F1127">
            <v>45692</v>
          </cell>
          <cell r="H1127" t="str">
            <v>MIVFC2021</v>
          </cell>
          <cell r="I1127" t="str">
            <v>VIC</v>
          </cell>
          <cell r="J1127" t="str">
            <v>Part Time</v>
          </cell>
          <cell r="K1127">
            <v>45692</v>
          </cell>
          <cell r="L1127">
            <v>45692</v>
          </cell>
        </row>
        <row r="1128">
          <cell r="A1128" t="str">
            <v>AU23559</v>
          </cell>
          <cell r="B1128" t="str">
            <v>3/17/2003</v>
          </cell>
          <cell r="C1128" t="str">
            <v>NSW-QLD</v>
          </cell>
          <cell r="D1128" t="str">
            <v>Virtus Health</v>
          </cell>
          <cell r="E1128" t="str">
            <v>Registered Nurse</v>
          </cell>
          <cell r="F1128" t="str">
            <v>3/17/2025</v>
          </cell>
          <cell r="H1128" t="str">
            <v>IVFN2021</v>
          </cell>
          <cell r="I1128" t="str">
            <v>NSW</v>
          </cell>
          <cell r="J1128" t="str">
            <v>Part Time</v>
          </cell>
          <cell r="K1128" t="str">
            <v>3/17/2025</v>
          </cell>
          <cell r="L1128" t="str">
            <v>3/17/2025</v>
          </cell>
        </row>
        <row r="1129">
          <cell r="A1129" t="str">
            <v>AU23560</v>
          </cell>
          <cell r="B1129" t="str">
            <v>3/24/2003</v>
          </cell>
          <cell r="C1129" t="str">
            <v>NSW-QLD</v>
          </cell>
          <cell r="D1129" t="str">
            <v>Virtus Health</v>
          </cell>
          <cell r="E1129" t="str">
            <v>Nurse Coordinator</v>
          </cell>
          <cell r="F1129" t="str">
            <v>3/24/2025</v>
          </cell>
          <cell r="H1129" t="str">
            <v>IVFN2021</v>
          </cell>
          <cell r="I1129" t="str">
            <v>NSW</v>
          </cell>
          <cell r="J1129" t="str">
            <v>Full Time</v>
          </cell>
          <cell r="K1129" t="str">
            <v>3/24/2025</v>
          </cell>
          <cell r="L1129" t="str">
            <v>3/24/2025</v>
          </cell>
        </row>
        <row r="1130">
          <cell r="A1130" t="str">
            <v>AU23561</v>
          </cell>
          <cell r="B1130" t="str">
            <v>3/17/2003</v>
          </cell>
          <cell r="C1130" t="str">
            <v>NSW-QLD</v>
          </cell>
          <cell r="D1130" t="str">
            <v>Virtus Health</v>
          </cell>
          <cell r="E1130" t="str">
            <v>Registered Nurse</v>
          </cell>
          <cell r="F1130" t="str">
            <v>3/17/2025</v>
          </cell>
          <cell r="H1130" t="str">
            <v>IVFN2021</v>
          </cell>
          <cell r="I1130" t="str">
            <v>NSW</v>
          </cell>
          <cell r="J1130" t="str">
            <v>Casual</v>
          </cell>
          <cell r="K1130" t="str">
            <v>3/17/2025</v>
          </cell>
          <cell r="L1130" t="str">
            <v>3/17/2025</v>
          </cell>
        </row>
        <row r="1131">
          <cell r="A1131" t="str">
            <v>AU23562</v>
          </cell>
          <cell r="B1131">
            <v>37897</v>
          </cell>
          <cell r="C1131" t="str">
            <v>NSW-QLD</v>
          </cell>
          <cell r="D1131" t="str">
            <v>Virtus Health</v>
          </cell>
          <cell r="E1131" t="str">
            <v>Medical Secretary</v>
          </cell>
          <cell r="F1131">
            <v>45933</v>
          </cell>
          <cell r="H1131" t="str">
            <v>IVFS2023</v>
          </cell>
          <cell r="I1131" t="str">
            <v>NSW</v>
          </cell>
          <cell r="J1131" t="str">
            <v>Full Time</v>
          </cell>
          <cell r="K1131">
            <v>45933</v>
          </cell>
          <cell r="L1131">
            <v>45933</v>
          </cell>
        </row>
        <row r="1132">
          <cell r="A1132" t="str">
            <v>AU23563</v>
          </cell>
          <cell r="B1132" t="str">
            <v>3/17/2003</v>
          </cell>
          <cell r="C1132" t="str">
            <v>VIC-TAS</v>
          </cell>
          <cell r="D1132" t="str">
            <v>Virtus Health</v>
          </cell>
          <cell r="E1132" t="str">
            <v>Receptionist</v>
          </cell>
          <cell r="F1132" t="str">
            <v>3/17/2025</v>
          </cell>
          <cell r="H1132" t="str">
            <v>MIVFS2022</v>
          </cell>
          <cell r="I1132" t="str">
            <v>VIC</v>
          </cell>
          <cell r="J1132" t="str">
            <v>Full Time</v>
          </cell>
          <cell r="K1132" t="str">
            <v>3/17/2025</v>
          </cell>
          <cell r="L1132" t="str">
            <v>3/17/2025</v>
          </cell>
        </row>
        <row r="1133">
          <cell r="A1133" t="str">
            <v>AU23564</v>
          </cell>
          <cell r="B1133">
            <v>37897</v>
          </cell>
          <cell r="C1133" t="str">
            <v>NSW-QLD</v>
          </cell>
          <cell r="D1133" t="str">
            <v>Virtus Health</v>
          </cell>
          <cell r="E1133" t="str">
            <v>Nurse Coordinator</v>
          </cell>
          <cell r="F1133">
            <v>45933</v>
          </cell>
          <cell r="H1133" t="str">
            <v>IVFN2021</v>
          </cell>
          <cell r="I1133" t="str">
            <v>NSW</v>
          </cell>
          <cell r="J1133" t="str">
            <v>Full Time</v>
          </cell>
          <cell r="K1133">
            <v>45933</v>
          </cell>
          <cell r="L1133">
            <v>45933</v>
          </cell>
        </row>
        <row r="1134">
          <cell r="A1134" t="str">
            <v>AU23565</v>
          </cell>
          <cell r="B1134" t="str">
            <v>3/31/2003</v>
          </cell>
          <cell r="C1134" t="str">
            <v>NSW-QLD</v>
          </cell>
          <cell r="D1134" t="str">
            <v>Virtus Health</v>
          </cell>
          <cell r="E1134" t="str">
            <v>Registered Nurse</v>
          </cell>
          <cell r="F1134" t="str">
            <v>3/31/2025</v>
          </cell>
          <cell r="H1134" t="str">
            <v>QN2025</v>
          </cell>
          <cell r="I1134" t="str">
            <v>QLD</v>
          </cell>
          <cell r="J1134" t="str">
            <v>Part Time</v>
          </cell>
          <cell r="K1134" t="str">
            <v>3/31/2025</v>
          </cell>
          <cell r="L1134" t="str">
            <v>3/31/2025</v>
          </cell>
        </row>
        <row r="1135">
          <cell r="A1135" t="str">
            <v>AU23566</v>
          </cell>
          <cell r="B1135" t="str">
            <v>4/14/2003</v>
          </cell>
          <cell r="C1135" t="str">
            <v>NSW-QLD</v>
          </cell>
          <cell r="D1135" t="str">
            <v>Virtus Health</v>
          </cell>
          <cell r="E1135" t="str">
            <v>Registered Nurse</v>
          </cell>
          <cell r="F1135" t="str">
            <v>4/14/2025</v>
          </cell>
          <cell r="H1135" t="str">
            <v>QN2025</v>
          </cell>
          <cell r="I1135" t="str">
            <v>QLD</v>
          </cell>
          <cell r="J1135" t="str">
            <v>Part Time</v>
          </cell>
          <cell r="K1135" t="str">
            <v>4/14/2025</v>
          </cell>
          <cell r="L1135" t="str">
            <v>4/14/2025</v>
          </cell>
        </row>
        <row r="1136">
          <cell r="A1136" t="str">
            <v>AU23568</v>
          </cell>
          <cell r="B1136" t="str">
            <v>4/14/2003</v>
          </cell>
          <cell r="C1136" t="str">
            <v>VIC-TAS</v>
          </cell>
          <cell r="D1136" t="str">
            <v>Virtus Health</v>
          </cell>
          <cell r="E1136" t="str">
            <v>Counsellor</v>
          </cell>
          <cell r="F1136" t="str">
            <v>4/14/2025</v>
          </cell>
          <cell r="H1136" t="str">
            <v>MIVFC2021</v>
          </cell>
          <cell r="I1136" t="str">
            <v>TAS</v>
          </cell>
          <cell r="J1136" t="str">
            <v>Part Time</v>
          </cell>
          <cell r="K1136" t="str">
            <v>4/14/2025</v>
          </cell>
          <cell r="L1136" t="str">
            <v>4/14/2025</v>
          </cell>
        </row>
        <row r="1137">
          <cell r="A1137" t="str">
            <v>AU23570</v>
          </cell>
          <cell r="B1137" t="str">
            <v>3/24/2003</v>
          </cell>
          <cell r="C1137" t="str">
            <v>NSW-QLD</v>
          </cell>
          <cell r="D1137" t="str">
            <v>Virtus Health</v>
          </cell>
          <cell r="E1137" t="str">
            <v>Enrolled Nurse</v>
          </cell>
          <cell r="F1137" t="str">
            <v>3/24/2025</v>
          </cell>
          <cell r="H1137" t="str">
            <v>QN2025</v>
          </cell>
          <cell r="I1137" t="str">
            <v>QLD</v>
          </cell>
          <cell r="J1137" t="str">
            <v>Casual</v>
          </cell>
          <cell r="K1137" t="str">
            <v>3/24/2025</v>
          </cell>
          <cell r="L1137" t="str">
            <v>3/24/2025</v>
          </cell>
        </row>
        <row r="1138">
          <cell r="A1138" t="str">
            <v>AU23571</v>
          </cell>
          <cell r="B1138" t="str">
            <v>3/24/2003</v>
          </cell>
          <cell r="C1138" t="str">
            <v>NSW-QLD</v>
          </cell>
          <cell r="D1138" t="str">
            <v>Virtus Health</v>
          </cell>
          <cell r="E1138" t="str">
            <v>Genetics Scientist</v>
          </cell>
          <cell r="F1138" t="str">
            <v>3/24/2025</v>
          </cell>
          <cell r="H1138" t="str">
            <v>QS2024</v>
          </cell>
          <cell r="I1138" t="str">
            <v>QLD</v>
          </cell>
          <cell r="J1138" t="str">
            <v>Part Time</v>
          </cell>
          <cell r="K1138" t="str">
            <v>3/24/2025</v>
          </cell>
          <cell r="L1138" t="str">
            <v>3/24/2025</v>
          </cell>
        </row>
        <row r="1139">
          <cell r="A1139" t="str">
            <v>AU23572</v>
          </cell>
          <cell r="B1139" t="str">
            <v>2/17/2003</v>
          </cell>
          <cell r="C1139" t="str">
            <v>VIC-TAS</v>
          </cell>
          <cell r="D1139" t="str">
            <v>Virtus Health</v>
          </cell>
          <cell r="E1139" t="str">
            <v>Managing Director VIC TAS</v>
          </cell>
          <cell r="F1139" t="str">
            <v>2/17/2025</v>
          </cell>
          <cell r="H1139" t="str">
            <v>VIC</v>
          </cell>
          <cell r="I1139" t="str">
            <v>VIC</v>
          </cell>
          <cell r="J1139" t="str">
            <v>Full Time</v>
          </cell>
          <cell r="K1139" t="str">
            <v>2/17/2025</v>
          </cell>
          <cell r="L1139" t="str">
            <v>2/17/2025</v>
          </cell>
        </row>
        <row r="1140">
          <cell r="A1140" t="str">
            <v>AU23573</v>
          </cell>
          <cell r="B1140" t="str">
            <v>3/17/2003</v>
          </cell>
          <cell r="C1140" t="str">
            <v>NSW-QLD</v>
          </cell>
          <cell r="D1140" t="str">
            <v>Virtus Health</v>
          </cell>
          <cell r="E1140" t="str">
            <v>Registered Nurse</v>
          </cell>
          <cell r="F1140" t="str">
            <v>3/17/2025</v>
          </cell>
          <cell r="H1140" t="str">
            <v>QN2025</v>
          </cell>
          <cell r="I1140" t="str">
            <v>QLD</v>
          </cell>
          <cell r="J1140" t="str">
            <v>Casual</v>
          </cell>
          <cell r="K1140" t="str">
            <v>3/17/2025</v>
          </cell>
          <cell r="L1140" t="str">
            <v>3/17/2025</v>
          </cell>
        </row>
        <row r="1141">
          <cell r="A1141" t="str">
            <v>AU23574</v>
          </cell>
          <cell r="B1141" t="str">
            <v>3/14/2003</v>
          </cell>
          <cell r="C1141" t="str">
            <v>NSW-QLD</v>
          </cell>
          <cell r="D1141" t="str">
            <v>Virtus Health</v>
          </cell>
          <cell r="E1141" t="str">
            <v>Assistant in Nursing</v>
          </cell>
          <cell r="F1141" t="str">
            <v>3/14/2025</v>
          </cell>
          <cell r="H1141" t="str">
            <v>QN2025</v>
          </cell>
          <cell r="I1141" t="str">
            <v>QLD</v>
          </cell>
          <cell r="J1141" t="str">
            <v>Casual</v>
          </cell>
          <cell r="K1141" t="str">
            <v>3/14/2025</v>
          </cell>
          <cell r="L1141" t="str">
            <v>3/14/2025</v>
          </cell>
        </row>
        <row r="1142">
          <cell r="A1142" t="str">
            <v>AU23575</v>
          </cell>
          <cell r="B1142">
            <v>37928</v>
          </cell>
          <cell r="C1142" t="str">
            <v>NSW-QLD</v>
          </cell>
          <cell r="D1142" t="str">
            <v>Virtus Health</v>
          </cell>
          <cell r="E1142" t="str">
            <v>Nurse Coordinator</v>
          </cell>
          <cell r="F1142">
            <v>45964</v>
          </cell>
          <cell r="H1142" t="str">
            <v>IVFN2021</v>
          </cell>
          <cell r="I1142" t="str">
            <v>NSW</v>
          </cell>
          <cell r="J1142" t="str">
            <v>Full Time</v>
          </cell>
          <cell r="K1142">
            <v>45964</v>
          </cell>
          <cell r="L1142">
            <v>45964</v>
          </cell>
        </row>
        <row r="1143">
          <cell r="A1143" t="str">
            <v>AU23577</v>
          </cell>
          <cell r="B1143" t="str">
            <v>3/26/2003</v>
          </cell>
          <cell r="C1143" t="str">
            <v>NSW-QLD</v>
          </cell>
          <cell r="D1143" t="str">
            <v>Virtus Health</v>
          </cell>
          <cell r="E1143" t="str">
            <v>P2P Process Improvement Lead</v>
          </cell>
          <cell r="F1143" t="str">
            <v>3/26/2025</v>
          </cell>
          <cell r="H1143" t="str">
            <v>NSW</v>
          </cell>
          <cell r="I1143" t="str">
            <v>NSW</v>
          </cell>
          <cell r="J1143" t="str">
            <v>Part Time</v>
          </cell>
          <cell r="K1143" t="str">
            <v>3/26/2025</v>
          </cell>
          <cell r="L1143" t="str">
            <v>3/26/2025</v>
          </cell>
        </row>
        <row r="1144">
          <cell r="A1144" t="str">
            <v>AU23578</v>
          </cell>
          <cell r="B1144" t="str">
            <v>4/14/2003</v>
          </cell>
          <cell r="C1144" t="str">
            <v>NSW-QLD</v>
          </cell>
          <cell r="D1144" t="str">
            <v>Virtus Health</v>
          </cell>
          <cell r="E1144" t="str">
            <v>Receptionist</v>
          </cell>
          <cell r="F1144" t="str">
            <v>4/14/2025</v>
          </cell>
          <cell r="H1144" t="str">
            <v>IVFS2023</v>
          </cell>
          <cell r="I1144" t="str">
            <v>QLD</v>
          </cell>
          <cell r="J1144" t="str">
            <v>Part Time</v>
          </cell>
          <cell r="K1144" t="str">
            <v>4/14/2025</v>
          </cell>
          <cell r="L1144" t="str">
            <v>4/14/2025</v>
          </cell>
        </row>
        <row r="1145">
          <cell r="A1145" t="str">
            <v>AU23580</v>
          </cell>
          <cell r="B1145" t="str">
            <v>3/31/2003</v>
          </cell>
          <cell r="C1145" t="str">
            <v>VIC-TAS</v>
          </cell>
          <cell r="D1145" t="str">
            <v>Virtus Health</v>
          </cell>
          <cell r="E1145" t="str">
            <v>Registered Nurse</v>
          </cell>
          <cell r="F1145" t="str">
            <v>3/31/2025</v>
          </cell>
          <cell r="H1145" t="str">
            <v>MIVFN2023</v>
          </cell>
          <cell r="I1145" t="str">
            <v>VIC</v>
          </cell>
          <cell r="J1145" t="str">
            <v>Part Time</v>
          </cell>
          <cell r="K1145" t="str">
            <v>3/31/2025</v>
          </cell>
          <cell r="L1145" t="str">
            <v>3/31/2025</v>
          </cell>
        </row>
        <row r="1146">
          <cell r="A1146" t="str">
            <v>AU23581</v>
          </cell>
          <cell r="B1146" t="str">
            <v>3/24/2003</v>
          </cell>
          <cell r="C1146" t="str">
            <v>NSW-QLD</v>
          </cell>
          <cell r="D1146" t="str">
            <v>Virtus Health</v>
          </cell>
          <cell r="E1146" t="str">
            <v>Administration</v>
          </cell>
          <cell r="F1146" t="str">
            <v>3/24/2025</v>
          </cell>
          <cell r="H1146" t="str">
            <v>IVFS2023</v>
          </cell>
          <cell r="I1146" t="str">
            <v>QLD</v>
          </cell>
          <cell r="J1146" t="str">
            <v>Full Time</v>
          </cell>
          <cell r="K1146" t="str">
            <v>3/24/2025</v>
          </cell>
          <cell r="L1146" t="str">
            <v>3/24/2025</v>
          </cell>
        </row>
        <row r="1147">
          <cell r="A1147" t="str">
            <v>AU23582</v>
          </cell>
          <cell r="B1147" t="str">
            <v>3/24/2003</v>
          </cell>
          <cell r="C1147" t="str">
            <v>VIC-TAS</v>
          </cell>
          <cell r="D1147" t="str">
            <v>Virtus Health</v>
          </cell>
          <cell r="E1147" t="str">
            <v>Patient Care Co-ordinator</v>
          </cell>
          <cell r="F1147" t="str">
            <v>3/24/2025</v>
          </cell>
          <cell r="H1147" t="str">
            <v>MIVFS2022</v>
          </cell>
          <cell r="I1147" t="str">
            <v>VIC</v>
          </cell>
          <cell r="J1147" t="str">
            <v>Full Time</v>
          </cell>
          <cell r="K1147" t="str">
            <v>3/24/2025</v>
          </cell>
          <cell r="L1147" t="str">
            <v>3/24/2025</v>
          </cell>
        </row>
        <row r="1148">
          <cell r="A1148" t="str">
            <v>AU23583</v>
          </cell>
          <cell r="B1148">
            <v>37806</v>
          </cell>
          <cell r="C1148" t="str">
            <v>NSW-QLD</v>
          </cell>
          <cell r="D1148" t="str">
            <v>Virtus Health</v>
          </cell>
          <cell r="E1148" t="str">
            <v>Clinical Nurse Specialist</v>
          </cell>
          <cell r="F1148">
            <v>45842</v>
          </cell>
          <cell r="H1148" t="str">
            <v>QN2025</v>
          </cell>
          <cell r="I1148" t="str">
            <v>QLD</v>
          </cell>
          <cell r="J1148" t="str">
            <v>Part Time</v>
          </cell>
          <cell r="K1148">
            <v>45842</v>
          </cell>
          <cell r="L1148">
            <v>45842</v>
          </cell>
        </row>
        <row r="1149">
          <cell r="A1149" t="str">
            <v>AU23585</v>
          </cell>
          <cell r="B1149" t="str">
            <v>4/29/2003</v>
          </cell>
          <cell r="C1149" t="str">
            <v>NSW-QLD</v>
          </cell>
          <cell r="D1149" t="str">
            <v>Virtus Health</v>
          </cell>
          <cell r="E1149" t="str">
            <v>Analytics and Insight Manager</v>
          </cell>
          <cell r="F1149" t="str">
            <v>4/29/2025</v>
          </cell>
          <cell r="H1149" t="str">
            <v>NSW</v>
          </cell>
          <cell r="I1149" t="str">
            <v>NSW</v>
          </cell>
          <cell r="J1149" t="str">
            <v>Full Time</v>
          </cell>
          <cell r="K1149" t="str">
            <v>4/29/2025</v>
          </cell>
          <cell r="L1149" t="str">
            <v>4/29/2025</v>
          </cell>
        </row>
        <row r="1150">
          <cell r="A1150" t="str">
            <v>AU23586</v>
          </cell>
          <cell r="B1150">
            <v>37806</v>
          </cell>
          <cell r="C1150" t="str">
            <v>NSW-QLD</v>
          </cell>
          <cell r="D1150" t="str">
            <v>Virtus Health</v>
          </cell>
          <cell r="E1150" t="str">
            <v>Registered Nurse</v>
          </cell>
          <cell r="F1150">
            <v>45842</v>
          </cell>
          <cell r="H1150" t="str">
            <v>QN2025</v>
          </cell>
          <cell r="I1150" t="str">
            <v>QLD</v>
          </cell>
          <cell r="J1150" t="str">
            <v>Part Time</v>
          </cell>
          <cell r="K1150">
            <v>45842</v>
          </cell>
          <cell r="L1150">
            <v>45842</v>
          </cell>
        </row>
        <row r="1151">
          <cell r="A1151" t="str">
            <v>AU23588</v>
          </cell>
          <cell r="B1151" t="str">
            <v>3/24/2003</v>
          </cell>
          <cell r="C1151" t="str">
            <v>VIC-TAS</v>
          </cell>
          <cell r="D1151" t="str">
            <v>Virtus Health</v>
          </cell>
          <cell r="E1151" t="str">
            <v>Phlebotomist</v>
          </cell>
          <cell r="F1151" t="str">
            <v>3/24/2025</v>
          </cell>
          <cell r="H1151" t="str">
            <v>IVFS2023</v>
          </cell>
          <cell r="I1151" t="str">
            <v>VIC</v>
          </cell>
          <cell r="J1151" t="str">
            <v>Casual</v>
          </cell>
          <cell r="K1151" t="str">
            <v>3/24/2025</v>
          </cell>
          <cell r="L1151" t="str">
            <v>3/24/2025</v>
          </cell>
        </row>
        <row r="1152">
          <cell r="A1152" t="str">
            <v>AU23589</v>
          </cell>
          <cell r="B1152">
            <v>37745</v>
          </cell>
          <cell r="C1152" t="str">
            <v>NSW-QLD</v>
          </cell>
          <cell r="D1152" t="str">
            <v>Virtus Health</v>
          </cell>
          <cell r="E1152" t="str">
            <v>Reception</v>
          </cell>
          <cell r="F1152">
            <v>45781</v>
          </cell>
          <cell r="H1152" t="str">
            <v>IVFS2023</v>
          </cell>
          <cell r="I1152" t="str">
            <v>NSW</v>
          </cell>
          <cell r="J1152" t="str">
            <v>Casual</v>
          </cell>
          <cell r="K1152">
            <v>45781</v>
          </cell>
          <cell r="L1152">
            <v>45781</v>
          </cell>
        </row>
        <row r="1153">
          <cell r="A1153" t="str">
            <v>AU23590</v>
          </cell>
          <cell r="B1153">
            <v>37746</v>
          </cell>
          <cell r="C1153" t="str">
            <v>NSW-QLD</v>
          </cell>
          <cell r="D1153" t="str">
            <v>Virtus Health</v>
          </cell>
          <cell r="E1153" t="str">
            <v xml:space="preserve"> Embryologist</v>
          </cell>
          <cell r="F1153">
            <v>45782</v>
          </cell>
          <cell r="H1153" t="str">
            <v>IVFT2024</v>
          </cell>
          <cell r="I1153" t="str">
            <v>NSW</v>
          </cell>
          <cell r="J1153" t="str">
            <v>Full Time</v>
          </cell>
          <cell r="K1153">
            <v>45782</v>
          </cell>
          <cell r="L1153">
            <v>45782</v>
          </cell>
        </row>
        <row r="1154">
          <cell r="A1154" t="str">
            <v>AU23591</v>
          </cell>
          <cell r="B1154" t="str">
            <v>3/31/2003</v>
          </cell>
          <cell r="C1154" t="str">
            <v>VIC-TAS</v>
          </cell>
          <cell r="D1154" t="str">
            <v>Virtus Health</v>
          </cell>
          <cell r="E1154" t="str">
            <v>Registered Nurse</v>
          </cell>
          <cell r="F1154" t="str">
            <v>3/31/2025</v>
          </cell>
          <cell r="H1154" t="str">
            <v>MIVFN2023</v>
          </cell>
          <cell r="I1154" t="str">
            <v>VIC</v>
          </cell>
          <cell r="J1154" t="str">
            <v>Full Time</v>
          </cell>
          <cell r="K1154" t="str">
            <v>3/31/2025</v>
          </cell>
          <cell r="L1154" t="str">
            <v>3/31/2025</v>
          </cell>
        </row>
        <row r="1155">
          <cell r="A1155" t="str">
            <v>AU23592</v>
          </cell>
          <cell r="B1155">
            <v>37806</v>
          </cell>
          <cell r="C1155" t="str">
            <v>NSW-QLD</v>
          </cell>
          <cell r="D1155" t="str">
            <v>Virtus Health</v>
          </cell>
          <cell r="E1155" t="str">
            <v>Theatre Orderly</v>
          </cell>
          <cell r="F1155">
            <v>45842</v>
          </cell>
          <cell r="H1155" t="str">
            <v>IVFS2023</v>
          </cell>
          <cell r="I1155" t="str">
            <v>QLD</v>
          </cell>
          <cell r="J1155" t="str">
            <v>Casual</v>
          </cell>
          <cell r="K1155">
            <v>45842</v>
          </cell>
          <cell r="L1155">
            <v>45842</v>
          </cell>
        </row>
        <row r="1156">
          <cell r="A1156" t="str">
            <v>AU23593</v>
          </cell>
          <cell r="B1156">
            <v>37806</v>
          </cell>
          <cell r="C1156" t="str">
            <v>NSW-QLD</v>
          </cell>
          <cell r="D1156" t="str">
            <v>Virtus Health</v>
          </cell>
          <cell r="E1156" t="str">
            <v>Registered Nurse</v>
          </cell>
          <cell r="F1156">
            <v>45842</v>
          </cell>
          <cell r="H1156" t="str">
            <v>QN2025</v>
          </cell>
          <cell r="I1156" t="str">
            <v>QLD</v>
          </cell>
          <cell r="J1156" t="str">
            <v>Casual</v>
          </cell>
          <cell r="K1156">
            <v>45842</v>
          </cell>
          <cell r="L1156">
            <v>45842</v>
          </cell>
        </row>
        <row r="1157">
          <cell r="A1157" t="str">
            <v>AU23594</v>
          </cell>
          <cell r="B1157">
            <v>37837</v>
          </cell>
          <cell r="C1157" t="str">
            <v>NSW-QLD</v>
          </cell>
          <cell r="D1157" t="str">
            <v>Virtus Health</v>
          </cell>
          <cell r="E1157" t="str">
            <v>Assistant in Nursing</v>
          </cell>
          <cell r="F1157">
            <v>45873</v>
          </cell>
          <cell r="H1157" t="str">
            <v>IVFN2021</v>
          </cell>
          <cell r="I1157" t="str">
            <v>NSW</v>
          </cell>
          <cell r="J1157" t="str">
            <v>Full Time</v>
          </cell>
          <cell r="K1157">
            <v>45873</v>
          </cell>
          <cell r="L1157">
            <v>45873</v>
          </cell>
        </row>
        <row r="1158">
          <cell r="A1158" t="str">
            <v>AU23595</v>
          </cell>
          <cell r="B1158" t="str">
            <v>3/24/2003</v>
          </cell>
          <cell r="C1158" t="str">
            <v>VIC-TAS</v>
          </cell>
          <cell r="D1158" t="str">
            <v>Virtus Health</v>
          </cell>
          <cell r="E1158" t="str">
            <v>Phlebotomist</v>
          </cell>
          <cell r="F1158" t="str">
            <v>3/24/2025</v>
          </cell>
          <cell r="H1158" t="str">
            <v>IVFS2023</v>
          </cell>
          <cell r="I1158" t="str">
            <v>VIC</v>
          </cell>
          <cell r="J1158" t="str">
            <v>Casual</v>
          </cell>
          <cell r="K1158" t="str">
            <v>3/24/2025</v>
          </cell>
          <cell r="L1158" t="str">
            <v>3/24/2025</v>
          </cell>
        </row>
        <row r="1159">
          <cell r="A1159" t="str">
            <v>AU23596</v>
          </cell>
          <cell r="B1159">
            <v>37806</v>
          </cell>
          <cell r="C1159" t="str">
            <v>VIC-TAS</v>
          </cell>
          <cell r="D1159" t="str">
            <v>Virtus Health</v>
          </cell>
          <cell r="E1159" t="str">
            <v>Registered Nurse</v>
          </cell>
          <cell r="F1159">
            <v>45842</v>
          </cell>
          <cell r="H1159" t="str">
            <v>MIVFN2023</v>
          </cell>
          <cell r="I1159" t="str">
            <v>VIC</v>
          </cell>
          <cell r="J1159" t="str">
            <v>Full Time</v>
          </cell>
          <cell r="K1159">
            <v>45842</v>
          </cell>
          <cell r="L1159">
            <v>45842</v>
          </cell>
        </row>
        <row r="1160">
          <cell r="A1160" t="str">
            <v>AU23597</v>
          </cell>
          <cell r="B1160">
            <v>37806</v>
          </cell>
          <cell r="C1160" t="str">
            <v>NSW-QLD</v>
          </cell>
          <cell r="D1160" t="str">
            <v>Virtus Health</v>
          </cell>
          <cell r="E1160" t="str">
            <v>Genetic Scientist</v>
          </cell>
          <cell r="F1160">
            <v>45842</v>
          </cell>
          <cell r="H1160" t="str">
            <v>QS2024</v>
          </cell>
          <cell r="I1160" t="str">
            <v>QLD</v>
          </cell>
          <cell r="J1160" t="str">
            <v>Casual</v>
          </cell>
          <cell r="K1160">
            <v>45842</v>
          </cell>
          <cell r="L1160">
            <v>45842</v>
          </cell>
        </row>
        <row r="1161">
          <cell r="A1161" t="str">
            <v>AU23598</v>
          </cell>
          <cell r="B1161">
            <v>37960</v>
          </cell>
          <cell r="C1161" t="str">
            <v>NSW-QLD</v>
          </cell>
          <cell r="D1161" t="str">
            <v>Virtus Health</v>
          </cell>
          <cell r="E1161" t="str">
            <v>Andrologist</v>
          </cell>
          <cell r="F1161">
            <v>45996</v>
          </cell>
          <cell r="H1161" t="str">
            <v>IVFT2024</v>
          </cell>
          <cell r="I1161" t="str">
            <v>NSW</v>
          </cell>
          <cell r="J1161" t="str">
            <v>Full Time</v>
          </cell>
          <cell r="K1161">
            <v>45996</v>
          </cell>
          <cell r="L1161">
            <v>45996</v>
          </cell>
        </row>
        <row r="1162">
          <cell r="A1162" t="str">
            <v>AU23599</v>
          </cell>
          <cell r="B1162" t="str">
            <v>4/14/2003</v>
          </cell>
          <cell r="C1162" t="str">
            <v>NSW-QLD</v>
          </cell>
          <cell r="D1162" t="str">
            <v>Virtus Health</v>
          </cell>
          <cell r="E1162" t="str">
            <v>Scientific Officer</v>
          </cell>
          <cell r="F1162" t="str">
            <v>4/14/2025</v>
          </cell>
          <cell r="H1162" t="str">
            <v>IVFT2024</v>
          </cell>
          <cell r="I1162" t="str">
            <v>NSW</v>
          </cell>
          <cell r="J1162" t="str">
            <v>Full Time</v>
          </cell>
          <cell r="K1162" t="str">
            <v>4/14/2025</v>
          </cell>
          <cell r="L1162" t="str">
            <v>4/14/2025</v>
          </cell>
        </row>
        <row r="1163">
          <cell r="A1163" t="str">
            <v>AU23600</v>
          </cell>
          <cell r="B1163" t="str">
            <v>4/21/2003</v>
          </cell>
          <cell r="C1163" t="str">
            <v>NSW-QLD</v>
          </cell>
          <cell r="D1163" t="str">
            <v>Virtus Health</v>
          </cell>
          <cell r="E1163" t="str">
            <v>Embryologist</v>
          </cell>
          <cell r="F1163" t="str">
            <v>4/21/2025</v>
          </cell>
          <cell r="H1163" t="str">
            <v>IVFT2024</v>
          </cell>
          <cell r="I1163" t="str">
            <v>NSW</v>
          </cell>
          <cell r="J1163" t="str">
            <v>Full Time</v>
          </cell>
          <cell r="K1163" t="str">
            <v>4/21/2025</v>
          </cell>
          <cell r="L1163" t="str">
            <v>4/21/2025</v>
          </cell>
        </row>
        <row r="1164">
          <cell r="A1164" t="str">
            <v>AU23602</v>
          </cell>
          <cell r="B1164" t="str">
            <v>4/14/2003</v>
          </cell>
          <cell r="C1164" t="str">
            <v>NSW-QLD</v>
          </cell>
          <cell r="D1164" t="str">
            <v>Virtus Health</v>
          </cell>
          <cell r="E1164" t="str">
            <v>Senior People and Culture Business Partner</v>
          </cell>
          <cell r="F1164" t="str">
            <v>4/14/2025</v>
          </cell>
          <cell r="H1164" t="str">
            <v>NSW</v>
          </cell>
          <cell r="I1164" t="str">
            <v>NSW</v>
          </cell>
          <cell r="J1164" t="str">
            <v>Full Time</v>
          </cell>
          <cell r="K1164" t="str">
            <v>4/14/2025</v>
          </cell>
          <cell r="L1164" t="str">
            <v>4/14/2025</v>
          </cell>
        </row>
        <row r="1165">
          <cell r="A1165" t="str">
            <v>AU23604</v>
          </cell>
          <cell r="B1165">
            <v>37929</v>
          </cell>
          <cell r="C1165" t="str">
            <v>NSW-QLD</v>
          </cell>
          <cell r="D1165" t="str">
            <v>Virtus Health</v>
          </cell>
          <cell r="E1165" t="str">
            <v>CSSD Tech</v>
          </cell>
          <cell r="F1165">
            <v>45965</v>
          </cell>
          <cell r="H1165" t="str">
            <v>IVFS2023</v>
          </cell>
          <cell r="I1165" t="str">
            <v>QLD</v>
          </cell>
          <cell r="J1165" t="str">
            <v>Part Time</v>
          </cell>
          <cell r="K1165">
            <v>45965</v>
          </cell>
          <cell r="L1165">
            <v>45965</v>
          </cell>
        </row>
        <row r="1166">
          <cell r="A1166" t="str">
            <v>AU23606</v>
          </cell>
          <cell r="B1166" t="str">
            <v>4/14/2003</v>
          </cell>
          <cell r="C1166" t="str">
            <v>NSW-QLD</v>
          </cell>
          <cell r="D1166" t="str">
            <v>Virtus Health</v>
          </cell>
          <cell r="E1166" t="str">
            <v>Theatre Orderly</v>
          </cell>
          <cell r="F1166" t="str">
            <v>4/14/2025</v>
          </cell>
          <cell r="H1166" t="str">
            <v>IVFS2023</v>
          </cell>
          <cell r="I1166" t="str">
            <v>NSW</v>
          </cell>
          <cell r="J1166" t="str">
            <v>Casual</v>
          </cell>
          <cell r="K1166" t="str">
            <v>4/14/2025</v>
          </cell>
          <cell r="L1166" t="str">
            <v>4/14/2025</v>
          </cell>
        </row>
        <row r="1167">
          <cell r="A1167" t="str">
            <v>AU23607</v>
          </cell>
          <cell r="B1167">
            <v>37746</v>
          </cell>
          <cell r="C1167" t="str">
            <v>NSW-QLD</v>
          </cell>
          <cell r="D1167" t="str">
            <v>Virtus Health</v>
          </cell>
          <cell r="E1167" t="str">
            <v>Registered Nurse</v>
          </cell>
          <cell r="F1167">
            <v>45782</v>
          </cell>
          <cell r="H1167" t="str">
            <v>IVFN2021</v>
          </cell>
          <cell r="I1167" t="str">
            <v>ACT</v>
          </cell>
          <cell r="J1167" t="str">
            <v>Casual</v>
          </cell>
          <cell r="K1167">
            <v>45782</v>
          </cell>
          <cell r="L1167">
            <v>45782</v>
          </cell>
        </row>
        <row r="1168">
          <cell r="A1168" t="str">
            <v>AU23608</v>
          </cell>
          <cell r="B1168">
            <v>37806</v>
          </cell>
          <cell r="C1168" t="str">
            <v>NSW-QLD</v>
          </cell>
          <cell r="D1168" t="str">
            <v>Virtus Health</v>
          </cell>
          <cell r="E1168" t="str">
            <v>Genetic Laboratory Assistant</v>
          </cell>
          <cell r="F1168">
            <v>45842</v>
          </cell>
          <cell r="H1168" t="str">
            <v>QS2024</v>
          </cell>
          <cell r="I1168" t="str">
            <v>QLD</v>
          </cell>
          <cell r="J1168" t="str">
            <v>Full Time</v>
          </cell>
          <cell r="K1168">
            <v>45842</v>
          </cell>
          <cell r="L1168">
            <v>45842</v>
          </cell>
        </row>
        <row r="1169">
          <cell r="A1169" t="str">
            <v>AU23609</v>
          </cell>
          <cell r="B1169" t="str">
            <v>4/28/2003</v>
          </cell>
          <cell r="C1169" t="str">
            <v>VIC-TAS</v>
          </cell>
          <cell r="D1169" t="str">
            <v>Virtus Health</v>
          </cell>
          <cell r="E1169" t="str">
            <v>PGT Scientist</v>
          </cell>
          <cell r="F1169" t="str">
            <v>4/28/2025</v>
          </cell>
          <cell r="H1169" t="str">
            <v>MIVFS2022</v>
          </cell>
          <cell r="I1169" t="str">
            <v>VIC</v>
          </cell>
          <cell r="J1169" t="str">
            <v>Full Time</v>
          </cell>
          <cell r="K1169" t="str">
            <v>4/28/2025</v>
          </cell>
          <cell r="L1169" t="str">
            <v>4/28/2025</v>
          </cell>
        </row>
        <row r="1170">
          <cell r="A1170" t="str">
            <v>AU23610</v>
          </cell>
          <cell r="B1170" t="str">
            <v>4/28/2003</v>
          </cell>
          <cell r="C1170" t="str">
            <v>NSW-QLD</v>
          </cell>
          <cell r="D1170" t="str">
            <v>Virtus Health</v>
          </cell>
          <cell r="E1170" t="str">
            <v>Andrologist</v>
          </cell>
          <cell r="F1170" t="str">
            <v>4/28/2025</v>
          </cell>
          <cell r="H1170" t="str">
            <v>IVFT2024</v>
          </cell>
          <cell r="I1170" t="str">
            <v>NSW</v>
          </cell>
          <cell r="J1170" t="str">
            <v>Part Time</v>
          </cell>
          <cell r="K1170" t="str">
            <v>4/28/2025</v>
          </cell>
          <cell r="L1170" t="str">
            <v>4/28/2025</v>
          </cell>
        </row>
        <row r="1171">
          <cell r="A1171" t="str">
            <v>AU23611</v>
          </cell>
          <cell r="B1171" t="str">
            <v>4/22/2003</v>
          </cell>
          <cell r="C1171" t="str">
            <v>VIC-TAS</v>
          </cell>
          <cell r="D1171" t="str">
            <v>Virtus Health</v>
          </cell>
          <cell r="E1171" t="str">
            <v>Phlebotomist</v>
          </cell>
          <cell r="F1171" t="str">
            <v>4/22/2025</v>
          </cell>
          <cell r="H1171" t="str">
            <v>IVFS2023</v>
          </cell>
          <cell r="I1171" t="str">
            <v>VIC</v>
          </cell>
          <cell r="J1171" t="str">
            <v>Part Time</v>
          </cell>
          <cell r="K1171" t="str">
            <v>4/22/2025</v>
          </cell>
          <cell r="L1171" t="str">
            <v>4/22/2025</v>
          </cell>
        </row>
        <row r="1172">
          <cell r="A1172" t="str">
            <v>AU23612</v>
          </cell>
          <cell r="B1172" t="str">
            <v>4/22/2003</v>
          </cell>
          <cell r="C1172" t="str">
            <v>VIC-TAS</v>
          </cell>
          <cell r="D1172" t="str">
            <v>Virtus Health</v>
          </cell>
          <cell r="E1172" t="str">
            <v>Phlebotomist</v>
          </cell>
          <cell r="F1172" t="str">
            <v>4/22/2025</v>
          </cell>
          <cell r="H1172" t="str">
            <v>IVFS2023</v>
          </cell>
          <cell r="I1172" t="str">
            <v>VIC</v>
          </cell>
          <cell r="J1172" t="str">
            <v>Part Time</v>
          </cell>
          <cell r="K1172" t="str">
            <v>4/22/2025</v>
          </cell>
          <cell r="L1172" t="str">
            <v>4/22/2025</v>
          </cell>
        </row>
        <row r="1173">
          <cell r="A1173" t="str">
            <v>AU23613</v>
          </cell>
          <cell r="B1173" t="str">
            <v>4/28/2003</v>
          </cell>
          <cell r="C1173" t="str">
            <v>NSW-QLD</v>
          </cell>
          <cell r="D1173" t="str">
            <v>Virtus Health</v>
          </cell>
          <cell r="E1173" t="str">
            <v>Genetic Scientist</v>
          </cell>
          <cell r="F1173" t="str">
            <v>4/28/2025</v>
          </cell>
          <cell r="H1173" t="str">
            <v>QS2024</v>
          </cell>
          <cell r="I1173" t="str">
            <v>QLD</v>
          </cell>
          <cell r="J1173" t="str">
            <v>Full Time</v>
          </cell>
          <cell r="K1173" t="str">
            <v>4/28/2025</v>
          </cell>
          <cell r="L1173" t="str">
            <v>4/28/2025</v>
          </cell>
        </row>
        <row r="1174">
          <cell r="A1174" t="str">
            <v>AU23614</v>
          </cell>
          <cell r="B1174" t="str">
            <v>4/22/2003</v>
          </cell>
          <cell r="C1174" t="str">
            <v>VIC-TAS</v>
          </cell>
          <cell r="D1174" t="str">
            <v>Virtus Health</v>
          </cell>
          <cell r="E1174" t="str">
            <v>Phlebotomist</v>
          </cell>
          <cell r="F1174" t="str">
            <v>4/22/2025</v>
          </cell>
          <cell r="H1174" t="str">
            <v>IVFS2023</v>
          </cell>
          <cell r="I1174" t="str">
            <v>VIC</v>
          </cell>
          <cell r="J1174" t="str">
            <v>Part Time</v>
          </cell>
          <cell r="K1174" t="str">
            <v>4/22/2025</v>
          </cell>
          <cell r="L1174" t="str">
            <v>4/22/2025</v>
          </cell>
        </row>
        <row r="1175">
          <cell r="A1175" t="str">
            <v>AU23615</v>
          </cell>
          <cell r="B1175">
            <v>37900</v>
          </cell>
          <cell r="C1175" t="str">
            <v>NSW-QLD</v>
          </cell>
          <cell r="D1175" t="str">
            <v>Virtus Health</v>
          </cell>
          <cell r="E1175" t="str">
            <v>Head of Shared Services</v>
          </cell>
          <cell r="F1175">
            <v>45936</v>
          </cell>
          <cell r="H1175" t="str">
            <v>NSW</v>
          </cell>
          <cell r="I1175" t="str">
            <v>NSW</v>
          </cell>
          <cell r="J1175" t="str">
            <v>Full Time</v>
          </cell>
          <cell r="K1175">
            <v>45936</v>
          </cell>
          <cell r="L1175">
            <v>45936</v>
          </cell>
        </row>
        <row r="1176">
          <cell r="A1176" t="str">
            <v>AU23616</v>
          </cell>
          <cell r="B1176" t="str">
            <v>3/26/2003</v>
          </cell>
          <cell r="C1176" t="str">
            <v>NSW-QLD</v>
          </cell>
          <cell r="D1176" t="str">
            <v>Virtus Health</v>
          </cell>
          <cell r="E1176" t="str">
            <v>Registered Nurse</v>
          </cell>
          <cell r="F1176" t="str">
            <v>3/26/2025</v>
          </cell>
          <cell r="H1176" t="str">
            <v>IVFN2021</v>
          </cell>
          <cell r="I1176" t="str">
            <v>NSW</v>
          </cell>
          <cell r="J1176" t="str">
            <v>Casual</v>
          </cell>
          <cell r="K1176" t="str">
            <v>3/26/2025</v>
          </cell>
          <cell r="L1176" t="str">
            <v>3/26/2025</v>
          </cell>
        </row>
        <row r="1177">
          <cell r="A1177" t="str">
            <v>AU23618</v>
          </cell>
          <cell r="B1177" t="str">
            <v>4/28/2003</v>
          </cell>
          <cell r="C1177" t="str">
            <v>NSW-QLD</v>
          </cell>
          <cell r="D1177" t="str">
            <v>Virtus Health</v>
          </cell>
          <cell r="E1177" t="str">
            <v>Registered Nurse</v>
          </cell>
          <cell r="F1177" t="str">
            <v>4/28/2025</v>
          </cell>
          <cell r="H1177" t="str">
            <v>QN2025</v>
          </cell>
          <cell r="I1177" t="str">
            <v>QLD</v>
          </cell>
          <cell r="J1177" t="str">
            <v>Part Time</v>
          </cell>
          <cell r="K1177" t="str">
            <v>4/28/2025</v>
          </cell>
          <cell r="L1177" t="str">
            <v>4/28/2025</v>
          </cell>
        </row>
        <row r="1178">
          <cell r="A1178" t="str">
            <v>AU23620</v>
          </cell>
          <cell r="B1178" t="str">
            <v>5/19/2003</v>
          </cell>
          <cell r="C1178" t="str">
            <v>NSW-QLD</v>
          </cell>
          <cell r="D1178" t="str">
            <v>Virtus Health</v>
          </cell>
          <cell r="E1178" t="str">
            <v>Nurse Coordinator</v>
          </cell>
          <cell r="F1178" t="str">
            <v>5/19/2025</v>
          </cell>
          <cell r="H1178" t="str">
            <v>QN2025</v>
          </cell>
          <cell r="I1178" t="str">
            <v>QLD</v>
          </cell>
          <cell r="J1178" t="str">
            <v>Part Time</v>
          </cell>
          <cell r="K1178" t="str">
            <v>5/19/2025</v>
          </cell>
          <cell r="L1178" t="str">
            <v>5/19/2025</v>
          </cell>
        </row>
        <row r="1179">
          <cell r="A1179" t="str">
            <v>AU23621</v>
          </cell>
          <cell r="B1179" t="str">
            <v>4/28/2003</v>
          </cell>
          <cell r="C1179" t="str">
            <v>NSW-QLD</v>
          </cell>
          <cell r="D1179" t="str">
            <v>Virtus Health</v>
          </cell>
          <cell r="E1179" t="str">
            <v>Embryologist</v>
          </cell>
          <cell r="F1179" t="str">
            <v>4/28/2025</v>
          </cell>
          <cell r="H1179" t="str">
            <v>IVFT2024</v>
          </cell>
          <cell r="I1179" t="str">
            <v>NSW</v>
          </cell>
          <cell r="J1179" t="str">
            <v>Full Time</v>
          </cell>
          <cell r="K1179" t="str">
            <v>4/28/2025</v>
          </cell>
          <cell r="L1179" t="str">
            <v>4/28/2025</v>
          </cell>
        </row>
        <row r="1180">
          <cell r="A1180" t="str">
            <v>AU23622</v>
          </cell>
          <cell r="B1180" t="str">
            <v>4/29/2003</v>
          </cell>
          <cell r="C1180" t="str">
            <v>NSW-QLD</v>
          </cell>
          <cell r="D1180" t="str">
            <v>Virtus Health</v>
          </cell>
          <cell r="E1180" t="str">
            <v>Medical Secretary</v>
          </cell>
          <cell r="F1180" t="str">
            <v>4/29/2025</v>
          </cell>
          <cell r="H1180" t="str">
            <v>IVFS2023</v>
          </cell>
          <cell r="I1180" t="str">
            <v>NSW</v>
          </cell>
          <cell r="J1180" t="str">
            <v>Full Time</v>
          </cell>
          <cell r="K1180" t="str">
            <v>4/29/2025</v>
          </cell>
          <cell r="L1180" t="str">
            <v>4/29/2025</v>
          </cell>
        </row>
        <row r="1181">
          <cell r="A1181" t="str">
            <v>AU23623</v>
          </cell>
          <cell r="B1181">
            <v>37960</v>
          </cell>
          <cell r="C1181" t="str">
            <v>NSW-QLD</v>
          </cell>
          <cell r="D1181" t="str">
            <v>Virtus Health</v>
          </cell>
          <cell r="E1181" t="str">
            <v>Associate Security Analyst</v>
          </cell>
          <cell r="F1181">
            <v>45996</v>
          </cell>
          <cell r="H1181" t="str">
            <v>VIC</v>
          </cell>
          <cell r="I1181" t="str">
            <v>VIC</v>
          </cell>
          <cell r="J1181" t="str">
            <v>Full Time</v>
          </cell>
          <cell r="K1181">
            <v>45996</v>
          </cell>
          <cell r="L1181">
            <v>45996</v>
          </cell>
        </row>
        <row r="1182">
          <cell r="A1182" t="str">
            <v>AU23624</v>
          </cell>
          <cell r="B1182">
            <v>37746</v>
          </cell>
          <cell r="C1182" t="str">
            <v>NSW-QLD</v>
          </cell>
          <cell r="D1182" t="str">
            <v>Virtus Health</v>
          </cell>
          <cell r="E1182" t="str">
            <v>National Manager - Genetic Counselling</v>
          </cell>
          <cell r="F1182">
            <v>45782</v>
          </cell>
          <cell r="H1182" t="str">
            <v>NSW</v>
          </cell>
          <cell r="I1182" t="str">
            <v>NSW</v>
          </cell>
          <cell r="J1182" t="str">
            <v>Full Time</v>
          </cell>
          <cell r="K1182">
            <v>45782</v>
          </cell>
          <cell r="L1182">
            <v>45782</v>
          </cell>
        </row>
        <row r="1183">
          <cell r="A1183" t="str">
            <v>AU23630</v>
          </cell>
          <cell r="B1183">
            <v>37806</v>
          </cell>
          <cell r="C1183" t="str">
            <v>NSW-QLD</v>
          </cell>
          <cell r="D1183" t="str">
            <v>Virtus Health</v>
          </cell>
          <cell r="E1183" t="str">
            <v>Registered Nurse</v>
          </cell>
          <cell r="F1183">
            <v>45842</v>
          </cell>
          <cell r="H1183" t="str">
            <v>IVFN2021</v>
          </cell>
          <cell r="I1183" t="str">
            <v>NSW</v>
          </cell>
          <cell r="J1183" t="str">
            <v>Casual</v>
          </cell>
          <cell r="K1183">
            <v>45842</v>
          </cell>
          <cell r="L1183">
            <v>45842</v>
          </cell>
        </row>
        <row r="1184">
          <cell r="A1184" t="str">
            <v>AU23631</v>
          </cell>
          <cell r="B1184">
            <v>37625</v>
          </cell>
          <cell r="C1184" t="str">
            <v>NSW-QLD</v>
          </cell>
          <cell r="D1184" t="str">
            <v>Virtus Health</v>
          </cell>
          <cell r="E1184" t="str">
            <v xml:space="preserve"> Embryologist</v>
          </cell>
          <cell r="F1184">
            <v>45661</v>
          </cell>
          <cell r="H1184" t="str">
            <v>IVFT2024</v>
          </cell>
          <cell r="I1184" t="str">
            <v>NSW</v>
          </cell>
          <cell r="J1184" t="str">
            <v>Casual</v>
          </cell>
          <cell r="K1184">
            <v>45661</v>
          </cell>
          <cell r="L1184">
            <v>45661</v>
          </cell>
        </row>
        <row r="1185">
          <cell r="A1185" t="str">
            <v>AU23632</v>
          </cell>
          <cell r="B1185">
            <v>37746</v>
          </cell>
          <cell r="C1185" t="str">
            <v>NSW-QLD</v>
          </cell>
          <cell r="D1185" t="str">
            <v>Virtus Health</v>
          </cell>
          <cell r="E1185" t="str">
            <v>Assistant in Nursing</v>
          </cell>
          <cell r="F1185">
            <v>45782</v>
          </cell>
          <cell r="H1185" t="str">
            <v>IVFN2021</v>
          </cell>
          <cell r="I1185" t="str">
            <v>NSW</v>
          </cell>
          <cell r="J1185" t="str">
            <v>Casual</v>
          </cell>
          <cell r="K1185">
            <v>45782</v>
          </cell>
          <cell r="L1185">
            <v>45782</v>
          </cell>
        </row>
        <row r="1186">
          <cell r="A1186" t="str">
            <v>AU23634</v>
          </cell>
          <cell r="B1186">
            <v>37746</v>
          </cell>
          <cell r="C1186" t="str">
            <v>VIC-TAS</v>
          </cell>
          <cell r="D1186" t="str">
            <v>Virtus Health</v>
          </cell>
          <cell r="E1186" t="str">
            <v>Counsellor</v>
          </cell>
          <cell r="F1186">
            <v>45782</v>
          </cell>
          <cell r="H1186" t="str">
            <v>MIVFC2021</v>
          </cell>
          <cell r="I1186" t="str">
            <v>VIC</v>
          </cell>
          <cell r="J1186" t="str">
            <v>Casual</v>
          </cell>
          <cell r="K1186">
            <v>45782</v>
          </cell>
          <cell r="L1186">
            <v>45782</v>
          </cell>
        </row>
        <row r="1187">
          <cell r="A1187" t="str">
            <v>AU23635</v>
          </cell>
          <cell r="B1187">
            <v>37807</v>
          </cell>
          <cell r="C1187" t="str">
            <v>NSW-QLD</v>
          </cell>
          <cell r="D1187" t="str">
            <v>Virtus Health</v>
          </cell>
          <cell r="E1187" t="str">
            <v>Technology Operations Engineer</v>
          </cell>
          <cell r="F1187">
            <v>45843</v>
          </cell>
          <cell r="H1187" t="str">
            <v>VIC</v>
          </cell>
          <cell r="I1187" t="str">
            <v>VIC</v>
          </cell>
          <cell r="J1187" t="str">
            <v>Full Time</v>
          </cell>
          <cell r="K1187">
            <v>45843</v>
          </cell>
          <cell r="L1187">
            <v>45843</v>
          </cell>
        </row>
        <row r="1188">
          <cell r="A1188" t="str">
            <v>AU23636</v>
          </cell>
          <cell r="B1188" t="str">
            <v>5/19/2003</v>
          </cell>
          <cell r="C1188" t="str">
            <v>NSW-QLD</v>
          </cell>
          <cell r="D1188" t="str">
            <v>Virtus Health</v>
          </cell>
          <cell r="E1188" t="str">
            <v>Medical Secretary</v>
          </cell>
          <cell r="F1188" t="str">
            <v>5/19/2025</v>
          </cell>
          <cell r="H1188" t="str">
            <v>IVFS2023</v>
          </cell>
          <cell r="I1188" t="str">
            <v>NSW</v>
          </cell>
          <cell r="J1188" t="str">
            <v>Full Time</v>
          </cell>
          <cell r="K1188" t="str">
            <v>5/19/2025</v>
          </cell>
          <cell r="L1188" t="str">
            <v>5/19/2025</v>
          </cell>
        </row>
        <row r="1189">
          <cell r="A1189" t="str">
            <v>AU23637</v>
          </cell>
          <cell r="B1189">
            <v>37807</v>
          </cell>
          <cell r="C1189" t="str">
            <v>NSW-QLD</v>
          </cell>
          <cell r="D1189" t="str">
            <v>Virtus Health</v>
          </cell>
          <cell r="E1189" t="str">
            <v>Registered Nurse</v>
          </cell>
          <cell r="F1189">
            <v>45843</v>
          </cell>
          <cell r="H1189" t="str">
            <v>QN2025</v>
          </cell>
          <cell r="I1189" t="str">
            <v>QLD</v>
          </cell>
          <cell r="J1189" t="str">
            <v>Casual</v>
          </cell>
          <cell r="K1189">
            <v>45843</v>
          </cell>
          <cell r="L1189">
            <v>45843</v>
          </cell>
        </row>
        <row r="1190">
          <cell r="A1190" t="str">
            <v>AU23638</v>
          </cell>
          <cell r="B1190">
            <v>37960</v>
          </cell>
          <cell r="C1190" t="str">
            <v>NSW-QLD</v>
          </cell>
          <cell r="D1190" t="str">
            <v>Virtus Health</v>
          </cell>
          <cell r="E1190" t="str">
            <v>Head of Quality &amp; Risk Officer</v>
          </cell>
          <cell r="F1190">
            <v>45996</v>
          </cell>
          <cell r="H1190" t="str">
            <v>NSW</v>
          </cell>
          <cell r="I1190" t="str">
            <v>NSW</v>
          </cell>
          <cell r="J1190" t="str">
            <v>Full Time</v>
          </cell>
          <cell r="K1190">
            <v>45996</v>
          </cell>
          <cell r="L1190">
            <v>45996</v>
          </cell>
        </row>
        <row r="1191">
          <cell r="A1191" t="str">
            <v>AU23639</v>
          </cell>
          <cell r="B1191" t="str">
            <v>5/27/2003</v>
          </cell>
          <cell r="C1191" t="str">
            <v>NSW-QLD</v>
          </cell>
          <cell r="D1191" t="str">
            <v>Virtus Health</v>
          </cell>
          <cell r="E1191" t="str">
            <v>Registered Nurse</v>
          </cell>
          <cell r="F1191" t="str">
            <v>5/27/2025</v>
          </cell>
          <cell r="H1191" t="str">
            <v>QN2025</v>
          </cell>
          <cell r="I1191" t="str">
            <v>QLD</v>
          </cell>
          <cell r="J1191" t="str">
            <v>Part Time</v>
          </cell>
          <cell r="K1191" t="str">
            <v>5/27/2025</v>
          </cell>
          <cell r="L1191" t="str">
            <v>5/27/2025</v>
          </cell>
        </row>
        <row r="1192">
          <cell r="A1192" t="str">
            <v>AU23640</v>
          </cell>
          <cell r="B1192">
            <v>37960</v>
          </cell>
          <cell r="C1192" t="str">
            <v>NSW-QLD</v>
          </cell>
          <cell r="D1192" t="str">
            <v>Virtus Health</v>
          </cell>
          <cell r="E1192" t="str">
            <v>Adminstration</v>
          </cell>
          <cell r="F1192">
            <v>45996</v>
          </cell>
          <cell r="H1192" t="str">
            <v>IVFS2023</v>
          </cell>
          <cell r="I1192" t="str">
            <v>QLD</v>
          </cell>
          <cell r="J1192" t="str">
            <v>Part Time</v>
          </cell>
          <cell r="K1192">
            <v>45996</v>
          </cell>
          <cell r="L1192">
            <v>45996</v>
          </cell>
        </row>
        <row r="1193">
          <cell r="A1193" t="str">
            <v>AU23642</v>
          </cell>
          <cell r="B1193" t="str">
            <v>5/19/2003</v>
          </cell>
          <cell r="C1193" t="str">
            <v>NSW-QLD</v>
          </cell>
          <cell r="D1193" t="str">
            <v>Virtus Health</v>
          </cell>
          <cell r="E1193" t="str">
            <v>Registered Nurse</v>
          </cell>
          <cell r="F1193" t="str">
            <v>5/19/2025</v>
          </cell>
          <cell r="H1193" t="str">
            <v>IVFN2021</v>
          </cell>
          <cell r="I1193" t="str">
            <v>NSW</v>
          </cell>
          <cell r="J1193" t="str">
            <v>Full Time</v>
          </cell>
          <cell r="K1193" t="str">
            <v>5/19/2025</v>
          </cell>
          <cell r="L1193" t="str">
            <v>5/19/2025</v>
          </cell>
        </row>
        <row r="1194">
          <cell r="A1194" t="str">
            <v>AU23643</v>
          </cell>
          <cell r="B1194">
            <v>37960</v>
          </cell>
          <cell r="C1194" t="str">
            <v>VIC-TAS</v>
          </cell>
          <cell r="D1194" t="str">
            <v>Virtus Health</v>
          </cell>
          <cell r="E1194" t="str">
            <v>Registered Nurse</v>
          </cell>
          <cell r="F1194">
            <v>45996</v>
          </cell>
          <cell r="H1194" t="str">
            <v>MIVFN2023</v>
          </cell>
          <cell r="I1194" t="str">
            <v>VIC</v>
          </cell>
          <cell r="J1194" t="str">
            <v>Casual</v>
          </cell>
          <cell r="K1194">
            <v>45996</v>
          </cell>
          <cell r="L1194">
            <v>45996</v>
          </cell>
        </row>
        <row r="1195">
          <cell r="A1195" t="str">
            <v>AU23645</v>
          </cell>
          <cell r="B1195" t="str">
            <v>5/13/2003</v>
          </cell>
          <cell r="C1195" t="str">
            <v>VIC-TAS</v>
          </cell>
          <cell r="D1195" t="str">
            <v>Virtus Health</v>
          </cell>
          <cell r="E1195" t="str">
            <v>Registered Nurse</v>
          </cell>
          <cell r="F1195" t="str">
            <v>5/13/2025</v>
          </cell>
          <cell r="H1195" t="str">
            <v>MIVFN2023</v>
          </cell>
          <cell r="I1195" t="str">
            <v>VIC</v>
          </cell>
          <cell r="J1195" t="str">
            <v>Casual</v>
          </cell>
          <cell r="K1195" t="str">
            <v>5/13/2025</v>
          </cell>
          <cell r="L1195" t="str">
            <v>5/13/2025</v>
          </cell>
        </row>
        <row r="1196">
          <cell r="A1196" t="str">
            <v>AU23646</v>
          </cell>
          <cell r="B1196">
            <v>37684</v>
          </cell>
          <cell r="C1196" t="str">
            <v>VIC-TAS</v>
          </cell>
          <cell r="D1196" t="str">
            <v>Virtus Health</v>
          </cell>
          <cell r="E1196" t="str">
            <v>MIVF Medical Director</v>
          </cell>
          <cell r="F1196">
            <v>45720</v>
          </cell>
          <cell r="H1196" t="str">
            <v>VIC</v>
          </cell>
          <cell r="I1196" t="str">
            <v>VIC</v>
          </cell>
          <cell r="J1196" t="str">
            <v>Part Time</v>
          </cell>
          <cell r="K1196">
            <v>45720</v>
          </cell>
          <cell r="L1196">
            <v>45720</v>
          </cell>
        </row>
        <row r="1197">
          <cell r="A1197" t="str">
            <v>AU23648</v>
          </cell>
          <cell r="B1197" t="str">
            <v>5/19/2003</v>
          </cell>
          <cell r="C1197" t="str">
            <v>VIC-TAS</v>
          </cell>
          <cell r="D1197" t="str">
            <v>Virtus Health</v>
          </cell>
          <cell r="E1197" t="str">
            <v>Phlebotomist</v>
          </cell>
          <cell r="F1197" t="str">
            <v>5/19/2025</v>
          </cell>
          <cell r="H1197" t="str">
            <v>IVFS2023</v>
          </cell>
          <cell r="I1197" t="str">
            <v>VIC</v>
          </cell>
          <cell r="J1197" t="str">
            <v>Casual</v>
          </cell>
          <cell r="K1197" t="str">
            <v>5/19/2025</v>
          </cell>
          <cell r="L1197" t="str">
            <v>5/19/2025</v>
          </cell>
        </row>
        <row r="1198">
          <cell r="A1198" t="str">
            <v>AU23649</v>
          </cell>
          <cell r="B1198" t="str">
            <v>5/19/2003</v>
          </cell>
          <cell r="C1198" t="str">
            <v>VIC-TAS</v>
          </cell>
          <cell r="D1198" t="str">
            <v>Virtus Health</v>
          </cell>
          <cell r="E1198" t="str">
            <v>Administration</v>
          </cell>
          <cell r="F1198" t="str">
            <v>5/19/2025</v>
          </cell>
          <cell r="H1198" t="str">
            <v>MIVFS2022</v>
          </cell>
          <cell r="I1198" t="str">
            <v>VIC</v>
          </cell>
          <cell r="J1198" t="str">
            <v>Casual</v>
          </cell>
          <cell r="K1198" t="str">
            <v>5/19/2025</v>
          </cell>
          <cell r="L1198" t="str">
            <v>5/19/2025</v>
          </cell>
        </row>
        <row r="1199">
          <cell r="A1199" t="str">
            <v>AU23650</v>
          </cell>
          <cell r="B1199" t="str">
            <v>5/19/2003</v>
          </cell>
          <cell r="C1199" t="str">
            <v>VIC-TAS</v>
          </cell>
          <cell r="D1199" t="str">
            <v>Virtus Health</v>
          </cell>
          <cell r="E1199" t="str">
            <v>CSSD Theatre Technician</v>
          </cell>
          <cell r="F1199" t="str">
            <v>5/19/2025</v>
          </cell>
          <cell r="H1199" t="str">
            <v>TIVF2024</v>
          </cell>
          <cell r="I1199" t="str">
            <v>TAS</v>
          </cell>
          <cell r="J1199" t="str">
            <v>Casual</v>
          </cell>
          <cell r="K1199" t="str">
            <v>5/19/2025</v>
          </cell>
          <cell r="L1199" t="str">
            <v>5/19/2025</v>
          </cell>
        </row>
        <row r="1200">
          <cell r="A1200" t="str">
            <v>AU23651</v>
          </cell>
          <cell r="B1200">
            <v>37658</v>
          </cell>
          <cell r="C1200" t="str">
            <v>NSW-QLD</v>
          </cell>
          <cell r="D1200" t="str">
            <v>Virtus Health</v>
          </cell>
          <cell r="E1200" t="str">
            <v>Scheduling and Admin Coordinator</v>
          </cell>
          <cell r="F1200">
            <v>45694</v>
          </cell>
          <cell r="H1200" t="str">
            <v>IVFS2023</v>
          </cell>
          <cell r="I1200" t="str">
            <v>NSW</v>
          </cell>
          <cell r="J1200" t="str">
            <v>Full Time</v>
          </cell>
          <cell r="K1200">
            <v>45694</v>
          </cell>
          <cell r="L1200">
            <v>45694</v>
          </cell>
        </row>
        <row r="1201">
          <cell r="A1201" t="str">
            <v>AU23652</v>
          </cell>
          <cell r="B1201">
            <v>37746</v>
          </cell>
          <cell r="C1201" t="str">
            <v>NSW-QLD</v>
          </cell>
          <cell r="D1201" t="str">
            <v>Virtus Health</v>
          </cell>
          <cell r="E1201" t="str">
            <v>Registered Nurse</v>
          </cell>
          <cell r="F1201">
            <v>45782</v>
          </cell>
          <cell r="H1201" t="str">
            <v>IVFN2021</v>
          </cell>
          <cell r="I1201" t="str">
            <v>NSW</v>
          </cell>
          <cell r="J1201" t="str">
            <v>Casual</v>
          </cell>
          <cell r="K1201">
            <v>45782</v>
          </cell>
          <cell r="L1201">
            <v>45782</v>
          </cell>
        </row>
        <row r="1202">
          <cell r="A1202" t="str">
            <v>AU23655</v>
          </cell>
          <cell r="B1202" t="str">
            <v>5/19/2003</v>
          </cell>
          <cell r="C1202" t="str">
            <v>VIC-TAS</v>
          </cell>
          <cell r="D1202" t="str">
            <v>Virtus Health</v>
          </cell>
          <cell r="E1202" t="str">
            <v>Nurse Manager</v>
          </cell>
          <cell r="F1202" t="str">
            <v>5/19/2025</v>
          </cell>
          <cell r="H1202" t="str">
            <v>TIVF2024</v>
          </cell>
          <cell r="I1202" t="str">
            <v>TAS</v>
          </cell>
          <cell r="J1202" t="str">
            <v>Full Time</v>
          </cell>
          <cell r="K1202" t="str">
            <v>5/19/2025</v>
          </cell>
          <cell r="L1202" t="str">
            <v>5/19/2025</v>
          </cell>
        </row>
        <row r="1203">
          <cell r="A1203" t="str">
            <v>AU23656</v>
          </cell>
          <cell r="B1203" t="str">
            <v>5/26/2003</v>
          </cell>
          <cell r="C1203" t="str">
            <v>NSW-QLD</v>
          </cell>
          <cell r="D1203" t="str">
            <v>Virtus Health</v>
          </cell>
          <cell r="E1203" t="str">
            <v>Registered Nurse</v>
          </cell>
          <cell r="F1203" t="str">
            <v>5/26/2025</v>
          </cell>
          <cell r="H1203" t="str">
            <v>IVFN2021</v>
          </cell>
          <cell r="I1203" t="str">
            <v>NSW</v>
          </cell>
          <cell r="J1203" t="str">
            <v>Casual</v>
          </cell>
          <cell r="K1203" t="str">
            <v>5/26/2025</v>
          </cell>
          <cell r="L1203" t="str">
            <v>5/26/2025</v>
          </cell>
        </row>
        <row r="1204">
          <cell r="A1204" t="str">
            <v>AU23657</v>
          </cell>
          <cell r="B1204" t="str">
            <v>5/26/2003</v>
          </cell>
          <cell r="C1204" t="str">
            <v>NSW-QLD</v>
          </cell>
          <cell r="D1204" t="str">
            <v>Virtus Health</v>
          </cell>
          <cell r="E1204" t="str">
            <v>Assistant in Nursing</v>
          </cell>
          <cell r="F1204" t="str">
            <v>5/26/2025</v>
          </cell>
          <cell r="H1204" t="str">
            <v>IVFN2021</v>
          </cell>
          <cell r="I1204" t="str">
            <v>NSW</v>
          </cell>
          <cell r="J1204" t="str">
            <v>Part Time</v>
          </cell>
          <cell r="K1204" t="str">
            <v>5/26/2025</v>
          </cell>
          <cell r="L1204" t="str">
            <v>5/26/2025</v>
          </cell>
        </row>
        <row r="1205">
          <cell r="A1205" t="str">
            <v>AU23658</v>
          </cell>
          <cell r="B1205" t="str">
            <v>5/28/2003</v>
          </cell>
          <cell r="C1205" t="str">
            <v>VIC-TAS</v>
          </cell>
          <cell r="D1205" t="str">
            <v>Virtus Health</v>
          </cell>
          <cell r="E1205" t="str">
            <v>Head of Finance</v>
          </cell>
          <cell r="F1205" t="str">
            <v>5/28/2025</v>
          </cell>
          <cell r="H1205" t="str">
            <v>VIC</v>
          </cell>
          <cell r="I1205" t="str">
            <v>VIC</v>
          </cell>
          <cell r="J1205" t="str">
            <v>Full Time</v>
          </cell>
          <cell r="K1205" t="str">
            <v>5/28/2025</v>
          </cell>
          <cell r="L1205" t="str">
            <v>5/28/2025</v>
          </cell>
        </row>
        <row r="1206">
          <cell r="A1206" t="str">
            <v>AU23659</v>
          </cell>
          <cell r="B1206">
            <v>37658</v>
          </cell>
          <cell r="C1206" t="str">
            <v>VIC-TAS</v>
          </cell>
          <cell r="D1206" t="str">
            <v>Virtus Health</v>
          </cell>
          <cell r="E1206" t="str">
            <v>CSSD Theatre Technician</v>
          </cell>
          <cell r="F1206">
            <v>45694</v>
          </cell>
          <cell r="H1206" t="str">
            <v>TIVF2024</v>
          </cell>
          <cell r="I1206" t="str">
            <v>TAS</v>
          </cell>
          <cell r="J1206" t="str">
            <v>Casual</v>
          </cell>
          <cell r="K1206">
            <v>45694</v>
          </cell>
          <cell r="L1206">
            <v>45694</v>
          </cell>
        </row>
        <row r="1207">
          <cell r="A1207" t="str">
            <v>AU23660</v>
          </cell>
          <cell r="B1207" t="str">
            <v>6/16/2003</v>
          </cell>
          <cell r="C1207" t="str">
            <v>NSW-QLD</v>
          </cell>
          <cell r="D1207" t="str">
            <v>Virtus Health</v>
          </cell>
          <cell r="E1207" t="str">
            <v>Nures Coordinator</v>
          </cell>
          <cell r="F1207" t="str">
            <v>6/16/2025</v>
          </cell>
          <cell r="H1207" t="str">
            <v>IVFN2021</v>
          </cell>
          <cell r="I1207" t="str">
            <v>NSW</v>
          </cell>
          <cell r="J1207" t="str">
            <v>Full Time</v>
          </cell>
          <cell r="K1207" t="str">
            <v>6/16/2025</v>
          </cell>
          <cell r="L1207" t="str">
            <v>6/16/2025</v>
          </cell>
        </row>
        <row r="1208">
          <cell r="A1208" t="str">
            <v>AU23661</v>
          </cell>
          <cell r="B1208" t="str">
            <v>5/26/2003</v>
          </cell>
          <cell r="C1208" t="str">
            <v>VIC-TAS</v>
          </cell>
          <cell r="D1208" t="str">
            <v>Virtus Health</v>
          </cell>
          <cell r="E1208" t="str">
            <v>Assistant in Nursing</v>
          </cell>
          <cell r="F1208" t="str">
            <v>5/26/2025</v>
          </cell>
          <cell r="H1208" t="str">
            <v>VIC</v>
          </cell>
          <cell r="I1208" t="str">
            <v>VIC</v>
          </cell>
          <cell r="J1208" t="str">
            <v>Casual</v>
          </cell>
          <cell r="K1208" t="str">
            <v>5/26/2025</v>
          </cell>
          <cell r="L1208" t="str">
            <v>5/26/2025</v>
          </cell>
        </row>
        <row r="1209">
          <cell r="A1209" t="str">
            <v>AU23662</v>
          </cell>
          <cell r="B1209" t="str">
            <v>5/26/2003</v>
          </cell>
          <cell r="C1209" t="str">
            <v>NSW-QLD</v>
          </cell>
          <cell r="D1209" t="str">
            <v>Virtus Health</v>
          </cell>
          <cell r="E1209" t="str">
            <v>Patient Support Officer</v>
          </cell>
          <cell r="F1209" t="str">
            <v>5/26/2025</v>
          </cell>
          <cell r="H1209" t="str">
            <v>IVFS2023</v>
          </cell>
          <cell r="I1209" t="str">
            <v>NSW</v>
          </cell>
          <cell r="J1209" t="str">
            <v>Part Time</v>
          </cell>
          <cell r="K1209" t="str">
            <v>5/26/2025</v>
          </cell>
          <cell r="L1209" t="str">
            <v>5/26/2025</v>
          </cell>
        </row>
        <row r="1210">
          <cell r="A1210" t="str">
            <v>AU23663</v>
          </cell>
          <cell r="B1210">
            <v>37658</v>
          </cell>
          <cell r="C1210" t="str">
            <v>VIC-TAS</v>
          </cell>
          <cell r="D1210" t="str">
            <v>Virtus Health</v>
          </cell>
          <cell r="E1210" t="str">
            <v>Clinical Administrator</v>
          </cell>
          <cell r="F1210">
            <v>45694</v>
          </cell>
          <cell r="H1210" t="str">
            <v>MIVFS2022</v>
          </cell>
          <cell r="I1210" t="str">
            <v>VIC</v>
          </cell>
          <cell r="J1210" t="str">
            <v>Full Time</v>
          </cell>
          <cell r="K1210">
            <v>45694</v>
          </cell>
          <cell r="L1210">
            <v>45694</v>
          </cell>
        </row>
        <row r="1211">
          <cell r="A1211" t="str">
            <v>AU23664</v>
          </cell>
          <cell r="B1211" t="str">
            <v>5/22/2003</v>
          </cell>
          <cell r="C1211" t="str">
            <v>VIC-TAS</v>
          </cell>
          <cell r="D1211" t="str">
            <v>Virtus Health</v>
          </cell>
          <cell r="E1211" t="str">
            <v>Receptionist</v>
          </cell>
          <cell r="F1211" t="str">
            <v>5/22/2025</v>
          </cell>
          <cell r="H1211" t="str">
            <v>MIVFS2022</v>
          </cell>
          <cell r="I1211" t="str">
            <v>VIC</v>
          </cell>
          <cell r="J1211" t="str">
            <v>Casual</v>
          </cell>
          <cell r="K1211" t="str">
            <v>5/22/2025</v>
          </cell>
          <cell r="L1211" t="str">
            <v>5/22/2025</v>
          </cell>
        </row>
        <row r="1212">
          <cell r="A1212" t="str">
            <v>AU23665</v>
          </cell>
          <cell r="B1212" t="str">
            <v>5/26/2003</v>
          </cell>
          <cell r="C1212" t="str">
            <v>VIC-TAS</v>
          </cell>
          <cell r="D1212" t="str">
            <v>Virtus Health</v>
          </cell>
          <cell r="E1212" t="str">
            <v>Patient Liaison Administrator</v>
          </cell>
          <cell r="F1212" t="str">
            <v>5/26/2025</v>
          </cell>
          <cell r="H1212" t="str">
            <v>MIVFS2022</v>
          </cell>
          <cell r="I1212" t="str">
            <v>VIC</v>
          </cell>
          <cell r="J1212" t="str">
            <v>Part Time</v>
          </cell>
          <cell r="K1212" t="str">
            <v>5/26/2025</v>
          </cell>
          <cell r="L1212" t="str">
            <v>5/26/2025</v>
          </cell>
        </row>
        <row r="1213">
          <cell r="A1213" t="str">
            <v>AU23666</v>
          </cell>
          <cell r="B1213" t="str">
            <v>5/26/2003</v>
          </cell>
          <cell r="C1213" t="str">
            <v>VIC-TAS</v>
          </cell>
          <cell r="D1213" t="str">
            <v>Virtus Health</v>
          </cell>
          <cell r="E1213" t="str">
            <v>Administration</v>
          </cell>
          <cell r="F1213" t="str">
            <v>5/26/2025</v>
          </cell>
          <cell r="H1213" t="str">
            <v>MIVFS2022</v>
          </cell>
          <cell r="I1213" t="str">
            <v>VIC</v>
          </cell>
          <cell r="J1213" t="str">
            <v>Casual</v>
          </cell>
          <cell r="K1213" t="str">
            <v>5/26/2025</v>
          </cell>
          <cell r="L1213" t="str">
            <v>5/26/2025</v>
          </cell>
        </row>
        <row r="1214">
          <cell r="A1214" t="str">
            <v>AU23667</v>
          </cell>
          <cell r="B1214">
            <v>37658</v>
          </cell>
          <cell r="C1214" t="str">
            <v>NSW-QLD</v>
          </cell>
          <cell r="D1214" t="str">
            <v>Virtus Health</v>
          </cell>
          <cell r="E1214" t="str">
            <v>Nurse Coordinator</v>
          </cell>
          <cell r="F1214">
            <v>45694</v>
          </cell>
          <cell r="H1214" t="str">
            <v>IVFN2021</v>
          </cell>
          <cell r="I1214" t="str">
            <v>NSW</v>
          </cell>
          <cell r="J1214" t="str">
            <v>Full Time</v>
          </cell>
          <cell r="K1214">
            <v>45694</v>
          </cell>
          <cell r="L1214">
            <v>45694</v>
          </cell>
        </row>
        <row r="1215">
          <cell r="A1215" t="str">
            <v>AU23670</v>
          </cell>
          <cell r="B1215" t="str">
            <v>6/16/2003</v>
          </cell>
          <cell r="C1215" t="str">
            <v>NSW-QLD</v>
          </cell>
          <cell r="D1215" t="str">
            <v>Virtus Health</v>
          </cell>
          <cell r="E1215" t="str">
            <v>Registered Nurse</v>
          </cell>
          <cell r="F1215" t="str">
            <v>6/16/2025</v>
          </cell>
          <cell r="H1215" t="str">
            <v>IVFN2021</v>
          </cell>
          <cell r="I1215" t="str">
            <v>NSW</v>
          </cell>
          <cell r="J1215" t="str">
            <v>Part Time</v>
          </cell>
          <cell r="K1215" t="str">
            <v>6/16/2025</v>
          </cell>
          <cell r="L1215" t="str">
            <v>6/16/2025</v>
          </cell>
        </row>
        <row r="1216">
          <cell r="A1216" t="str">
            <v>AU23671</v>
          </cell>
          <cell r="B1216" t="str">
            <v>5/27/2003</v>
          </cell>
          <cell r="C1216" t="str">
            <v>NSW-QLD</v>
          </cell>
          <cell r="D1216" t="str">
            <v>Virtus Health</v>
          </cell>
          <cell r="E1216" t="str">
            <v>Registered Nurse</v>
          </cell>
          <cell r="F1216" t="str">
            <v>5/27/2025</v>
          </cell>
          <cell r="H1216" t="str">
            <v>QN2025</v>
          </cell>
          <cell r="I1216" t="str">
            <v>QLD</v>
          </cell>
          <cell r="J1216" t="str">
            <v>Casual</v>
          </cell>
          <cell r="K1216" t="str">
            <v>5/27/2025</v>
          </cell>
          <cell r="L1216" t="str">
            <v>5/27/2025</v>
          </cell>
        </row>
        <row r="1217">
          <cell r="A1217" t="str">
            <v>AU23672</v>
          </cell>
          <cell r="B1217" t="str">
            <v>5/29/2003</v>
          </cell>
          <cell r="C1217" t="str">
            <v>VIC-TAS</v>
          </cell>
          <cell r="D1217" t="str">
            <v>Virtus Health</v>
          </cell>
          <cell r="E1217" t="str">
            <v>Executive Assistant</v>
          </cell>
          <cell r="F1217" t="str">
            <v>5/29/2025</v>
          </cell>
          <cell r="H1217" t="str">
            <v>VIC</v>
          </cell>
          <cell r="I1217" t="str">
            <v>VIC</v>
          </cell>
          <cell r="J1217" t="str">
            <v>Full Time</v>
          </cell>
          <cell r="K1217" t="str">
            <v>5/29/2025</v>
          </cell>
          <cell r="L1217" t="str">
            <v>5/29/2025</v>
          </cell>
        </row>
        <row r="1218">
          <cell r="A1218" t="str">
            <v>AU23674</v>
          </cell>
          <cell r="B1218">
            <v>37717</v>
          </cell>
          <cell r="C1218" t="str">
            <v>NSW-QLD</v>
          </cell>
          <cell r="D1218" t="str">
            <v>Virtus Health</v>
          </cell>
          <cell r="E1218" t="str">
            <v>Deputy Chief Executive Officer &amp; Head of Internal</v>
          </cell>
          <cell r="F1218">
            <v>45753</v>
          </cell>
          <cell r="H1218" t="str">
            <v>VIC</v>
          </cell>
          <cell r="I1218" t="str">
            <v>VIC</v>
          </cell>
          <cell r="J1218" t="str">
            <v>Full Time</v>
          </cell>
          <cell r="K1218">
            <v>45753</v>
          </cell>
          <cell r="L1218">
            <v>45753</v>
          </cell>
        </row>
        <row r="1219">
          <cell r="A1219" t="str">
            <v>AU23675</v>
          </cell>
          <cell r="B1219">
            <v>37658</v>
          </cell>
          <cell r="C1219" t="str">
            <v>NSW-QLD</v>
          </cell>
          <cell r="D1219" t="str">
            <v>Virtus Health</v>
          </cell>
          <cell r="E1219" t="str">
            <v>Theatre Orderly</v>
          </cell>
          <cell r="F1219">
            <v>45694</v>
          </cell>
          <cell r="H1219" t="str">
            <v>IVFS2023</v>
          </cell>
          <cell r="I1219" t="str">
            <v>NSW</v>
          </cell>
          <cell r="J1219" t="str">
            <v>Casual</v>
          </cell>
          <cell r="K1219">
            <v>45694</v>
          </cell>
          <cell r="L1219">
            <v>45694</v>
          </cell>
        </row>
        <row r="1220">
          <cell r="A1220" t="str">
            <v>AU23676</v>
          </cell>
          <cell r="B1220">
            <v>37625</v>
          </cell>
          <cell r="C1220" t="str">
            <v>NSW-QLD</v>
          </cell>
          <cell r="D1220" t="str">
            <v>Virtus Health</v>
          </cell>
          <cell r="E1220" t="str">
            <v>Registered Nurse</v>
          </cell>
          <cell r="F1220">
            <v>45661</v>
          </cell>
          <cell r="H1220" t="str">
            <v>IVFN2021</v>
          </cell>
          <cell r="I1220" t="str">
            <v>NSW</v>
          </cell>
          <cell r="J1220" t="str">
            <v>Casual</v>
          </cell>
          <cell r="K1220">
            <v>45661</v>
          </cell>
          <cell r="L1220">
            <v>45661</v>
          </cell>
        </row>
        <row r="1221">
          <cell r="A1221" t="str">
            <v>AU23677</v>
          </cell>
          <cell r="B1221" t="str">
            <v>6/23/2003</v>
          </cell>
          <cell r="C1221" t="str">
            <v>NSW-QLD</v>
          </cell>
          <cell r="D1221" t="str">
            <v>Virtus Health</v>
          </cell>
          <cell r="E1221" t="str">
            <v>Registered Nurse</v>
          </cell>
          <cell r="F1221" t="str">
            <v>6/23/2025</v>
          </cell>
          <cell r="H1221" t="str">
            <v>QN2025</v>
          </cell>
          <cell r="I1221" t="str">
            <v>QLD</v>
          </cell>
          <cell r="J1221" t="str">
            <v>Part Time</v>
          </cell>
          <cell r="K1221" t="str">
            <v>6/23/2025</v>
          </cell>
          <cell r="L1221" t="str">
            <v>6/23/2025</v>
          </cell>
        </row>
        <row r="1222">
          <cell r="A1222" t="str">
            <v>AU23678</v>
          </cell>
          <cell r="B1222">
            <v>37931</v>
          </cell>
          <cell r="C1222" t="str">
            <v>NSW-QLD</v>
          </cell>
          <cell r="D1222" t="str">
            <v>Virtus Health</v>
          </cell>
          <cell r="E1222" t="str">
            <v>Andrologist</v>
          </cell>
          <cell r="F1222">
            <v>45967</v>
          </cell>
          <cell r="H1222" t="str">
            <v>QS2024</v>
          </cell>
          <cell r="I1222" t="str">
            <v>QLD</v>
          </cell>
          <cell r="J1222" t="str">
            <v>Casual</v>
          </cell>
          <cell r="K1222">
            <v>45967</v>
          </cell>
          <cell r="L1222">
            <v>45967</v>
          </cell>
        </row>
        <row r="1223">
          <cell r="A1223" t="str">
            <v>AU23680</v>
          </cell>
          <cell r="B1223" t="str">
            <v>5/19/2003</v>
          </cell>
          <cell r="C1223" t="str">
            <v>NSW-QLD</v>
          </cell>
          <cell r="D1223" t="str">
            <v>Virtus Health</v>
          </cell>
          <cell r="E1223" t="str">
            <v>CSSD Tech</v>
          </cell>
          <cell r="F1223" t="str">
            <v>5/19/2025</v>
          </cell>
          <cell r="H1223" t="str">
            <v>IVFS2023</v>
          </cell>
          <cell r="I1223" t="str">
            <v>NSW</v>
          </cell>
          <cell r="J1223" t="str">
            <v>Casual</v>
          </cell>
          <cell r="K1223" t="str">
            <v>5/19/2025</v>
          </cell>
          <cell r="L1223" t="str">
            <v>5/19/2025</v>
          </cell>
        </row>
        <row r="1224">
          <cell r="A1224" t="str">
            <v>AU23681</v>
          </cell>
          <cell r="B1224">
            <v>37870</v>
          </cell>
          <cell r="C1224" t="str">
            <v>NSW-QLD</v>
          </cell>
          <cell r="D1224" t="str">
            <v>Virtus Health</v>
          </cell>
          <cell r="E1224" t="str">
            <v>Registered Nurse</v>
          </cell>
          <cell r="F1224">
            <v>45906</v>
          </cell>
          <cell r="H1224" t="str">
            <v>QN2025</v>
          </cell>
          <cell r="I1224" t="str">
            <v>QLD</v>
          </cell>
          <cell r="J1224" t="str">
            <v>Casual</v>
          </cell>
          <cell r="K1224">
            <v>45906</v>
          </cell>
          <cell r="L1224">
            <v>45906</v>
          </cell>
        </row>
        <row r="1225">
          <cell r="A1225" t="str">
            <v>AU23682</v>
          </cell>
          <cell r="B1225" t="str">
            <v>6/16/2003</v>
          </cell>
          <cell r="C1225" t="str">
            <v>NSW-QLD</v>
          </cell>
          <cell r="D1225" t="str">
            <v>Virtus Health</v>
          </cell>
          <cell r="E1225" t="str">
            <v>Registered Nurse</v>
          </cell>
          <cell r="F1225" t="str">
            <v>6/16/2025</v>
          </cell>
          <cell r="H1225" t="str">
            <v>QN2025</v>
          </cell>
          <cell r="I1225" t="str">
            <v>QLD</v>
          </cell>
          <cell r="J1225" t="str">
            <v>Part Time</v>
          </cell>
          <cell r="K1225" t="str">
            <v>6/16/2025</v>
          </cell>
          <cell r="L1225" t="str">
            <v>6/16/2025</v>
          </cell>
        </row>
        <row r="1226">
          <cell r="A1226" t="str">
            <v>AU23684</v>
          </cell>
          <cell r="B1226">
            <v>37900</v>
          </cell>
          <cell r="C1226" t="str">
            <v>VIC-TAS</v>
          </cell>
          <cell r="D1226" t="str">
            <v>Virtus Health</v>
          </cell>
          <cell r="E1226" t="str">
            <v>Donor Administrator</v>
          </cell>
          <cell r="F1226">
            <v>45936</v>
          </cell>
          <cell r="H1226" t="str">
            <v>MIVFS2022</v>
          </cell>
          <cell r="I1226" t="str">
            <v>VIC</v>
          </cell>
          <cell r="J1226" t="str">
            <v>Full Time</v>
          </cell>
          <cell r="K1226">
            <v>45936</v>
          </cell>
          <cell r="L1226">
            <v>45936</v>
          </cell>
        </row>
        <row r="1227">
          <cell r="A1227" t="str">
            <v>AU23686</v>
          </cell>
          <cell r="B1227">
            <v>37870</v>
          </cell>
          <cell r="C1227" t="str">
            <v>VIC-TAS</v>
          </cell>
          <cell r="D1227" t="str">
            <v>Virtus Health</v>
          </cell>
          <cell r="E1227" t="str">
            <v>Administration Clerk</v>
          </cell>
          <cell r="F1227">
            <v>45906</v>
          </cell>
          <cell r="H1227" t="str">
            <v>MIVFS2022</v>
          </cell>
          <cell r="I1227" t="str">
            <v>VIC</v>
          </cell>
          <cell r="J1227" t="str">
            <v>Full Time</v>
          </cell>
          <cell r="K1227">
            <v>45906</v>
          </cell>
          <cell r="L1227">
            <v>45906</v>
          </cell>
        </row>
        <row r="1228">
          <cell r="A1228" t="str">
            <v>AU23687</v>
          </cell>
          <cell r="B1228" t="str">
            <v>9/14/1998</v>
          </cell>
          <cell r="C1228" t="str">
            <v>NSW-QLD</v>
          </cell>
          <cell r="D1228" t="str">
            <v>Virtus Health</v>
          </cell>
          <cell r="E1228" t="str">
            <v>CSSD Technician</v>
          </cell>
          <cell r="F1228" t="str">
            <v>9/14/2020</v>
          </cell>
          <cell r="H1228" t="str">
            <v>IVFS2023</v>
          </cell>
          <cell r="I1228" t="str">
            <v>NSW</v>
          </cell>
          <cell r="J1228" t="str">
            <v>Full Time</v>
          </cell>
          <cell r="K1228" t="str">
            <v>9/14/2020</v>
          </cell>
          <cell r="L1228" t="str">
            <v>9/14/2020</v>
          </cell>
        </row>
        <row r="1229">
          <cell r="A1229" t="str">
            <v>AU23688</v>
          </cell>
          <cell r="B1229" t="str">
            <v>7/14/2003</v>
          </cell>
          <cell r="C1229" t="str">
            <v>NSW-QLD</v>
          </cell>
          <cell r="D1229" t="str">
            <v>Virtus Health</v>
          </cell>
          <cell r="E1229" t="str">
            <v>Laboratory Administration Assistant</v>
          </cell>
          <cell r="F1229" t="str">
            <v>7/14/2025</v>
          </cell>
          <cell r="H1229" t="str">
            <v>IVFS2023</v>
          </cell>
          <cell r="I1229" t="str">
            <v>QLD</v>
          </cell>
          <cell r="J1229" t="str">
            <v>Casual</v>
          </cell>
          <cell r="K1229" t="str">
            <v>7/14/2025</v>
          </cell>
          <cell r="L1229" t="str">
            <v>7/14/2025</v>
          </cell>
        </row>
        <row r="1230">
          <cell r="A1230" t="str">
            <v>AU23689</v>
          </cell>
          <cell r="B1230">
            <v>37900</v>
          </cell>
          <cell r="C1230" t="str">
            <v>VIC-TAS</v>
          </cell>
          <cell r="D1230" t="str">
            <v>Virtus Health</v>
          </cell>
          <cell r="E1230" t="str">
            <v>Donor Administrator</v>
          </cell>
          <cell r="F1230">
            <v>45936</v>
          </cell>
          <cell r="H1230" t="str">
            <v>MIVFS2022</v>
          </cell>
          <cell r="I1230" t="str">
            <v>VIC</v>
          </cell>
          <cell r="J1230" t="str">
            <v>Full Time</v>
          </cell>
          <cell r="K1230">
            <v>45936</v>
          </cell>
          <cell r="L1230">
            <v>45936</v>
          </cell>
        </row>
        <row r="1231">
          <cell r="A1231" t="str">
            <v>AU23690</v>
          </cell>
          <cell r="B1231" t="str">
            <v>6/16/2003</v>
          </cell>
          <cell r="C1231" t="str">
            <v>NSW-QLD</v>
          </cell>
          <cell r="D1231" t="str">
            <v>Virtus Health</v>
          </cell>
          <cell r="E1231" t="str">
            <v>Registered Nurse</v>
          </cell>
          <cell r="F1231" t="str">
            <v>6/16/2025</v>
          </cell>
          <cell r="H1231" t="str">
            <v>QN2025</v>
          </cell>
          <cell r="I1231" t="str">
            <v>QLD</v>
          </cell>
          <cell r="J1231" t="str">
            <v>Casual</v>
          </cell>
          <cell r="K1231" t="str">
            <v>6/16/2025</v>
          </cell>
          <cell r="L1231" t="str">
            <v>6/16/2025</v>
          </cell>
        </row>
        <row r="1232">
          <cell r="A1232" t="str">
            <v>AU23692</v>
          </cell>
          <cell r="B1232" t="str">
            <v>6/16/2003</v>
          </cell>
          <cell r="C1232" t="str">
            <v>NSW-QLD</v>
          </cell>
          <cell r="D1232" t="str">
            <v>Virtus Health</v>
          </cell>
          <cell r="E1232" t="str">
            <v>Laboratory Support Assistant</v>
          </cell>
          <cell r="F1232" t="str">
            <v>6/16/2025</v>
          </cell>
          <cell r="H1232" t="str">
            <v>IVFT2024</v>
          </cell>
          <cell r="I1232" t="str">
            <v>NSW</v>
          </cell>
          <cell r="J1232" t="str">
            <v>Full Time</v>
          </cell>
          <cell r="K1232" t="str">
            <v>6/16/2025</v>
          </cell>
          <cell r="L1232" t="str">
            <v>6/16/2025</v>
          </cell>
        </row>
        <row r="1233">
          <cell r="A1233" t="str">
            <v>AU23693</v>
          </cell>
          <cell r="B1233" t="str">
            <v>6/23/2003</v>
          </cell>
          <cell r="C1233" t="str">
            <v>NSW-QLD</v>
          </cell>
          <cell r="D1233" t="str">
            <v>Virtus Health</v>
          </cell>
          <cell r="E1233" t="str">
            <v>Nures Coordinator</v>
          </cell>
          <cell r="F1233" t="str">
            <v>6/23/2025</v>
          </cell>
          <cell r="H1233" t="str">
            <v>IVFN2021</v>
          </cell>
          <cell r="I1233" t="str">
            <v>NSW</v>
          </cell>
          <cell r="J1233" t="str">
            <v>Full Time</v>
          </cell>
          <cell r="K1233" t="str">
            <v>6/23/2025</v>
          </cell>
          <cell r="L1233" t="str">
            <v>6/23/2025</v>
          </cell>
        </row>
        <row r="1234">
          <cell r="A1234" t="str">
            <v>AU23694</v>
          </cell>
          <cell r="B1234">
            <v>37628</v>
          </cell>
          <cell r="C1234" t="str">
            <v>NSW-QLD</v>
          </cell>
          <cell r="D1234" t="str">
            <v>Virtus Health</v>
          </cell>
          <cell r="E1234" t="str">
            <v>Internal Communication Manager</v>
          </cell>
          <cell r="F1234">
            <v>45664</v>
          </cell>
          <cell r="H1234" t="str">
            <v>VIC</v>
          </cell>
          <cell r="I1234" t="str">
            <v>VIC</v>
          </cell>
          <cell r="J1234" t="str">
            <v>Part Time</v>
          </cell>
          <cell r="K1234">
            <v>45664</v>
          </cell>
          <cell r="L1234">
            <v>45664</v>
          </cell>
        </row>
        <row r="1235">
          <cell r="A1235" t="str">
            <v>AU23696</v>
          </cell>
          <cell r="B1235" t="str">
            <v>6/23/2003</v>
          </cell>
          <cell r="C1235" t="str">
            <v>NSW-QLD</v>
          </cell>
          <cell r="D1235" t="str">
            <v>Virtus Health</v>
          </cell>
          <cell r="E1235" t="str">
            <v>Registered Nurse</v>
          </cell>
          <cell r="F1235" t="str">
            <v>6/23/2025</v>
          </cell>
          <cell r="H1235" t="str">
            <v>IVFN2021</v>
          </cell>
          <cell r="I1235" t="str">
            <v>NSW</v>
          </cell>
          <cell r="J1235" t="str">
            <v>Part Time</v>
          </cell>
          <cell r="K1235" t="str">
            <v>6/23/2025</v>
          </cell>
          <cell r="L1235" t="str">
            <v>6/23/2025</v>
          </cell>
        </row>
        <row r="1236">
          <cell r="A1236" t="str">
            <v>AU23697</v>
          </cell>
          <cell r="B1236" t="str">
            <v>6/16/2003</v>
          </cell>
          <cell r="C1236" t="str">
            <v>NSW-QLD</v>
          </cell>
          <cell r="D1236" t="str">
            <v>Virtus Health</v>
          </cell>
          <cell r="E1236" t="str">
            <v>Registered Nurse</v>
          </cell>
          <cell r="F1236" t="str">
            <v>6/16/2025</v>
          </cell>
          <cell r="H1236" t="str">
            <v>QN2025</v>
          </cell>
          <cell r="I1236" t="str">
            <v>QLD</v>
          </cell>
          <cell r="J1236" t="str">
            <v>Part Time</v>
          </cell>
          <cell r="K1236" t="str">
            <v>6/16/2025</v>
          </cell>
          <cell r="L1236" t="str">
            <v>6/16/2025</v>
          </cell>
        </row>
        <row r="1237">
          <cell r="A1237" t="str">
            <v>AU23698</v>
          </cell>
          <cell r="B1237" t="str">
            <v>6/30/2003</v>
          </cell>
          <cell r="C1237" t="str">
            <v>NSW-QLD</v>
          </cell>
          <cell r="D1237" t="str">
            <v>Virtus Health</v>
          </cell>
          <cell r="E1237" t="str">
            <v>Nurse Coordinator</v>
          </cell>
          <cell r="F1237" t="str">
            <v>6/30/2025</v>
          </cell>
          <cell r="H1237" t="str">
            <v>IVFN2021</v>
          </cell>
          <cell r="I1237" t="str">
            <v>NSW</v>
          </cell>
          <cell r="J1237" t="str">
            <v>Casual</v>
          </cell>
          <cell r="K1237" t="str">
            <v>6/30/2025</v>
          </cell>
          <cell r="L1237" t="str">
            <v>6/30/2025</v>
          </cell>
        </row>
        <row r="1238">
          <cell r="A1238" t="str">
            <v>AU23699</v>
          </cell>
          <cell r="B1238" t="str">
            <v>6/23/2003</v>
          </cell>
          <cell r="C1238" t="str">
            <v>NSW-QLD</v>
          </cell>
          <cell r="D1238" t="str">
            <v>Virtus Health</v>
          </cell>
          <cell r="E1238" t="str">
            <v>Laboratory Assistant</v>
          </cell>
          <cell r="F1238" t="str">
            <v>6/23/2025</v>
          </cell>
          <cell r="H1238" t="str">
            <v>QS2024</v>
          </cell>
          <cell r="I1238" t="str">
            <v>QLD</v>
          </cell>
          <cell r="J1238" t="str">
            <v>Part Time</v>
          </cell>
          <cell r="K1238" t="str">
            <v>6/23/2025</v>
          </cell>
          <cell r="L1238" t="str">
            <v>6/23/2025</v>
          </cell>
        </row>
        <row r="1239">
          <cell r="A1239" t="str">
            <v>AU23700</v>
          </cell>
          <cell r="B1239">
            <v>37718</v>
          </cell>
          <cell r="C1239" t="str">
            <v>NSW-QLD</v>
          </cell>
          <cell r="D1239" t="str">
            <v>Virtus Health</v>
          </cell>
          <cell r="E1239" t="str">
            <v>Registered Nurse</v>
          </cell>
          <cell r="F1239">
            <v>45754</v>
          </cell>
          <cell r="H1239" t="str">
            <v>QN2025</v>
          </cell>
          <cell r="I1239" t="str">
            <v>QLD</v>
          </cell>
          <cell r="J1239" t="str">
            <v>Casual</v>
          </cell>
          <cell r="K1239">
            <v>45754</v>
          </cell>
          <cell r="L1239">
            <v>45754</v>
          </cell>
        </row>
        <row r="1240">
          <cell r="A1240" t="str">
            <v>AU23701</v>
          </cell>
          <cell r="B1240">
            <v>37628</v>
          </cell>
          <cell r="C1240" t="str">
            <v>NSW-QLD</v>
          </cell>
          <cell r="D1240" t="str">
            <v>Virtus Health</v>
          </cell>
          <cell r="E1240" t="str">
            <v>Donor Nurse Practitioner</v>
          </cell>
          <cell r="F1240">
            <v>45664</v>
          </cell>
          <cell r="H1240" t="str">
            <v>NSW</v>
          </cell>
          <cell r="I1240" t="str">
            <v>NSW</v>
          </cell>
          <cell r="J1240" t="str">
            <v>Part Time</v>
          </cell>
          <cell r="K1240">
            <v>45664</v>
          </cell>
          <cell r="L1240">
            <v>45664</v>
          </cell>
        </row>
        <row r="1241">
          <cell r="A1241" t="str">
            <v>AU23702</v>
          </cell>
          <cell r="B1241" t="str">
            <v>6/30/2003</v>
          </cell>
          <cell r="C1241" t="str">
            <v>NSW-QLD</v>
          </cell>
          <cell r="D1241" t="str">
            <v>Virtus Health</v>
          </cell>
          <cell r="E1241" t="str">
            <v>Theatre Orderly</v>
          </cell>
          <cell r="F1241" t="str">
            <v>6/30/2025</v>
          </cell>
          <cell r="H1241" t="str">
            <v>IVFS2023</v>
          </cell>
          <cell r="I1241" t="str">
            <v>QLD</v>
          </cell>
          <cell r="J1241" t="str">
            <v>Casual</v>
          </cell>
          <cell r="K1241" t="str">
            <v>6/30/2025</v>
          </cell>
          <cell r="L1241" t="str">
            <v>6/30/2025</v>
          </cell>
        </row>
        <row r="1242">
          <cell r="A1242" t="str">
            <v>AU23703</v>
          </cell>
          <cell r="B1242">
            <v>37809</v>
          </cell>
          <cell r="C1242" t="str">
            <v>NSW-QLD</v>
          </cell>
          <cell r="D1242" t="str">
            <v>Virtus Health</v>
          </cell>
          <cell r="E1242" t="str">
            <v>Laboratory Support Assistant</v>
          </cell>
          <cell r="F1242">
            <v>45845</v>
          </cell>
          <cell r="H1242" t="str">
            <v>IVFT2024</v>
          </cell>
          <cell r="I1242" t="str">
            <v>NSW</v>
          </cell>
          <cell r="J1242" t="str">
            <v>Full Time</v>
          </cell>
          <cell r="K1242">
            <v>45845</v>
          </cell>
          <cell r="L1242">
            <v>45845</v>
          </cell>
        </row>
        <row r="1243">
          <cell r="A1243" t="str">
            <v>AU23704</v>
          </cell>
          <cell r="B1243" t="str">
            <v>6/23/2003</v>
          </cell>
          <cell r="C1243" t="str">
            <v>NSW-QLD</v>
          </cell>
          <cell r="D1243" t="str">
            <v>Virtus Health</v>
          </cell>
          <cell r="E1243" t="str">
            <v>Donor Coordinator</v>
          </cell>
          <cell r="F1243" t="str">
            <v>6/23/2025</v>
          </cell>
          <cell r="H1243" t="str">
            <v>IVFS2023</v>
          </cell>
          <cell r="I1243" t="str">
            <v>NSW</v>
          </cell>
          <cell r="J1243" t="str">
            <v>Part Time</v>
          </cell>
          <cell r="K1243" t="str">
            <v>6/23/2025</v>
          </cell>
          <cell r="L1243" t="str">
            <v>6/23/2025</v>
          </cell>
        </row>
        <row r="1244">
          <cell r="A1244" t="str">
            <v>AU23705</v>
          </cell>
          <cell r="B1244">
            <v>37870</v>
          </cell>
          <cell r="C1244" t="str">
            <v>VIC-TAS</v>
          </cell>
          <cell r="D1244" t="str">
            <v>Virtus Health</v>
          </cell>
          <cell r="E1244" t="str">
            <v>Administration Clerk</v>
          </cell>
          <cell r="F1244">
            <v>45906</v>
          </cell>
          <cell r="H1244" t="str">
            <v>MIVFS2022</v>
          </cell>
          <cell r="I1244" t="str">
            <v>VIC</v>
          </cell>
          <cell r="J1244" t="str">
            <v>Casual</v>
          </cell>
          <cell r="K1244">
            <v>45906</v>
          </cell>
          <cell r="L1244">
            <v>45906</v>
          </cell>
        </row>
        <row r="1245">
          <cell r="A1245" t="str">
            <v>AU23707</v>
          </cell>
          <cell r="B1245" t="str">
            <v>6/25/2003</v>
          </cell>
          <cell r="C1245" t="str">
            <v>VIC-TAS</v>
          </cell>
          <cell r="D1245" t="str">
            <v>Virtus Health</v>
          </cell>
          <cell r="E1245" t="str">
            <v>Assistant in Nursing</v>
          </cell>
          <cell r="F1245" t="str">
            <v>6/25/2025</v>
          </cell>
          <cell r="H1245" t="str">
            <v>VIC</v>
          </cell>
          <cell r="I1245" t="str">
            <v>VIC</v>
          </cell>
          <cell r="J1245" t="str">
            <v>Casual</v>
          </cell>
          <cell r="K1245" t="str">
            <v>6/25/2025</v>
          </cell>
          <cell r="L1245" t="str">
            <v>6/25/2025</v>
          </cell>
        </row>
        <row r="1246">
          <cell r="A1246" t="str">
            <v>AU23708</v>
          </cell>
          <cell r="B1246" t="str">
            <v>7/14/2003</v>
          </cell>
          <cell r="C1246" t="str">
            <v>NSW-QLD</v>
          </cell>
          <cell r="D1246" t="str">
            <v>Virtus Health</v>
          </cell>
          <cell r="E1246" t="str">
            <v>Assistant in Nursing</v>
          </cell>
          <cell r="F1246" t="str">
            <v>7/14/2025</v>
          </cell>
          <cell r="H1246" t="str">
            <v>IVFN2021</v>
          </cell>
          <cell r="I1246" t="str">
            <v>NSW</v>
          </cell>
          <cell r="J1246" t="str">
            <v>Part Time</v>
          </cell>
          <cell r="K1246" t="str">
            <v>7/14/2025</v>
          </cell>
          <cell r="L1246" t="str">
            <v>7/14/2025</v>
          </cell>
        </row>
        <row r="1247">
          <cell r="A1247" t="str">
            <v>AU23709</v>
          </cell>
          <cell r="B1247">
            <v>37809</v>
          </cell>
          <cell r="C1247" t="str">
            <v>VIC-TAS</v>
          </cell>
          <cell r="D1247" t="str">
            <v>Virtus Health</v>
          </cell>
          <cell r="E1247" t="str">
            <v>Registered Nurse</v>
          </cell>
          <cell r="F1247">
            <v>45845</v>
          </cell>
          <cell r="H1247" t="str">
            <v>TIVF2024</v>
          </cell>
          <cell r="I1247" t="str">
            <v>TAS</v>
          </cell>
          <cell r="J1247" t="str">
            <v>Casual</v>
          </cell>
          <cell r="K1247">
            <v>45845</v>
          </cell>
          <cell r="L1247">
            <v>45845</v>
          </cell>
        </row>
        <row r="1248">
          <cell r="A1248" t="str">
            <v>AU23711</v>
          </cell>
          <cell r="B1248">
            <v>37838</v>
          </cell>
          <cell r="C1248" t="str">
            <v>NSW-QLD</v>
          </cell>
          <cell r="D1248" t="str">
            <v>Virtus Health</v>
          </cell>
          <cell r="E1248" t="str">
            <v>CSSD Technician</v>
          </cell>
          <cell r="F1248">
            <v>45874</v>
          </cell>
          <cell r="H1248" t="str">
            <v>IVFS2023</v>
          </cell>
          <cell r="I1248" t="str">
            <v>NSW</v>
          </cell>
          <cell r="J1248" t="str">
            <v>Casual</v>
          </cell>
          <cell r="K1248">
            <v>45874</v>
          </cell>
          <cell r="L1248">
            <v>45874</v>
          </cell>
        </row>
        <row r="1249">
          <cell r="A1249" t="str">
            <v>AU23712</v>
          </cell>
          <cell r="B1249" t="str">
            <v>6/30/2003</v>
          </cell>
          <cell r="C1249" t="str">
            <v>NSW-QLD</v>
          </cell>
          <cell r="D1249" t="str">
            <v>Virtus Health</v>
          </cell>
          <cell r="E1249" t="str">
            <v xml:space="preserve">Business Development Manager </v>
          </cell>
          <cell r="F1249" t="str">
            <v>6/30/2025</v>
          </cell>
          <cell r="H1249" t="str">
            <v>NSW</v>
          </cell>
          <cell r="I1249" t="str">
            <v>NSW</v>
          </cell>
          <cell r="J1249" t="str">
            <v>Full Time</v>
          </cell>
          <cell r="K1249" t="str">
            <v>6/30/2025</v>
          </cell>
          <cell r="L1249" t="str">
            <v>6/30/2025</v>
          </cell>
        </row>
        <row r="1250">
          <cell r="A1250" t="str">
            <v>AU23713</v>
          </cell>
          <cell r="B1250">
            <v>37809</v>
          </cell>
          <cell r="C1250" t="str">
            <v>VIC-TAS</v>
          </cell>
          <cell r="D1250" t="str">
            <v>Virtus Health</v>
          </cell>
          <cell r="E1250" t="str">
            <v>IVF Laboratory Administrator</v>
          </cell>
          <cell r="F1250">
            <v>45845</v>
          </cell>
          <cell r="H1250" t="str">
            <v>MIVFS2022</v>
          </cell>
          <cell r="I1250" t="str">
            <v>VIC</v>
          </cell>
          <cell r="J1250" t="str">
            <v>Full Time</v>
          </cell>
          <cell r="K1250">
            <v>45845</v>
          </cell>
          <cell r="L1250">
            <v>45845</v>
          </cell>
        </row>
        <row r="1251">
          <cell r="A1251" t="str">
            <v>AU23714</v>
          </cell>
          <cell r="B1251" t="str">
            <v>6/30/2003</v>
          </cell>
          <cell r="C1251" t="str">
            <v>NSW-QLD</v>
          </cell>
          <cell r="D1251" t="str">
            <v>Virtus Health</v>
          </cell>
          <cell r="E1251" t="str">
            <v>Assistant in Nursing</v>
          </cell>
          <cell r="F1251" t="str">
            <v>6/30/2025</v>
          </cell>
          <cell r="H1251" t="str">
            <v>IVFN2021</v>
          </cell>
          <cell r="I1251" t="str">
            <v>NSW</v>
          </cell>
          <cell r="J1251" t="str">
            <v>Part Time</v>
          </cell>
          <cell r="K1251" t="str">
            <v>6/30/2025</v>
          </cell>
          <cell r="L1251" t="str">
            <v>6/30/2025</v>
          </cell>
        </row>
        <row r="1252">
          <cell r="A1252" t="str">
            <v>AU23715</v>
          </cell>
          <cell r="B1252">
            <v>37718</v>
          </cell>
          <cell r="C1252" t="str">
            <v>NSW-QLD</v>
          </cell>
          <cell r="D1252" t="str">
            <v>Virtus Health</v>
          </cell>
          <cell r="E1252" t="str">
            <v>Registered Nurse</v>
          </cell>
          <cell r="F1252">
            <v>45754</v>
          </cell>
          <cell r="H1252" t="str">
            <v>IVFN2021</v>
          </cell>
          <cell r="I1252" t="str">
            <v>NSW</v>
          </cell>
          <cell r="J1252" t="str">
            <v>Part Time</v>
          </cell>
          <cell r="K1252">
            <v>45754</v>
          </cell>
          <cell r="L1252">
            <v>45754</v>
          </cell>
        </row>
        <row r="1253">
          <cell r="A1253" t="str">
            <v>AU23716</v>
          </cell>
          <cell r="B1253" t="str">
            <v>6/30/2003</v>
          </cell>
          <cell r="C1253" t="str">
            <v>NSW-QLD</v>
          </cell>
          <cell r="D1253" t="str">
            <v>Virtus Health</v>
          </cell>
          <cell r="E1253" t="str">
            <v>Assistant in Nursing</v>
          </cell>
          <cell r="F1253" t="str">
            <v>6/30/2025</v>
          </cell>
          <cell r="H1253" t="str">
            <v>IVFN2021</v>
          </cell>
          <cell r="I1253" t="str">
            <v>NSW</v>
          </cell>
          <cell r="J1253" t="str">
            <v>Part Time</v>
          </cell>
          <cell r="K1253" t="str">
            <v>6/30/2025</v>
          </cell>
          <cell r="L1253" t="str">
            <v>6/30/2025</v>
          </cell>
        </row>
        <row r="1254">
          <cell r="A1254" t="str">
            <v>AU23717</v>
          </cell>
          <cell r="B1254" t="str">
            <v>7/21/2003</v>
          </cell>
          <cell r="C1254" t="str">
            <v>VIC-TAS</v>
          </cell>
          <cell r="D1254" t="str">
            <v>Virtus Health</v>
          </cell>
          <cell r="E1254" t="str">
            <v>Medical Secretary</v>
          </cell>
          <cell r="F1254" t="str">
            <v>7/21/2025</v>
          </cell>
          <cell r="H1254" t="str">
            <v>MIVFS2022</v>
          </cell>
          <cell r="I1254" t="str">
            <v>VIC</v>
          </cell>
          <cell r="J1254" t="str">
            <v>Full Time</v>
          </cell>
          <cell r="K1254" t="str">
            <v>7/21/2025</v>
          </cell>
          <cell r="L1254" t="str">
            <v>7/21/2025</v>
          </cell>
        </row>
        <row r="1255">
          <cell r="A1255" t="str">
            <v>AU23718</v>
          </cell>
          <cell r="B1255" t="str">
            <v>6/16/2003</v>
          </cell>
          <cell r="C1255" t="str">
            <v>NSW-QLD</v>
          </cell>
          <cell r="D1255" t="str">
            <v>Virtus Health</v>
          </cell>
          <cell r="E1255" t="str">
            <v>Registered Nurse</v>
          </cell>
          <cell r="F1255" t="str">
            <v>6/16/2025</v>
          </cell>
          <cell r="H1255" t="str">
            <v>IVFN2021</v>
          </cell>
          <cell r="I1255" t="str">
            <v>NSW</v>
          </cell>
          <cell r="J1255" t="str">
            <v>Part Time</v>
          </cell>
          <cell r="K1255" t="str">
            <v>6/16/2025</v>
          </cell>
          <cell r="L1255" t="str">
            <v>6/16/2025</v>
          </cell>
        </row>
        <row r="1256">
          <cell r="A1256" t="str">
            <v>AU23719</v>
          </cell>
          <cell r="B1256">
            <v>37809</v>
          </cell>
          <cell r="C1256" t="str">
            <v>NSW-QLD</v>
          </cell>
          <cell r="D1256" t="str">
            <v>Virtus Health</v>
          </cell>
          <cell r="E1256" t="str">
            <v>Registered Nurse</v>
          </cell>
          <cell r="F1256">
            <v>45845</v>
          </cell>
          <cell r="H1256" t="str">
            <v>IVFN2021</v>
          </cell>
          <cell r="I1256" t="str">
            <v>NSW</v>
          </cell>
          <cell r="J1256" t="str">
            <v>Casual</v>
          </cell>
          <cell r="K1256">
            <v>45845</v>
          </cell>
          <cell r="L1256">
            <v>45845</v>
          </cell>
        </row>
        <row r="1257">
          <cell r="A1257" t="str">
            <v>AU23721</v>
          </cell>
          <cell r="B1257" t="str">
            <v>7/28/2003</v>
          </cell>
          <cell r="C1257" t="str">
            <v>NSW-QLD</v>
          </cell>
          <cell r="D1257" t="str">
            <v>Virtus Health</v>
          </cell>
          <cell r="E1257" t="str">
            <v>National Business Developement Manager</v>
          </cell>
          <cell r="F1257" t="str">
            <v>7/28/2025</v>
          </cell>
          <cell r="H1257" t="str">
            <v>VIC</v>
          </cell>
          <cell r="I1257" t="str">
            <v>VIC</v>
          </cell>
          <cell r="J1257" t="str">
            <v>Full Time</v>
          </cell>
          <cell r="K1257" t="str">
            <v>7/28/2025</v>
          </cell>
          <cell r="L1257" t="str">
            <v>7/28/2025</v>
          </cell>
        </row>
        <row r="1258">
          <cell r="A1258" t="str">
            <v>AU23722</v>
          </cell>
          <cell r="B1258" t="str">
            <v>7/21/2003</v>
          </cell>
          <cell r="C1258" t="str">
            <v>NSW-QLD</v>
          </cell>
          <cell r="D1258" t="str">
            <v>Virtus Health</v>
          </cell>
          <cell r="E1258" t="str">
            <v>Technonogy Operations Engineer</v>
          </cell>
          <cell r="F1258" t="str">
            <v>7/21/2025</v>
          </cell>
          <cell r="H1258" t="str">
            <v>NSW</v>
          </cell>
          <cell r="I1258" t="str">
            <v>NSW</v>
          </cell>
          <cell r="J1258" t="str">
            <v>Full Time</v>
          </cell>
          <cell r="K1258" t="str">
            <v>7/21/2025</v>
          </cell>
          <cell r="L1258" t="str">
            <v>7/21/2025</v>
          </cell>
        </row>
        <row r="1259">
          <cell r="A1259" t="str">
            <v>AU23724</v>
          </cell>
          <cell r="B1259" t="str">
            <v>7/14/2003</v>
          </cell>
          <cell r="C1259" t="str">
            <v>NSW-QLD</v>
          </cell>
          <cell r="D1259" t="str">
            <v>Virtus Health</v>
          </cell>
          <cell r="E1259" t="str">
            <v>Registered Nurse</v>
          </cell>
          <cell r="F1259" t="str">
            <v>7/14/2025</v>
          </cell>
          <cell r="H1259" t="str">
            <v>IVFN2021</v>
          </cell>
          <cell r="I1259" t="str">
            <v>ACT</v>
          </cell>
          <cell r="J1259" t="str">
            <v>Part Time</v>
          </cell>
          <cell r="K1259" t="str">
            <v>7/14/2025</v>
          </cell>
          <cell r="L1259" t="str">
            <v>7/14/2025</v>
          </cell>
        </row>
        <row r="1260">
          <cell r="A1260" t="str">
            <v>AU23725</v>
          </cell>
          <cell r="B1260" t="str">
            <v>7/21/2003</v>
          </cell>
          <cell r="C1260" t="str">
            <v>VIC-TAS</v>
          </cell>
          <cell r="D1260" t="str">
            <v>Virtus Health</v>
          </cell>
          <cell r="E1260" t="str">
            <v>Registered Nurse</v>
          </cell>
          <cell r="F1260" t="str">
            <v>7/21/2025</v>
          </cell>
          <cell r="H1260" t="str">
            <v>MIVFN2023</v>
          </cell>
          <cell r="I1260" t="str">
            <v>VIC</v>
          </cell>
          <cell r="J1260" t="str">
            <v>Part Time</v>
          </cell>
          <cell r="K1260" t="str">
            <v>7/21/2025</v>
          </cell>
          <cell r="L1260" t="str">
            <v>7/21/2025</v>
          </cell>
        </row>
        <row r="1261">
          <cell r="A1261" t="str">
            <v>AU23726</v>
          </cell>
          <cell r="B1261">
            <v>37809</v>
          </cell>
          <cell r="C1261" t="str">
            <v>NSW-QLD</v>
          </cell>
          <cell r="D1261" t="str">
            <v>Virtus Health</v>
          </cell>
          <cell r="E1261" t="str">
            <v>Social media Coordinator</v>
          </cell>
          <cell r="F1261">
            <v>45845</v>
          </cell>
          <cell r="H1261" t="str">
            <v>NSW</v>
          </cell>
          <cell r="I1261" t="str">
            <v>NSW</v>
          </cell>
          <cell r="J1261" t="str">
            <v>Full Time</v>
          </cell>
          <cell r="K1261">
            <v>45845</v>
          </cell>
          <cell r="L1261">
            <v>45845</v>
          </cell>
        </row>
        <row r="1262">
          <cell r="A1262" t="str">
            <v>AU23727</v>
          </cell>
          <cell r="B1262" t="str">
            <v>7/14/2003</v>
          </cell>
          <cell r="C1262" t="str">
            <v>NSW-QLD</v>
          </cell>
          <cell r="D1262" t="str">
            <v>Virtus Health</v>
          </cell>
          <cell r="E1262" t="str">
            <v>Head of Property &amp;Facilities</v>
          </cell>
          <cell r="F1262" t="str">
            <v>7/14/2025</v>
          </cell>
          <cell r="H1262" t="str">
            <v>VIC</v>
          </cell>
          <cell r="I1262" t="str">
            <v>VIC</v>
          </cell>
          <cell r="J1262" t="str">
            <v>Full Time</v>
          </cell>
          <cell r="K1262" t="str">
            <v>7/14/2025</v>
          </cell>
          <cell r="L1262" t="str">
            <v>7/14/2025</v>
          </cell>
        </row>
        <row r="1263">
          <cell r="A1263" t="str">
            <v>AU23728</v>
          </cell>
          <cell r="B1263" t="str">
            <v>7/14/2003</v>
          </cell>
          <cell r="C1263" t="str">
            <v>VIC-TAS</v>
          </cell>
          <cell r="D1263" t="str">
            <v>Virtus Health</v>
          </cell>
          <cell r="E1263" t="str">
            <v>Registered Nurse</v>
          </cell>
          <cell r="F1263" t="str">
            <v>7/14/2025</v>
          </cell>
          <cell r="H1263" t="str">
            <v>MIVFN2023</v>
          </cell>
          <cell r="I1263" t="str">
            <v>VIC</v>
          </cell>
          <cell r="J1263" t="str">
            <v>Part Time</v>
          </cell>
          <cell r="K1263" t="str">
            <v>7/14/2025</v>
          </cell>
          <cell r="L1263" t="str">
            <v>7/14/2025</v>
          </cell>
        </row>
        <row r="1264">
          <cell r="A1264" t="str">
            <v>AU23729</v>
          </cell>
          <cell r="B1264">
            <v>37719</v>
          </cell>
          <cell r="C1264" t="str">
            <v>NSW-QLD</v>
          </cell>
          <cell r="D1264" t="str">
            <v>Virtus Health</v>
          </cell>
          <cell r="E1264" t="str">
            <v>Director of Nursing</v>
          </cell>
          <cell r="F1264">
            <v>45755</v>
          </cell>
          <cell r="H1264" t="str">
            <v>IVFN2021</v>
          </cell>
          <cell r="I1264" t="str">
            <v>NSW</v>
          </cell>
          <cell r="J1264" t="str">
            <v>Full Time</v>
          </cell>
          <cell r="K1264">
            <v>45755</v>
          </cell>
          <cell r="L1264">
            <v>45755</v>
          </cell>
        </row>
        <row r="1265">
          <cell r="A1265" t="str">
            <v>AU23731</v>
          </cell>
          <cell r="B1265" t="str">
            <v>7/28/2003</v>
          </cell>
          <cell r="C1265" t="str">
            <v>NSW-QLD</v>
          </cell>
          <cell r="D1265" t="str">
            <v>Virtus Health</v>
          </cell>
          <cell r="E1265" t="str">
            <v>Trainee Embryologist</v>
          </cell>
          <cell r="F1265" t="str">
            <v>7/28/2025</v>
          </cell>
          <cell r="H1265" t="str">
            <v>QS2024</v>
          </cell>
          <cell r="I1265" t="str">
            <v>NSW</v>
          </cell>
          <cell r="J1265" t="str">
            <v>Full Time</v>
          </cell>
          <cell r="K1265" t="str">
            <v>7/28/2025</v>
          </cell>
          <cell r="L1265" t="str">
            <v>7/28/2025</v>
          </cell>
        </row>
        <row r="1266">
          <cell r="A1266" t="str">
            <v>AU23732</v>
          </cell>
          <cell r="B1266" t="str">
            <v>7/28/2003</v>
          </cell>
          <cell r="C1266" t="str">
            <v>NSW-QLD</v>
          </cell>
          <cell r="D1266" t="str">
            <v>Virtus Health</v>
          </cell>
          <cell r="E1266" t="str">
            <v>Phlebotomist</v>
          </cell>
          <cell r="F1266" t="str">
            <v>7/28/2025</v>
          </cell>
          <cell r="H1266" t="str">
            <v>IVFS2023</v>
          </cell>
          <cell r="I1266" t="str">
            <v>QLD</v>
          </cell>
          <cell r="J1266" t="str">
            <v>Part Time</v>
          </cell>
          <cell r="K1266" t="str">
            <v>7/28/2025</v>
          </cell>
          <cell r="L1266" t="str">
            <v>7/28/2025</v>
          </cell>
        </row>
        <row r="1267">
          <cell r="A1267" t="str">
            <v>AU23733</v>
          </cell>
          <cell r="B1267" t="str">
            <v>7/28/2003</v>
          </cell>
          <cell r="C1267" t="str">
            <v>NSW-QLD</v>
          </cell>
          <cell r="D1267" t="str">
            <v>Virtus Health</v>
          </cell>
          <cell r="E1267" t="str">
            <v>Phlebotomist</v>
          </cell>
          <cell r="F1267" t="str">
            <v>7/28/2025</v>
          </cell>
          <cell r="H1267" t="str">
            <v>IVFS2023</v>
          </cell>
          <cell r="I1267" t="str">
            <v>QLD</v>
          </cell>
          <cell r="J1267" t="str">
            <v>Part Time</v>
          </cell>
          <cell r="K1267" t="str">
            <v>7/28/2025</v>
          </cell>
          <cell r="L1267" t="str">
            <v>7/28/2025</v>
          </cell>
        </row>
        <row r="1268">
          <cell r="A1268" t="str">
            <v>AU23734</v>
          </cell>
          <cell r="B1268" t="str">
            <v>7/28/2003</v>
          </cell>
          <cell r="C1268" t="str">
            <v>NSW-QLD</v>
          </cell>
          <cell r="D1268" t="str">
            <v>Virtus Health</v>
          </cell>
          <cell r="E1268" t="str">
            <v>Phlebotomist</v>
          </cell>
          <cell r="F1268" t="str">
            <v>7/28/2025</v>
          </cell>
          <cell r="H1268" t="str">
            <v>IVFS2023</v>
          </cell>
          <cell r="I1268" t="str">
            <v>QLD</v>
          </cell>
          <cell r="J1268" t="str">
            <v>Part Time</v>
          </cell>
          <cell r="K1268" t="str">
            <v>7/28/2025</v>
          </cell>
          <cell r="L1268" t="str">
            <v>7/28/2025</v>
          </cell>
        </row>
        <row r="1269">
          <cell r="A1269" t="str">
            <v>AU23736</v>
          </cell>
          <cell r="B1269" t="str">
            <v>7/21/2003</v>
          </cell>
          <cell r="C1269" t="str">
            <v>VIC-TAS</v>
          </cell>
          <cell r="D1269" t="str">
            <v>Virtus Health</v>
          </cell>
          <cell r="E1269" t="str">
            <v>Registered Nurse</v>
          </cell>
          <cell r="F1269" t="str">
            <v>7/21/2025</v>
          </cell>
          <cell r="H1269" t="str">
            <v>MIVFN2023</v>
          </cell>
          <cell r="I1269" t="str">
            <v>VIC</v>
          </cell>
          <cell r="J1269" t="str">
            <v>Full Time</v>
          </cell>
          <cell r="K1269" t="str">
            <v>7/21/2025</v>
          </cell>
          <cell r="L1269" t="str">
            <v>7/21/2025</v>
          </cell>
        </row>
        <row r="1270">
          <cell r="A1270" t="str">
            <v>AU23738</v>
          </cell>
          <cell r="B1270">
            <v>37719</v>
          </cell>
          <cell r="C1270" t="str">
            <v>NSW-QLD</v>
          </cell>
          <cell r="D1270" t="str">
            <v>Virtus Health</v>
          </cell>
          <cell r="E1270" t="str">
            <v>Technology Support Engineer</v>
          </cell>
          <cell r="F1270">
            <v>45755</v>
          </cell>
          <cell r="H1270" t="str">
            <v>NSW</v>
          </cell>
          <cell r="I1270" t="str">
            <v>NSW</v>
          </cell>
          <cell r="J1270" t="str">
            <v>Full Time</v>
          </cell>
          <cell r="K1270">
            <v>45755</v>
          </cell>
          <cell r="L1270">
            <v>45755</v>
          </cell>
        </row>
        <row r="1271">
          <cell r="A1271" t="str">
            <v>AU23739</v>
          </cell>
          <cell r="B1271">
            <v>37719</v>
          </cell>
          <cell r="C1271" t="str">
            <v>NSW-QLD</v>
          </cell>
          <cell r="D1271" t="str">
            <v>Virtus Health</v>
          </cell>
          <cell r="E1271" t="str">
            <v>Head of legal</v>
          </cell>
          <cell r="F1271">
            <v>45755</v>
          </cell>
          <cell r="H1271" t="str">
            <v>NSW</v>
          </cell>
          <cell r="I1271" t="str">
            <v>NSW</v>
          </cell>
          <cell r="J1271" t="str">
            <v>Part Time</v>
          </cell>
          <cell r="K1271">
            <v>45755</v>
          </cell>
          <cell r="L1271">
            <v>45755</v>
          </cell>
        </row>
        <row r="1272">
          <cell r="A1272" t="str">
            <v>AU23740</v>
          </cell>
          <cell r="B1272" t="str">
            <v>7/22/2003</v>
          </cell>
          <cell r="C1272" t="str">
            <v>NSW-QLD</v>
          </cell>
          <cell r="D1272" t="str">
            <v>Virtus Health</v>
          </cell>
          <cell r="E1272" t="str">
            <v>EVENTS COORDINATOR</v>
          </cell>
          <cell r="F1272" t="str">
            <v>7/22/2025</v>
          </cell>
          <cell r="H1272" t="str">
            <v>NSW</v>
          </cell>
          <cell r="I1272" t="str">
            <v>NSW</v>
          </cell>
          <cell r="J1272" t="str">
            <v>Full Time</v>
          </cell>
          <cell r="K1272" t="str">
            <v>7/22/2025</v>
          </cell>
          <cell r="L1272" t="str">
            <v>7/22/2025</v>
          </cell>
        </row>
        <row r="1273">
          <cell r="A1273" t="str">
            <v>AU23741</v>
          </cell>
          <cell r="B1273" t="str">
            <v>7/22/2003</v>
          </cell>
          <cell r="C1273" t="str">
            <v>NSW-QLD</v>
          </cell>
          <cell r="D1273" t="str">
            <v>Virtus Health</v>
          </cell>
          <cell r="E1273" t="str">
            <v>Laboratory Administration Assistant</v>
          </cell>
          <cell r="F1273" t="str">
            <v>7/22/2025</v>
          </cell>
          <cell r="H1273" t="str">
            <v>IVFS2023</v>
          </cell>
          <cell r="I1273" t="str">
            <v>QLD</v>
          </cell>
          <cell r="J1273" t="str">
            <v>Casual</v>
          </cell>
          <cell r="K1273" t="str">
            <v>7/22/2025</v>
          </cell>
          <cell r="L1273" t="str">
            <v>7/22/2025</v>
          </cell>
        </row>
        <row r="1274">
          <cell r="A1274" t="str">
            <v>AU23742</v>
          </cell>
          <cell r="B1274" t="str">
            <v>7/21/2003</v>
          </cell>
          <cell r="C1274" t="str">
            <v>NSW-QLD</v>
          </cell>
          <cell r="D1274" t="str">
            <v>Virtus Health</v>
          </cell>
          <cell r="E1274" t="str">
            <v>Administration Officer</v>
          </cell>
          <cell r="F1274" t="str">
            <v>7/21/2025</v>
          </cell>
          <cell r="H1274" t="str">
            <v>IVFS2023</v>
          </cell>
          <cell r="I1274" t="str">
            <v>ACT</v>
          </cell>
          <cell r="J1274" t="str">
            <v>Casual</v>
          </cell>
          <cell r="K1274" t="str">
            <v>7/21/2025</v>
          </cell>
          <cell r="L1274" t="str">
            <v>7/21/2025</v>
          </cell>
        </row>
        <row r="1275">
          <cell r="A1275" t="str">
            <v>AU23744</v>
          </cell>
          <cell r="B1275" t="str">
            <v>6/16/2003</v>
          </cell>
          <cell r="C1275" t="str">
            <v>VIC-TAS</v>
          </cell>
          <cell r="D1275" t="str">
            <v>Virtus Health</v>
          </cell>
          <cell r="E1275" t="str">
            <v>Registered Nurse</v>
          </cell>
          <cell r="F1275" t="str">
            <v>6/16/2025</v>
          </cell>
          <cell r="H1275" t="str">
            <v>MIVFN2023</v>
          </cell>
          <cell r="I1275" t="str">
            <v>VIC</v>
          </cell>
          <cell r="J1275" t="str">
            <v>Part Time</v>
          </cell>
          <cell r="K1275" t="str">
            <v>6/16/2025</v>
          </cell>
          <cell r="L1275" t="str">
            <v>6/16/2025</v>
          </cell>
        </row>
        <row r="1276">
          <cell r="A1276" t="str">
            <v>AU23745</v>
          </cell>
          <cell r="B1276" t="str">
            <v>7/14/2003</v>
          </cell>
          <cell r="C1276" t="str">
            <v>VIC-TAS</v>
          </cell>
          <cell r="D1276" t="str">
            <v>Virtus Health</v>
          </cell>
          <cell r="E1276" t="str">
            <v>Registered Nurse</v>
          </cell>
          <cell r="F1276" t="str">
            <v>7/14/2025</v>
          </cell>
          <cell r="H1276" t="str">
            <v>MIVFN2023</v>
          </cell>
          <cell r="I1276" t="str">
            <v>VIC</v>
          </cell>
          <cell r="J1276" t="str">
            <v>Full Time</v>
          </cell>
          <cell r="K1276" t="str">
            <v>7/14/2025</v>
          </cell>
          <cell r="L1276" t="str">
            <v>7/14/2025</v>
          </cell>
        </row>
        <row r="1277">
          <cell r="A1277" t="str">
            <v>AU23746</v>
          </cell>
          <cell r="B1277" t="str">
            <v>7/14/2003</v>
          </cell>
          <cell r="C1277" t="str">
            <v>VIC-TAS</v>
          </cell>
          <cell r="D1277" t="str">
            <v>Virtus Health</v>
          </cell>
          <cell r="E1277" t="str">
            <v>Registered Nurse</v>
          </cell>
          <cell r="F1277" t="str">
            <v>7/14/2025</v>
          </cell>
          <cell r="H1277" t="str">
            <v>MIVFN2023</v>
          </cell>
          <cell r="I1277" t="str">
            <v>VIC</v>
          </cell>
          <cell r="J1277" t="str">
            <v>Casual</v>
          </cell>
          <cell r="K1277" t="str">
            <v>7/14/2025</v>
          </cell>
          <cell r="L1277" t="str">
            <v>7/14/2025</v>
          </cell>
        </row>
        <row r="1278">
          <cell r="A1278" t="str">
            <v>AU23747</v>
          </cell>
          <cell r="B1278" t="str">
            <v>7/14/2003</v>
          </cell>
          <cell r="C1278" t="str">
            <v>VIC-TAS</v>
          </cell>
          <cell r="D1278" t="str">
            <v>Virtus Health</v>
          </cell>
          <cell r="E1278" t="str">
            <v>Registered Nurse</v>
          </cell>
          <cell r="F1278" t="str">
            <v>7/14/2025</v>
          </cell>
          <cell r="H1278" t="str">
            <v>MIVFN2023</v>
          </cell>
          <cell r="I1278" t="str">
            <v>VIC</v>
          </cell>
          <cell r="J1278" t="str">
            <v>Part Time</v>
          </cell>
          <cell r="K1278" t="str">
            <v>7/14/2025</v>
          </cell>
          <cell r="L1278" t="str">
            <v>7/14/2025</v>
          </cell>
        </row>
        <row r="1279">
          <cell r="A1279" t="str">
            <v>AU23748</v>
          </cell>
          <cell r="B1279" t="str">
            <v>8/25/2003</v>
          </cell>
          <cell r="C1279" t="str">
            <v>NSW-QLD</v>
          </cell>
          <cell r="D1279" t="str">
            <v>Virtus Health</v>
          </cell>
          <cell r="E1279" t="str">
            <v>Senior Service Delivery Manager</v>
          </cell>
          <cell r="F1279" t="str">
            <v>8/25/2025</v>
          </cell>
          <cell r="H1279" t="str">
            <v>VIC</v>
          </cell>
          <cell r="I1279" t="str">
            <v>VIC</v>
          </cell>
          <cell r="J1279" t="str">
            <v>Full Time</v>
          </cell>
          <cell r="K1279" t="str">
            <v>8/25/2025</v>
          </cell>
          <cell r="L1279" t="str">
            <v>8/25/2025</v>
          </cell>
        </row>
        <row r="1280">
          <cell r="A1280" t="str">
            <v>AU23749</v>
          </cell>
          <cell r="B1280" t="str">
            <v>7/28/2003</v>
          </cell>
          <cell r="C1280" t="str">
            <v>NSW-QLD</v>
          </cell>
          <cell r="D1280" t="str">
            <v>Virtus Health</v>
          </cell>
          <cell r="E1280" t="str">
            <v>Nurse Coordinator</v>
          </cell>
          <cell r="F1280" t="str">
            <v>7/28/2025</v>
          </cell>
          <cell r="H1280" t="str">
            <v>IVFN2021</v>
          </cell>
          <cell r="I1280" t="str">
            <v>NSW</v>
          </cell>
          <cell r="J1280" t="str">
            <v>Full Time</v>
          </cell>
          <cell r="K1280" t="str">
            <v>7/28/2025</v>
          </cell>
          <cell r="L1280" t="str">
            <v>7/28/2025</v>
          </cell>
        </row>
        <row r="1281">
          <cell r="A1281" t="str">
            <v>AU23750</v>
          </cell>
          <cell r="B1281" t="str">
            <v>7/28/2003</v>
          </cell>
          <cell r="C1281" t="str">
            <v>NSW-QLD</v>
          </cell>
          <cell r="D1281" t="str">
            <v>Virtus Health</v>
          </cell>
          <cell r="E1281" t="str">
            <v>Laboratory Technician</v>
          </cell>
          <cell r="F1281" t="str">
            <v>7/28/2025</v>
          </cell>
          <cell r="H1281" t="str">
            <v>QS2024</v>
          </cell>
          <cell r="I1281" t="str">
            <v>QLD</v>
          </cell>
          <cell r="J1281" t="str">
            <v>Full Time</v>
          </cell>
          <cell r="K1281" t="str">
            <v>7/28/2025</v>
          </cell>
          <cell r="L1281" t="str">
            <v>7/28/2025</v>
          </cell>
        </row>
        <row r="1282">
          <cell r="A1282" t="str">
            <v>AU23751</v>
          </cell>
          <cell r="B1282" t="str">
            <v>6/16/2003</v>
          </cell>
          <cell r="C1282" t="str">
            <v>NSW-QLD</v>
          </cell>
          <cell r="D1282" t="str">
            <v>Virtus Health</v>
          </cell>
          <cell r="E1282" t="str">
            <v>Nurses Coordinator</v>
          </cell>
          <cell r="F1282" t="str">
            <v>6/16/2025</v>
          </cell>
          <cell r="H1282" t="str">
            <v>QN2025</v>
          </cell>
          <cell r="I1282" t="str">
            <v>QLD</v>
          </cell>
          <cell r="J1282" t="str">
            <v>Part Time</v>
          </cell>
          <cell r="K1282" t="str">
            <v>6/16/2025</v>
          </cell>
          <cell r="L1282" t="str">
            <v>6/16/2025</v>
          </cell>
        </row>
        <row r="1283">
          <cell r="A1283" t="str">
            <v>AU23752</v>
          </cell>
          <cell r="B1283" t="str">
            <v>7/14/2003</v>
          </cell>
          <cell r="C1283" t="str">
            <v>NSW-QLD</v>
          </cell>
          <cell r="D1283" t="str">
            <v>Virtus Health</v>
          </cell>
          <cell r="E1283" t="str">
            <v>Genetic Scientist</v>
          </cell>
          <cell r="F1283" t="str">
            <v>7/14/2025</v>
          </cell>
          <cell r="H1283" t="str">
            <v>QS2024</v>
          </cell>
          <cell r="I1283" t="str">
            <v>VIC</v>
          </cell>
          <cell r="J1283" t="str">
            <v>Casual</v>
          </cell>
          <cell r="K1283" t="str">
            <v>7/14/2025</v>
          </cell>
          <cell r="L1283" t="str">
            <v>7/14/2025</v>
          </cell>
        </row>
        <row r="1284">
          <cell r="A1284" t="str">
            <v>AU23753</v>
          </cell>
          <cell r="B1284" t="str">
            <v>7/27/2003</v>
          </cell>
          <cell r="C1284" t="str">
            <v>NSW-QLD</v>
          </cell>
          <cell r="D1284" t="str">
            <v>Virtus Health</v>
          </cell>
          <cell r="E1284" t="str">
            <v>Assistant in Nursing</v>
          </cell>
          <cell r="F1284" t="str">
            <v>7/27/2025</v>
          </cell>
          <cell r="H1284" t="str">
            <v>IVFN2021</v>
          </cell>
          <cell r="I1284" t="str">
            <v>NSW</v>
          </cell>
          <cell r="J1284" t="str">
            <v>Casual</v>
          </cell>
          <cell r="K1284" t="str">
            <v>7/27/2025</v>
          </cell>
          <cell r="L1284" t="str">
            <v>7/27/2025</v>
          </cell>
        </row>
        <row r="1285">
          <cell r="A1285" t="str">
            <v>AU23754</v>
          </cell>
          <cell r="B1285" t="str">
            <v>7/28/2003</v>
          </cell>
          <cell r="C1285" t="str">
            <v>VIC-TAS</v>
          </cell>
          <cell r="D1285" t="str">
            <v>Virtus Health</v>
          </cell>
          <cell r="E1285" t="str">
            <v>Genetics Intake Officer</v>
          </cell>
          <cell r="F1285" t="str">
            <v>7/28/2025</v>
          </cell>
          <cell r="H1285" t="str">
            <v>MIVFS2022</v>
          </cell>
          <cell r="I1285" t="str">
            <v>VIC</v>
          </cell>
          <cell r="J1285" t="str">
            <v>Part Time</v>
          </cell>
          <cell r="K1285" t="str">
            <v>7/28/2025</v>
          </cell>
          <cell r="L1285" t="str">
            <v>7/28/2025</v>
          </cell>
        </row>
        <row r="1286">
          <cell r="A1286" t="str">
            <v>AU23755</v>
          </cell>
          <cell r="B1286" t="str">
            <v>8/18/2003</v>
          </cell>
          <cell r="C1286" t="str">
            <v>NSW-QLD</v>
          </cell>
          <cell r="D1286" t="str">
            <v>Virtus Health</v>
          </cell>
          <cell r="E1286" t="str">
            <v>Product Manager - Digital Experience</v>
          </cell>
          <cell r="F1286" t="str">
            <v>8/18/2025</v>
          </cell>
          <cell r="H1286" t="str">
            <v>NSW</v>
          </cell>
          <cell r="I1286" t="str">
            <v>NSW</v>
          </cell>
          <cell r="J1286" t="str">
            <v>Full Time</v>
          </cell>
          <cell r="K1286" t="str">
            <v>8/18/2025</v>
          </cell>
          <cell r="L1286" t="str">
            <v>8/18/2025</v>
          </cell>
        </row>
        <row r="1287">
          <cell r="A1287" t="str">
            <v>AU23756</v>
          </cell>
          <cell r="B1287">
            <v>37719</v>
          </cell>
          <cell r="C1287" t="str">
            <v>VIC-TAS</v>
          </cell>
          <cell r="D1287" t="str">
            <v>Virtus Health</v>
          </cell>
          <cell r="E1287" t="str">
            <v>Director of Nursing - MIVFPC</v>
          </cell>
          <cell r="F1287">
            <v>45755</v>
          </cell>
          <cell r="H1287" t="str">
            <v>VIC</v>
          </cell>
          <cell r="I1287" t="str">
            <v>VIC</v>
          </cell>
          <cell r="J1287" t="str">
            <v>Part Time</v>
          </cell>
          <cell r="K1287">
            <v>45755</v>
          </cell>
          <cell r="L1287">
            <v>45755</v>
          </cell>
        </row>
        <row r="1288">
          <cell r="A1288" t="str">
            <v>AU23757</v>
          </cell>
          <cell r="B1288" t="str">
            <v>7/28/2003</v>
          </cell>
          <cell r="C1288" t="str">
            <v>VIC-TAS</v>
          </cell>
          <cell r="D1288" t="str">
            <v>Virtus Health</v>
          </cell>
          <cell r="E1288" t="str">
            <v>Registered Nurse</v>
          </cell>
          <cell r="F1288" t="str">
            <v>7/28/2025</v>
          </cell>
          <cell r="H1288" t="str">
            <v>TIVF2024</v>
          </cell>
          <cell r="I1288" t="str">
            <v>TAS</v>
          </cell>
          <cell r="J1288" t="str">
            <v>Casual</v>
          </cell>
          <cell r="K1288" t="str">
            <v>7/28/2025</v>
          </cell>
          <cell r="L1288" t="str">
            <v>7/28/2025</v>
          </cell>
        </row>
        <row r="1289">
          <cell r="A1289" t="str">
            <v>AU23758</v>
          </cell>
          <cell r="B1289" t="str">
            <v>7/28/2003</v>
          </cell>
          <cell r="C1289" t="str">
            <v>NSW-QLD</v>
          </cell>
          <cell r="D1289" t="str">
            <v>Virtus Health</v>
          </cell>
          <cell r="E1289" t="str">
            <v>Medical Secretary</v>
          </cell>
          <cell r="F1289" t="str">
            <v>7/28/2025</v>
          </cell>
          <cell r="H1289" t="str">
            <v>IVFS2023</v>
          </cell>
          <cell r="I1289" t="str">
            <v>NSW</v>
          </cell>
          <cell r="J1289" t="str">
            <v>Full Time</v>
          </cell>
          <cell r="K1289" t="str">
            <v>7/28/2025</v>
          </cell>
          <cell r="L1289" t="str">
            <v>7/28/2025</v>
          </cell>
        </row>
        <row r="1290">
          <cell r="A1290" t="str">
            <v>AU23759</v>
          </cell>
          <cell r="B1290" t="str">
            <v>7/28/2003</v>
          </cell>
          <cell r="C1290" t="str">
            <v>NSW-QLD</v>
          </cell>
          <cell r="D1290" t="str">
            <v>Virtus Health</v>
          </cell>
          <cell r="E1290" t="str">
            <v>Administration Officer</v>
          </cell>
          <cell r="F1290" t="str">
            <v>7/28/2025</v>
          </cell>
          <cell r="H1290" t="str">
            <v>IVFS2023</v>
          </cell>
          <cell r="I1290" t="str">
            <v>NSW</v>
          </cell>
          <cell r="J1290" t="str">
            <v>Casual</v>
          </cell>
          <cell r="K1290" t="str">
            <v>7/28/2025</v>
          </cell>
          <cell r="L1290" t="str">
            <v>7/28/2025</v>
          </cell>
        </row>
        <row r="1291">
          <cell r="A1291" t="str">
            <v>AU23761</v>
          </cell>
          <cell r="B1291">
            <v>37719</v>
          </cell>
          <cell r="C1291" t="str">
            <v>NSW-QLD</v>
          </cell>
          <cell r="D1291" t="str">
            <v>Virtus Health</v>
          </cell>
          <cell r="E1291" t="str">
            <v>Registered Nurse</v>
          </cell>
          <cell r="F1291">
            <v>45755</v>
          </cell>
          <cell r="H1291" t="str">
            <v>QN2025</v>
          </cell>
          <cell r="I1291" t="str">
            <v>QLD</v>
          </cell>
          <cell r="J1291" t="str">
            <v>Part Time</v>
          </cell>
          <cell r="K1291">
            <v>45755</v>
          </cell>
          <cell r="L1291">
            <v>45755</v>
          </cell>
        </row>
        <row r="1292">
          <cell r="A1292" t="str">
            <v>AU23762</v>
          </cell>
          <cell r="B1292" t="str">
            <v>7/28/2003</v>
          </cell>
          <cell r="C1292" t="str">
            <v>VIC-TAS</v>
          </cell>
          <cell r="D1292" t="str">
            <v>Virtus Health</v>
          </cell>
          <cell r="E1292" t="str">
            <v>Patient Liaison Administrator</v>
          </cell>
          <cell r="F1292" t="str">
            <v>7/28/2025</v>
          </cell>
          <cell r="H1292" t="str">
            <v>MIVFS2022</v>
          </cell>
          <cell r="I1292" t="str">
            <v>VIC</v>
          </cell>
          <cell r="J1292" t="str">
            <v>Full Time</v>
          </cell>
          <cell r="K1292" t="str">
            <v>7/28/2025</v>
          </cell>
          <cell r="L1292" t="str">
            <v>7/28/2025</v>
          </cell>
        </row>
        <row r="1293">
          <cell r="A1293" t="str">
            <v>AU23763</v>
          </cell>
          <cell r="B1293">
            <v>37719</v>
          </cell>
          <cell r="C1293" t="str">
            <v>VIC-TAS</v>
          </cell>
          <cell r="D1293" t="str">
            <v>Virtus Health</v>
          </cell>
          <cell r="E1293" t="str">
            <v>Medical Secretary</v>
          </cell>
          <cell r="F1293">
            <v>45755</v>
          </cell>
          <cell r="H1293" t="str">
            <v>MIVFS2022</v>
          </cell>
          <cell r="I1293" t="str">
            <v>VIC</v>
          </cell>
          <cell r="J1293" t="str">
            <v>Full Time</v>
          </cell>
          <cell r="K1293">
            <v>45755</v>
          </cell>
          <cell r="L1293">
            <v>45755</v>
          </cell>
        </row>
        <row r="1294">
          <cell r="A1294" t="str">
            <v>AU23764</v>
          </cell>
          <cell r="B1294">
            <v>37933</v>
          </cell>
          <cell r="C1294" t="str">
            <v>NSW-QLD</v>
          </cell>
          <cell r="D1294" t="str">
            <v>Virtus Health</v>
          </cell>
          <cell r="E1294" t="str">
            <v>Chief People Officer</v>
          </cell>
          <cell r="F1294">
            <v>45969</v>
          </cell>
          <cell r="H1294" t="str">
            <v>VIC</v>
          </cell>
          <cell r="I1294" t="str">
            <v>VIC</v>
          </cell>
          <cell r="J1294" t="str">
            <v>Part Time</v>
          </cell>
          <cell r="K1294">
            <v>45969</v>
          </cell>
          <cell r="L1294">
            <v>45969</v>
          </cell>
        </row>
        <row r="1295">
          <cell r="A1295" t="str">
            <v>AU23765</v>
          </cell>
          <cell r="B1295">
            <v>37933</v>
          </cell>
          <cell r="C1295" t="str">
            <v>VIC-TAS</v>
          </cell>
          <cell r="D1295" t="str">
            <v>Virtus Health</v>
          </cell>
          <cell r="E1295" t="str">
            <v>Clinical Embryologist</v>
          </cell>
          <cell r="F1295">
            <v>45969</v>
          </cell>
          <cell r="H1295" t="str">
            <v>MIVFS2022</v>
          </cell>
          <cell r="I1295" t="str">
            <v>VIC</v>
          </cell>
          <cell r="J1295" t="str">
            <v>Full Time</v>
          </cell>
          <cell r="K1295">
            <v>45969</v>
          </cell>
          <cell r="L1295">
            <v>45969</v>
          </cell>
        </row>
        <row r="1296">
          <cell r="A1296" t="str">
            <v>AU23766</v>
          </cell>
          <cell r="B1296">
            <v>37933</v>
          </cell>
          <cell r="C1296" t="str">
            <v>NSW-QLD</v>
          </cell>
          <cell r="D1296" t="str">
            <v>Virtus Health</v>
          </cell>
          <cell r="E1296" t="str">
            <v>Head of Commercial Finance</v>
          </cell>
          <cell r="F1296">
            <v>45969</v>
          </cell>
          <cell r="H1296" t="str">
            <v>NSW</v>
          </cell>
          <cell r="I1296" t="str">
            <v>NSW</v>
          </cell>
          <cell r="J1296" t="str">
            <v>Full Time</v>
          </cell>
          <cell r="K1296">
            <v>45969</v>
          </cell>
          <cell r="L1296">
            <v>45969</v>
          </cell>
        </row>
        <row r="1297">
          <cell r="A1297" t="str">
            <v>AU23767</v>
          </cell>
          <cell r="B1297">
            <v>37719</v>
          </cell>
          <cell r="C1297" t="str">
            <v>NSW-QLD</v>
          </cell>
          <cell r="D1297" t="str">
            <v>Virtus Health</v>
          </cell>
          <cell r="E1297" t="str">
            <v>Administration</v>
          </cell>
          <cell r="F1297">
            <v>45755</v>
          </cell>
          <cell r="H1297" t="str">
            <v>IVFS2023</v>
          </cell>
          <cell r="I1297" t="str">
            <v>QLD</v>
          </cell>
          <cell r="J1297" t="str">
            <v>Casual</v>
          </cell>
          <cell r="K1297">
            <v>45755</v>
          </cell>
          <cell r="L1297">
            <v>45755</v>
          </cell>
        </row>
        <row r="1298">
          <cell r="A1298" t="str">
            <v>AU23768</v>
          </cell>
          <cell r="B1298">
            <v>37933</v>
          </cell>
          <cell r="C1298" t="str">
            <v>NSW-QLD</v>
          </cell>
          <cell r="D1298" t="str">
            <v>Virtus Health</v>
          </cell>
          <cell r="E1298" t="str">
            <v>Head of Finance- QFG, VHSD</v>
          </cell>
          <cell r="F1298">
            <v>45969</v>
          </cell>
          <cell r="H1298" t="str">
            <v>QLD</v>
          </cell>
          <cell r="I1298" t="str">
            <v>QLD</v>
          </cell>
          <cell r="J1298" t="str">
            <v>Full Time</v>
          </cell>
          <cell r="K1298">
            <v>45969</v>
          </cell>
          <cell r="L1298">
            <v>45969</v>
          </cell>
        </row>
        <row r="1299">
          <cell r="A1299" t="str">
            <v>AU23769</v>
          </cell>
          <cell r="B1299" t="str">
            <v>7/28/2003</v>
          </cell>
          <cell r="C1299" t="str">
            <v>NSW-QLD</v>
          </cell>
          <cell r="D1299" t="str">
            <v>Virtus Health</v>
          </cell>
          <cell r="E1299" t="str">
            <v>Administration Officer</v>
          </cell>
          <cell r="F1299" t="str">
            <v>7/28/2025</v>
          </cell>
          <cell r="H1299" t="str">
            <v>IVFS2023</v>
          </cell>
          <cell r="I1299" t="str">
            <v>NSW</v>
          </cell>
          <cell r="J1299" t="str">
            <v>Full Time</v>
          </cell>
          <cell r="K1299" t="str">
            <v>7/28/2025</v>
          </cell>
          <cell r="L1299" t="str">
            <v>7/28/2025</v>
          </cell>
        </row>
        <row r="1300">
          <cell r="A1300" t="str">
            <v>AU23770</v>
          </cell>
          <cell r="B1300">
            <v>37933</v>
          </cell>
          <cell r="C1300" t="str">
            <v>NSW-QLD</v>
          </cell>
          <cell r="D1300" t="str">
            <v>Virtus Health</v>
          </cell>
          <cell r="E1300" t="str">
            <v>Courier</v>
          </cell>
          <cell r="F1300">
            <v>45969</v>
          </cell>
          <cell r="H1300" t="str">
            <v>IVFS2023</v>
          </cell>
          <cell r="I1300" t="str">
            <v>NSW</v>
          </cell>
          <cell r="J1300" t="str">
            <v>Part Time</v>
          </cell>
          <cell r="K1300">
            <v>45969</v>
          </cell>
          <cell r="L1300">
            <v>45969</v>
          </cell>
        </row>
        <row r="1301">
          <cell r="A1301" t="str">
            <v>AU23771</v>
          </cell>
          <cell r="B1301">
            <v>37933</v>
          </cell>
          <cell r="C1301" t="str">
            <v>NSW-QLD</v>
          </cell>
          <cell r="D1301" t="str">
            <v>Virtus Health</v>
          </cell>
          <cell r="E1301" t="str">
            <v>Nures Coordinator</v>
          </cell>
          <cell r="F1301">
            <v>45969</v>
          </cell>
          <cell r="H1301" t="str">
            <v>IVFN2021</v>
          </cell>
          <cell r="I1301" t="str">
            <v>NSW</v>
          </cell>
          <cell r="J1301" t="str">
            <v>Part Time</v>
          </cell>
          <cell r="K1301">
            <v>45969</v>
          </cell>
          <cell r="L1301">
            <v>45969</v>
          </cell>
        </row>
        <row r="1302">
          <cell r="A1302" t="str">
            <v>AU23772</v>
          </cell>
          <cell r="B1302">
            <v>37933</v>
          </cell>
          <cell r="C1302" t="str">
            <v>NSW-QLD</v>
          </cell>
          <cell r="D1302" t="str">
            <v>Virtus Health</v>
          </cell>
          <cell r="E1302" t="str">
            <v>Assistant in Nursing</v>
          </cell>
          <cell r="F1302">
            <v>45969</v>
          </cell>
          <cell r="H1302" t="str">
            <v>QN2025</v>
          </cell>
          <cell r="I1302" t="str">
            <v>QLD</v>
          </cell>
          <cell r="J1302" t="str">
            <v>Casual</v>
          </cell>
          <cell r="K1302">
            <v>45969</v>
          </cell>
          <cell r="L1302">
            <v>45969</v>
          </cell>
        </row>
        <row r="1303">
          <cell r="A1303" t="str">
            <v>AU23773</v>
          </cell>
          <cell r="B1303">
            <v>37933</v>
          </cell>
          <cell r="C1303" t="str">
            <v>NSW-QLD</v>
          </cell>
          <cell r="D1303" t="str">
            <v>Virtus Health</v>
          </cell>
          <cell r="E1303" t="str">
            <v>Laboratory Administration</v>
          </cell>
          <cell r="F1303">
            <v>45969</v>
          </cell>
          <cell r="H1303" t="str">
            <v>IVFS2023</v>
          </cell>
          <cell r="I1303" t="str">
            <v>QLD</v>
          </cell>
          <cell r="J1303" t="str">
            <v>Casual</v>
          </cell>
          <cell r="K1303">
            <v>45969</v>
          </cell>
          <cell r="L1303">
            <v>45969</v>
          </cell>
        </row>
        <row r="1304">
          <cell r="A1304" t="str">
            <v>AU23775</v>
          </cell>
          <cell r="B1304">
            <v>37933</v>
          </cell>
          <cell r="C1304" t="str">
            <v>NSW-QLD</v>
          </cell>
          <cell r="D1304" t="str">
            <v>Virtus Health</v>
          </cell>
          <cell r="E1304" t="str">
            <v>Administration Assistant</v>
          </cell>
          <cell r="F1304">
            <v>45969</v>
          </cell>
          <cell r="H1304" t="str">
            <v>IVFS2023</v>
          </cell>
          <cell r="I1304" t="str">
            <v>QLD</v>
          </cell>
          <cell r="J1304" t="str">
            <v>Casual</v>
          </cell>
          <cell r="K1304">
            <v>45969</v>
          </cell>
          <cell r="L1304">
            <v>45969</v>
          </cell>
        </row>
        <row r="1305">
          <cell r="A1305" t="str">
            <v>AU23776</v>
          </cell>
          <cell r="B1305">
            <v>37842</v>
          </cell>
          <cell r="C1305" t="str">
            <v>NSW-QLD</v>
          </cell>
          <cell r="D1305" t="str">
            <v>Virtus Health</v>
          </cell>
          <cell r="E1305" t="str">
            <v xml:space="preserve">Group Financial Planning &amp; Analysis Manager </v>
          </cell>
          <cell r="F1305">
            <v>45878</v>
          </cell>
          <cell r="H1305" t="str">
            <v>NSW</v>
          </cell>
          <cell r="I1305" t="str">
            <v>NSW</v>
          </cell>
          <cell r="J1305" t="str">
            <v>Full Time</v>
          </cell>
          <cell r="K1305">
            <v>45878</v>
          </cell>
          <cell r="L1305">
            <v>45878</v>
          </cell>
        </row>
        <row r="1306">
          <cell r="A1306" t="str">
            <v>AU23777</v>
          </cell>
          <cell r="B1306" t="str">
            <v>8/15/2003</v>
          </cell>
          <cell r="C1306" t="str">
            <v>NSW-QLD</v>
          </cell>
          <cell r="D1306" t="str">
            <v>Virtus Health</v>
          </cell>
          <cell r="E1306" t="str">
            <v>Administration</v>
          </cell>
          <cell r="F1306" t="str">
            <v>8/15/2025</v>
          </cell>
          <cell r="H1306" t="str">
            <v>IVFS2023</v>
          </cell>
          <cell r="I1306" t="str">
            <v>QLD</v>
          </cell>
          <cell r="J1306" t="str">
            <v>Casual</v>
          </cell>
          <cell r="K1306" t="str">
            <v>8/15/2025</v>
          </cell>
          <cell r="L1306" t="str">
            <v>8/15/2025</v>
          </cell>
        </row>
        <row r="1307">
          <cell r="A1307" t="str">
            <v>AU23778</v>
          </cell>
          <cell r="B1307" t="str">
            <v>8/19/2003</v>
          </cell>
          <cell r="C1307" t="str">
            <v>NSW-QLD</v>
          </cell>
          <cell r="D1307" t="str">
            <v>Virtus Health</v>
          </cell>
          <cell r="E1307" t="str">
            <v>HR &amp; Payroll Implementation Consultant</v>
          </cell>
          <cell r="F1307" t="str">
            <v>8/19/2025</v>
          </cell>
          <cell r="H1307" t="str">
            <v>NSW</v>
          </cell>
          <cell r="I1307" t="str">
            <v>NSW</v>
          </cell>
          <cell r="J1307" t="str">
            <v>Full Time</v>
          </cell>
          <cell r="K1307" t="str">
            <v>8/19/2025</v>
          </cell>
          <cell r="L1307" t="str">
            <v>8/19/2025</v>
          </cell>
        </row>
        <row r="1308">
          <cell r="A1308" t="str">
            <v>AU23780</v>
          </cell>
          <cell r="B1308" t="str">
            <v>7/28/2003</v>
          </cell>
          <cell r="C1308" t="str">
            <v>VIC-TAS</v>
          </cell>
          <cell r="D1308" t="str">
            <v>Virtus Health</v>
          </cell>
          <cell r="E1308" t="str">
            <v>Patient Liaison Administrator</v>
          </cell>
          <cell r="F1308" t="str">
            <v>7/28/2025</v>
          </cell>
          <cell r="H1308" t="str">
            <v>MIVFS2022</v>
          </cell>
          <cell r="I1308" t="str">
            <v>VIC</v>
          </cell>
          <cell r="J1308" t="str">
            <v>Casual</v>
          </cell>
          <cell r="K1308" t="str">
            <v>7/28/2025</v>
          </cell>
          <cell r="L1308" t="str">
            <v>7/28/2025</v>
          </cell>
        </row>
        <row r="1309">
          <cell r="A1309" t="str">
            <v>AU23781</v>
          </cell>
          <cell r="B1309" t="str">
            <v>8/18/2003</v>
          </cell>
          <cell r="C1309" t="str">
            <v>VIC-TAS</v>
          </cell>
          <cell r="D1309" t="str">
            <v>Virtus Health</v>
          </cell>
          <cell r="E1309" t="str">
            <v>Receptionist</v>
          </cell>
          <cell r="F1309" t="str">
            <v>8/18/2025</v>
          </cell>
          <cell r="H1309" t="str">
            <v>MIVFS2022</v>
          </cell>
          <cell r="I1309" t="str">
            <v>VIC</v>
          </cell>
          <cell r="J1309" t="str">
            <v>Full Time</v>
          </cell>
          <cell r="K1309" t="str">
            <v>8/18/2025</v>
          </cell>
          <cell r="L1309" t="str">
            <v>8/18/2025</v>
          </cell>
        </row>
        <row r="1310">
          <cell r="A1310" t="str">
            <v>AU23782</v>
          </cell>
          <cell r="B1310" t="str">
            <v>7/28/2003</v>
          </cell>
          <cell r="C1310" t="str">
            <v>NSW-QLD</v>
          </cell>
          <cell r="D1310" t="str">
            <v>Virtus Health</v>
          </cell>
          <cell r="E1310" t="str">
            <v>Nurse Coordinator</v>
          </cell>
          <cell r="F1310" t="str">
            <v>7/28/2025</v>
          </cell>
          <cell r="H1310" t="str">
            <v>QN2025</v>
          </cell>
          <cell r="I1310" t="str">
            <v>QLD</v>
          </cell>
          <cell r="J1310" t="str">
            <v>Part Time</v>
          </cell>
          <cell r="K1310" t="str">
            <v>7/28/2025</v>
          </cell>
          <cell r="L1310" t="str">
            <v>7/28/2025</v>
          </cell>
        </row>
        <row r="1311">
          <cell r="A1311" t="str">
            <v>AU23783</v>
          </cell>
          <cell r="B1311" t="str">
            <v>8/25/2003</v>
          </cell>
          <cell r="C1311" t="str">
            <v>NSW-QLD</v>
          </cell>
          <cell r="D1311" t="str">
            <v>Virtus Health</v>
          </cell>
          <cell r="E1311" t="str">
            <v>Registered Nurse</v>
          </cell>
          <cell r="F1311" t="str">
            <v>8/25/2025</v>
          </cell>
          <cell r="H1311" t="str">
            <v>QN2025</v>
          </cell>
          <cell r="I1311" t="str">
            <v>QLD</v>
          </cell>
          <cell r="J1311" t="str">
            <v>Part Time</v>
          </cell>
          <cell r="K1311" t="str">
            <v>8/25/2025</v>
          </cell>
          <cell r="L1311" t="str">
            <v>8/25/2025</v>
          </cell>
        </row>
        <row r="1312">
          <cell r="A1312" t="str">
            <v>AU23784</v>
          </cell>
          <cell r="B1312">
            <v>37842</v>
          </cell>
          <cell r="C1312" t="str">
            <v>VIC-TAS</v>
          </cell>
          <cell r="D1312" t="str">
            <v>Virtus Health</v>
          </cell>
          <cell r="E1312" t="str">
            <v>Receptionist</v>
          </cell>
          <cell r="F1312">
            <v>45878</v>
          </cell>
          <cell r="H1312" t="str">
            <v>MIVFS2022</v>
          </cell>
          <cell r="I1312" t="str">
            <v>VIC</v>
          </cell>
          <cell r="J1312" t="str">
            <v>Full Time</v>
          </cell>
          <cell r="K1312">
            <v>45878</v>
          </cell>
          <cell r="L1312">
            <v>45878</v>
          </cell>
        </row>
        <row r="1313">
          <cell r="A1313" t="str">
            <v>AU23785</v>
          </cell>
          <cell r="B1313">
            <v>37630</v>
          </cell>
          <cell r="C1313" t="str">
            <v>NSW-QLD</v>
          </cell>
          <cell r="D1313" t="str">
            <v>Virtus Health</v>
          </cell>
          <cell r="E1313" t="str">
            <v>Assistant in Nursing</v>
          </cell>
          <cell r="F1313">
            <v>45666</v>
          </cell>
          <cell r="H1313" t="str">
            <v>QN2025</v>
          </cell>
          <cell r="I1313" t="str">
            <v>QLD</v>
          </cell>
          <cell r="J1313" t="str">
            <v>Part Time</v>
          </cell>
          <cell r="K1313">
            <v>45666</v>
          </cell>
          <cell r="L1313">
            <v>45666</v>
          </cell>
        </row>
        <row r="1314">
          <cell r="A1314" t="str">
            <v>AU23786</v>
          </cell>
          <cell r="B1314" t="str">
            <v>8/26/2003</v>
          </cell>
          <cell r="C1314" t="str">
            <v>VIC-TAS</v>
          </cell>
          <cell r="D1314" t="str">
            <v>Virtus Health</v>
          </cell>
          <cell r="E1314" t="str">
            <v>Registered Nurse</v>
          </cell>
          <cell r="F1314" t="str">
            <v>8/26/2025</v>
          </cell>
          <cell r="H1314" t="str">
            <v>MIVFN2023</v>
          </cell>
          <cell r="I1314" t="str">
            <v>VIC</v>
          </cell>
          <cell r="J1314" t="str">
            <v>Full Time</v>
          </cell>
          <cell r="K1314" t="str">
            <v>8/26/2025</v>
          </cell>
          <cell r="L1314" t="str">
            <v>8/26/2025</v>
          </cell>
        </row>
        <row r="1315">
          <cell r="A1315" t="str">
            <v>AU23787</v>
          </cell>
          <cell r="B1315" t="str">
            <v>8/18/2003</v>
          </cell>
          <cell r="C1315" t="str">
            <v>NSW-QLD</v>
          </cell>
          <cell r="D1315" t="str">
            <v>Virtus Health</v>
          </cell>
          <cell r="E1315" t="str">
            <v>Accounts Officer</v>
          </cell>
          <cell r="F1315" t="str">
            <v>8/18/2025</v>
          </cell>
          <cell r="H1315" t="str">
            <v>IVFS2023</v>
          </cell>
          <cell r="I1315" t="str">
            <v>NSW</v>
          </cell>
          <cell r="J1315" t="str">
            <v>Part Time</v>
          </cell>
          <cell r="K1315" t="str">
            <v>8/18/2025</v>
          </cell>
          <cell r="L1315" t="str">
            <v>8/18/2025</v>
          </cell>
        </row>
        <row r="1316">
          <cell r="A1316" t="str">
            <v>AU23788</v>
          </cell>
          <cell r="B1316">
            <v>37842</v>
          </cell>
          <cell r="C1316" t="str">
            <v>NSW-QLD</v>
          </cell>
          <cell r="D1316" t="str">
            <v>Virtus Health</v>
          </cell>
          <cell r="E1316" t="str">
            <v>Laboratory Technician</v>
          </cell>
          <cell r="F1316">
            <v>45878</v>
          </cell>
          <cell r="H1316" t="str">
            <v>QS2024</v>
          </cell>
          <cell r="I1316" t="str">
            <v>QLD</v>
          </cell>
          <cell r="J1316" t="str">
            <v>Full Time</v>
          </cell>
          <cell r="K1316">
            <v>45878</v>
          </cell>
          <cell r="L1316">
            <v>45878</v>
          </cell>
        </row>
        <row r="1317">
          <cell r="A1317" t="str">
            <v>AU23789</v>
          </cell>
          <cell r="B1317" t="str">
            <v>9/29/2003</v>
          </cell>
          <cell r="C1317" t="str">
            <v>NSW-QLD</v>
          </cell>
          <cell r="D1317" t="str">
            <v>Virtus Health</v>
          </cell>
          <cell r="E1317" t="str">
            <v>HR Generalist</v>
          </cell>
          <cell r="F1317" t="str">
            <v>9/29/2025</v>
          </cell>
          <cell r="H1317" t="str">
            <v>NSW</v>
          </cell>
          <cell r="I1317" t="str">
            <v>NSW</v>
          </cell>
          <cell r="J1317" t="str">
            <v>Full Time</v>
          </cell>
          <cell r="K1317" t="str">
            <v>9/29/2025</v>
          </cell>
          <cell r="L1317" t="str">
            <v>9/29/2025</v>
          </cell>
        </row>
        <row r="1318">
          <cell r="A1318" t="str">
            <v>AU23790</v>
          </cell>
          <cell r="B1318" t="str">
            <v>8/25/2003</v>
          </cell>
          <cell r="C1318" t="str">
            <v>NSW-QLD</v>
          </cell>
          <cell r="D1318" t="str">
            <v>Virtus Health</v>
          </cell>
          <cell r="E1318" t="str">
            <v>Administration Officer</v>
          </cell>
          <cell r="F1318" t="str">
            <v>8/25/2025</v>
          </cell>
          <cell r="H1318" t="str">
            <v>IVFS2023</v>
          </cell>
          <cell r="I1318" t="str">
            <v>NSW</v>
          </cell>
          <cell r="J1318" t="str">
            <v>Part Time</v>
          </cell>
          <cell r="K1318" t="str">
            <v>8/25/2025</v>
          </cell>
          <cell r="L1318" t="str">
            <v>8/25/2025</v>
          </cell>
        </row>
        <row r="1319">
          <cell r="A1319" t="str">
            <v>AU23791</v>
          </cell>
          <cell r="B1319" t="str">
            <v>7/28/2003</v>
          </cell>
          <cell r="C1319" t="str">
            <v>NSW-QLD</v>
          </cell>
          <cell r="D1319" t="str">
            <v>Virtus Health</v>
          </cell>
          <cell r="E1319" t="str">
            <v>Genetic Scientist</v>
          </cell>
          <cell r="F1319" t="str">
            <v>7/28/2025</v>
          </cell>
          <cell r="H1319" t="str">
            <v>QS2024</v>
          </cell>
          <cell r="I1319" t="str">
            <v>QLD</v>
          </cell>
          <cell r="J1319" t="str">
            <v>Part Time</v>
          </cell>
          <cell r="K1319" t="str">
            <v>7/28/2025</v>
          </cell>
          <cell r="L1319" t="str">
            <v>7/28/2025</v>
          </cell>
        </row>
        <row r="1320">
          <cell r="A1320" t="str">
            <v>AU23792</v>
          </cell>
          <cell r="B1320">
            <v>37630</v>
          </cell>
          <cell r="C1320" t="str">
            <v>VIC-TAS</v>
          </cell>
          <cell r="D1320" t="str">
            <v>Virtus Health</v>
          </cell>
          <cell r="E1320" t="str">
            <v>Patient Liaison Administrator</v>
          </cell>
          <cell r="F1320">
            <v>45666</v>
          </cell>
          <cell r="H1320" t="str">
            <v>MIVFS2022</v>
          </cell>
          <cell r="I1320" t="str">
            <v>VIC</v>
          </cell>
          <cell r="J1320" t="str">
            <v>Full Time</v>
          </cell>
          <cell r="K1320">
            <v>45666</v>
          </cell>
          <cell r="L1320">
            <v>45666</v>
          </cell>
        </row>
        <row r="1321">
          <cell r="A1321" t="str">
            <v>AU23793</v>
          </cell>
          <cell r="B1321">
            <v>37630</v>
          </cell>
          <cell r="C1321" t="str">
            <v>NSW-QLD</v>
          </cell>
          <cell r="D1321" t="str">
            <v>Virtus Health</v>
          </cell>
          <cell r="E1321" t="str">
            <v>Assistant in Nursing</v>
          </cell>
          <cell r="F1321">
            <v>45666</v>
          </cell>
          <cell r="H1321" t="str">
            <v>IVFN2021</v>
          </cell>
          <cell r="I1321" t="str">
            <v>NSW</v>
          </cell>
          <cell r="J1321" t="str">
            <v>Full Time</v>
          </cell>
          <cell r="K1321">
            <v>45666</v>
          </cell>
          <cell r="L1321">
            <v>45666</v>
          </cell>
        </row>
        <row r="1322">
          <cell r="A1322" t="str">
            <v>AU23794</v>
          </cell>
          <cell r="B1322" t="str">
            <v>9/17/2003</v>
          </cell>
          <cell r="C1322" t="str">
            <v>NSW-QLD</v>
          </cell>
          <cell r="D1322" t="str">
            <v>Virtus Health</v>
          </cell>
          <cell r="E1322" t="str">
            <v>Scientific Director</v>
          </cell>
          <cell r="F1322" t="str">
            <v>9/17/2025</v>
          </cell>
          <cell r="H1322" t="str">
            <v>NSW</v>
          </cell>
          <cell r="I1322" t="str">
            <v>NSW</v>
          </cell>
          <cell r="J1322" t="str">
            <v>Full Time</v>
          </cell>
          <cell r="K1322" t="str">
            <v>9/17/2025</v>
          </cell>
          <cell r="L1322" t="str">
            <v>9/17/2025</v>
          </cell>
        </row>
        <row r="1323">
          <cell r="A1323" t="str">
            <v>AU23795</v>
          </cell>
          <cell r="B1323">
            <v>37842</v>
          </cell>
          <cell r="C1323" t="str">
            <v>VIC-TAS</v>
          </cell>
          <cell r="D1323" t="str">
            <v>Virtus Health</v>
          </cell>
          <cell r="E1323" t="str">
            <v>Phlebotomist</v>
          </cell>
          <cell r="F1323">
            <v>45878</v>
          </cell>
          <cell r="H1323" t="str">
            <v>IVFS2023</v>
          </cell>
          <cell r="I1323" t="str">
            <v>VIC</v>
          </cell>
          <cell r="J1323" t="str">
            <v>Part Time</v>
          </cell>
          <cell r="K1323">
            <v>45878</v>
          </cell>
          <cell r="L1323">
            <v>45878</v>
          </cell>
        </row>
        <row r="1324">
          <cell r="A1324" t="str">
            <v>AU23797</v>
          </cell>
          <cell r="B1324" t="str">
            <v>8/25/2003</v>
          </cell>
          <cell r="C1324" t="str">
            <v>NSW-QLD</v>
          </cell>
          <cell r="D1324" t="str">
            <v>Virtus Health</v>
          </cell>
          <cell r="E1324" t="str">
            <v>Senior Scientist</v>
          </cell>
          <cell r="F1324" t="str">
            <v>8/25/2025</v>
          </cell>
          <cell r="H1324" t="str">
            <v>QS2024</v>
          </cell>
          <cell r="I1324" t="str">
            <v>QLD</v>
          </cell>
          <cell r="J1324" t="str">
            <v>Full Time</v>
          </cell>
          <cell r="K1324" t="str">
            <v>8/25/2025</v>
          </cell>
          <cell r="L1324" t="str">
            <v>8/25/2025</v>
          </cell>
        </row>
        <row r="1325">
          <cell r="A1325" t="str">
            <v>AU23799</v>
          </cell>
          <cell r="B1325">
            <v>37630</v>
          </cell>
          <cell r="C1325" t="str">
            <v>VIC-TAS</v>
          </cell>
          <cell r="D1325" t="str">
            <v>Virtus Health</v>
          </cell>
          <cell r="E1325" t="str">
            <v>Phlebotomist</v>
          </cell>
          <cell r="F1325">
            <v>45666</v>
          </cell>
          <cell r="H1325" t="str">
            <v>IVFS2023</v>
          </cell>
          <cell r="I1325" t="str">
            <v>VIC</v>
          </cell>
          <cell r="J1325" t="str">
            <v>Casual</v>
          </cell>
          <cell r="K1325">
            <v>45666</v>
          </cell>
          <cell r="L1325">
            <v>45666</v>
          </cell>
        </row>
        <row r="1326">
          <cell r="A1326" t="str">
            <v>AU23800</v>
          </cell>
          <cell r="B1326" t="str">
            <v>8/25/2003</v>
          </cell>
          <cell r="C1326" t="str">
            <v>NSW-QLD</v>
          </cell>
          <cell r="D1326" t="str">
            <v>Virtus Health</v>
          </cell>
          <cell r="E1326" t="str">
            <v>PMO Analyst</v>
          </cell>
          <cell r="F1326" t="str">
            <v>8/25/2025</v>
          </cell>
          <cell r="H1326" t="str">
            <v>VIC</v>
          </cell>
          <cell r="I1326" t="str">
            <v>VIC</v>
          </cell>
          <cell r="J1326" t="str">
            <v>Full Time</v>
          </cell>
          <cell r="K1326" t="str">
            <v>8/25/2025</v>
          </cell>
          <cell r="L1326" t="str">
            <v>8/25/2025</v>
          </cell>
        </row>
        <row r="1327">
          <cell r="A1327" t="str">
            <v>AU23802</v>
          </cell>
          <cell r="B1327">
            <v>37630</v>
          </cell>
          <cell r="C1327" t="str">
            <v>NSW-QLD</v>
          </cell>
          <cell r="D1327" t="str">
            <v>Virtus Health</v>
          </cell>
          <cell r="E1327" t="str">
            <v>Administration Officer</v>
          </cell>
          <cell r="F1327">
            <v>45666</v>
          </cell>
          <cell r="H1327" t="str">
            <v>IVFS2023</v>
          </cell>
          <cell r="I1327" t="str">
            <v>NSW</v>
          </cell>
          <cell r="J1327" t="str">
            <v>Full Time</v>
          </cell>
          <cell r="K1327">
            <v>45666</v>
          </cell>
          <cell r="L1327">
            <v>45666</v>
          </cell>
        </row>
        <row r="1328">
          <cell r="A1328" t="str">
            <v>AU23803</v>
          </cell>
          <cell r="B1328">
            <v>37720</v>
          </cell>
          <cell r="C1328" t="str">
            <v>NSW-QLD</v>
          </cell>
          <cell r="D1328" t="str">
            <v>Virtus Health</v>
          </cell>
          <cell r="E1328" t="str">
            <v>HR Administrator</v>
          </cell>
          <cell r="F1328">
            <v>45756</v>
          </cell>
          <cell r="H1328" t="str">
            <v>NSW</v>
          </cell>
          <cell r="I1328" t="str">
            <v>NSW</v>
          </cell>
          <cell r="J1328" t="str">
            <v>Casual</v>
          </cell>
          <cell r="K1328">
            <v>45756</v>
          </cell>
          <cell r="L1328">
            <v>45756</v>
          </cell>
        </row>
        <row r="1329">
          <cell r="A1329" t="str">
            <v>AU23804</v>
          </cell>
          <cell r="B1329">
            <v>37812</v>
          </cell>
          <cell r="C1329" t="str">
            <v>NSW-QLD</v>
          </cell>
          <cell r="D1329" t="str">
            <v>Virtus Health</v>
          </cell>
          <cell r="E1329" t="str">
            <v>Nurses  Coordinator</v>
          </cell>
          <cell r="F1329">
            <v>45848</v>
          </cell>
          <cell r="H1329" t="str">
            <v>QN2025</v>
          </cell>
          <cell r="I1329" t="str">
            <v>QLD</v>
          </cell>
          <cell r="J1329" t="str">
            <v>Full Time</v>
          </cell>
          <cell r="K1329">
            <v>45848</v>
          </cell>
          <cell r="L1329">
            <v>45848</v>
          </cell>
        </row>
        <row r="1330">
          <cell r="A1330" t="str">
            <v>AU23805</v>
          </cell>
          <cell r="B1330" t="str">
            <v>9/22/2003</v>
          </cell>
          <cell r="C1330" t="str">
            <v>NSW-QLD</v>
          </cell>
          <cell r="D1330" t="str">
            <v>Virtus Health</v>
          </cell>
          <cell r="E1330" t="str">
            <v xml:space="preserve">National Accounts Payable Manager </v>
          </cell>
          <cell r="F1330" t="str">
            <v>9/22/2025</v>
          </cell>
          <cell r="H1330" t="str">
            <v>NSW</v>
          </cell>
          <cell r="I1330" t="str">
            <v>NSW</v>
          </cell>
          <cell r="J1330" t="str">
            <v>Full Time</v>
          </cell>
          <cell r="K1330" t="str">
            <v>9/22/2025</v>
          </cell>
          <cell r="L1330" t="str">
            <v>9/22/2025</v>
          </cell>
        </row>
        <row r="1331">
          <cell r="A1331" t="str">
            <v>AU23806</v>
          </cell>
          <cell r="B1331" t="str">
            <v>9/22/2003</v>
          </cell>
          <cell r="C1331" t="str">
            <v>NSW-QLD</v>
          </cell>
          <cell r="D1331" t="str">
            <v>Virtus Health</v>
          </cell>
          <cell r="E1331" t="str">
            <v>Data Governance &amp; Platform Manager</v>
          </cell>
          <cell r="F1331" t="str">
            <v>9/22/2025</v>
          </cell>
          <cell r="H1331" t="str">
            <v>VIC</v>
          </cell>
          <cell r="I1331" t="str">
            <v>VIC</v>
          </cell>
          <cell r="J1331" t="str">
            <v>Full Time</v>
          </cell>
          <cell r="K1331" t="str">
            <v>9/22/2025</v>
          </cell>
          <cell r="L1331" t="str">
            <v>9/22/2025</v>
          </cell>
        </row>
        <row r="1332">
          <cell r="A1332" t="str">
            <v>AU23807</v>
          </cell>
          <cell r="B1332">
            <v>37873</v>
          </cell>
          <cell r="C1332" t="str">
            <v>NSW-QLD</v>
          </cell>
          <cell r="D1332" t="str">
            <v>Virtus Health</v>
          </cell>
          <cell r="E1332" t="str">
            <v>Facilities and Projects manager</v>
          </cell>
          <cell r="F1332">
            <v>45909</v>
          </cell>
          <cell r="H1332" t="str">
            <v>NSW</v>
          </cell>
          <cell r="I1332" t="str">
            <v>NSW</v>
          </cell>
          <cell r="J1332" t="str">
            <v>Full Time</v>
          </cell>
          <cell r="K1332">
            <v>45909</v>
          </cell>
          <cell r="L1332">
            <v>45909</v>
          </cell>
        </row>
        <row r="1333">
          <cell r="A1333" t="str">
            <v>AU23808</v>
          </cell>
          <cell r="B1333" t="str">
            <v>8/25/2003</v>
          </cell>
          <cell r="C1333" t="str">
            <v>NSW-QLD</v>
          </cell>
          <cell r="D1333" t="str">
            <v>Virtus Health</v>
          </cell>
          <cell r="E1333" t="str">
            <v>Nurse Coordinator</v>
          </cell>
          <cell r="F1333" t="str">
            <v>8/25/2025</v>
          </cell>
          <cell r="H1333" t="str">
            <v>IVFN2021</v>
          </cell>
          <cell r="I1333" t="str">
            <v>NSW</v>
          </cell>
          <cell r="J1333" t="str">
            <v>Full Time</v>
          </cell>
          <cell r="K1333" t="str">
            <v>8/25/2025</v>
          </cell>
          <cell r="L1333" t="str">
            <v>8/25/2025</v>
          </cell>
        </row>
        <row r="1334">
          <cell r="A1334" t="str">
            <v>AU23809</v>
          </cell>
          <cell r="B1334">
            <v>37843</v>
          </cell>
          <cell r="C1334" t="str">
            <v>NSW-QLD</v>
          </cell>
          <cell r="D1334" t="str">
            <v>Virtus Health</v>
          </cell>
          <cell r="E1334" t="str">
            <v>Registered Nurse</v>
          </cell>
          <cell r="F1334">
            <v>45879</v>
          </cell>
          <cell r="H1334" t="str">
            <v>IVFN2021</v>
          </cell>
          <cell r="I1334" t="str">
            <v>NSW</v>
          </cell>
          <cell r="J1334" t="str">
            <v>Part Time</v>
          </cell>
          <cell r="K1334">
            <v>45879</v>
          </cell>
          <cell r="L1334">
            <v>45879</v>
          </cell>
        </row>
        <row r="1335">
          <cell r="A1335" t="str">
            <v>AU23810</v>
          </cell>
          <cell r="B1335">
            <v>37873</v>
          </cell>
          <cell r="C1335" t="str">
            <v>NSW-QLD</v>
          </cell>
          <cell r="D1335" t="str">
            <v>Virtus Health</v>
          </cell>
          <cell r="E1335" t="str">
            <v>Nurse Unit Manager</v>
          </cell>
          <cell r="F1335">
            <v>45909</v>
          </cell>
          <cell r="H1335" t="str">
            <v>IVFN2021</v>
          </cell>
          <cell r="I1335" t="str">
            <v>NSW</v>
          </cell>
          <cell r="J1335" t="str">
            <v>Full Time</v>
          </cell>
          <cell r="K1335">
            <v>45909</v>
          </cell>
          <cell r="L1335">
            <v>45909</v>
          </cell>
        </row>
        <row r="1336">
          <cell r="A1336" t="str">
            <v>AU23811</v>
          </cell>
          <cell r="B1336">
            <v>37873</v>
          </cell>
          <cell r="C1336" t="str">
            <v>NSW-QLD</v>
          </cell>
          <cell r="D1336" t="str">
            <v>Virtus Health</v>
          </cell>
          <cell r="E1336" t="str">
            <v>Laboratory Supervisor</v>
          </cell>
          <cell r="F1336">
            <v>45909</v>
          </cell>
          <cell r="H1336" t="str">
            <v>NSW</v>
          </cell>
          <cell r="I1336" t="str">
            <v>NSW</v>
          </cell>
          <cell r="J1336" t="str">
            <v>Part Time</v>
          </cell>
          <cell r="K1336">
            <v>45909</v>
          </cell>
          <cell r="L1336">
            <v>45909</v>
          </cell>
        </row>
        <row r="1337">
          <cell r="A1337" t="str">
            <v>AU23812</v>
          </cell>
          <cell r="B1337" t="str">
            <v>9/22/2003</v>
          </cell>
          <cell r="C1337" t="str">
            <v>NSW-QLD</v>
          </cell>
          <cell r="D1337" t="str">
            <v>Virtus Health</v>
          </cell>
          <cell r="E1337" t="str">
            <v>Clinic Manager</v>
          </cell>
          <cell r="F1337" t="str">
            <v>9/22/2025</v>
          </cell>
          <cell r="H1337" t="str">
            <v>NSW</v>
          </cell>
          <cell r="I1337" t="str">
            <v>NSW</v>
          </cell>
          <cell r="J1337" t="str">
            <v>Full Time</v>
          </cell>
          <cell r="K1337" t="str">
            <v>9/22/2025</v>
          </cell>
          <cell r="L1337" t="str">
            <v>9/22/2025</v>
          </cell>
        </row>
        <row r="1338">
          <cell r="A1338" t="str">
            <v>AU23813</v>
          </cell>
          <cell r="B1338" t="str">
            <v>9/22/2003</v>
          </cell>
          <cell r="C1338" t="str">
            <v>NSW-QLD</v>
          </cell>
          <cell r="D1338" t="str">
            <v>Virtus Health</v>
          </cell>
          <cell r="E1338" t="str">
            <v>Registered Nurse</v>
          </cell>
          <cell r="F1338" t="str">
            <v>9/22/2025</v>
          </cell>
          <cell r="H1338" t="str">
            <v>IVFN2021</v>
          </cell>
          <cell r="I1338" t="str">
            <v>NSW</v>
          </cell>
          <cell r="J1338" t="str">
            <v>Full Time</v>
          </cell>
          <cell r="K1338" t="str">
            <v>9/22/2025</v>
          </cell>
          <cell r="L1338" t="str">
            <v>9/22/2025</v>
          </cell>
        </row>
        <row r="1339">
          <cell r="A1339" t="str">
            <v>AU23814</v>
          </cell>
          <cell r="B1339">
            <v>37631</v>
          </cell>
          <cell r="C1339" t="str">
            <v>NSW-QLD</v>
          </cell>
          <cell r="D1339" t="str">
            <v>Virtus Health</v>
          </cell>
          <cell r="E1339" t="str">
            <v>Senior Scientist</v>
          </cell>
          <cell r="F1339">
            <v>45667</v>
          </cell>
          <cell r="H1339" t="str">
            <v>IVFT2024</v>
          </cell>
          <cell r="I1339" t="str">
            <v>NSW</v>
          </cell>
          <cell r="J1339" t="str">
            <v>Part Time</v>
          </cell>
          <cell r="K1339">
            <v>45667</v>
          </cell>
          <cell r="L1339">
            <v>45667</v>
          </cell>
        </row>
        <row r="1340">
          <cell r="A1340" t="str">
            <v>AU23815</v>
          </cell>
          <cell r="B1340">
            <v>37842</v>
          </cell>
          <cell r="C1340" t="str">
            <v>NSW-QLD</v>
          </cell>
          <cell r="D1340" t="str">
            <v>Virtus Health</v>
          </cell>
          <cell r="E1340" t="str">
            <v>PMO Manager</v>
          </cell>
          <cell r="F1340">
            <v>45878</v>
          </cell>
          <cell r="H1340" t="str">
            <v>VIC</v>
          </cell>
          <cell r="I1340" t="str">
            <v>VIC</v>
          </cell>
          <cell r="J1340" t="str">
            <v>Part Time</v>
          </cell>
          <cell r="K1340">
            <v>45878</v>
          </cell>
          <cell r="L1340">
            <v>45878</v>
          </cell>
        </row>
        <row r="1341">
          <cell r="A1341" t="str">
            <v>AU23816</v>
          </cell>
          <cell r="B1341">
            <v>37811</v>
          </cell>
          <cell r="C1341" t="str">
            <v>VIC-TAS</v>
          </cell>
          <cell r="D1341" t="str">
            <v>Virtus Health</v>
          </cell>
          <cell r="E1341" t="str">
            <v>Administration</v>
          </cell>
          <cell r="F1341">
            <v>45847</v>
          </cell>
          <cell r="H1341" t="str">
            <v>MIVFS2022</v>
          </cell>
          <cell r="I1341" t="str">
            <v>VIC</v>
          </cell>
          <cell r="J1341" t="str">
            <v>Casual</v>
          </cell>
          <cell r="K1341">
            <v>45847</v>
          </cell>
          <cell r="L1341">
            <v>45847</v>
          </cell>
        </row>
        <row r="1342">
          <cell r="A1342" t="str">
            <v>AU23817</v>
          </cell>
          <cell r="B1342">
            <v>37842</v>
          </cell>
          <cell r="C1342" t="str">
            <v>NSW-QLD</v>
          </cell>
          <cell r="D1342" t="str">
            <v>Virtus Health</v>
          </cell>
          <cell r="E1342" t="str">
            <v>Donor Administrator</v>
          </cell>
          <cell r="F1342">
            <v>45878</v>
          </cell>
          <cell r="H1342" t="str">
            <v>IVFS2023</v>
          </cell>
          <cell r="I1342" t="str">
            <v>QLD</v>
          </cell>
          <cell r="J1342" t="str">
            <v>Full Time</v>
          </cell>
          <cell r="K1342">
            <v>45878</v>
          </cell>
          <cell r="L1342">
            <v>45878</v>
          </cell>
        </row>
        <row r="1343">
          <cell r="A1343" t="str">
            <v>AU23818</v>
          </cell>
          <cell r="B1343" t="str">
            <v>9/29/2003</v>
          </cell>
          <cell r="C1343" t="str">
            <v>NSW-QLD</v>
          </cell>
          <cell r="D1343" t="str">
            <v>Virtus Health</v>
          </cell>
          <cell r="E1343" t="str">
            <v>Registered Nurse</v>
          </cell>
          <cell r="F1343" t="str">
            <v>9/29/2025</v>
          </cell>
          <cell r="H1343" t="str">
            <v>IVFN2021</v>
          </cell>
          <cell r="I1343" t="str">
            <v>NSW</v>
          </cell>
          <cell r="J1343" t="str">
            <v>Part Time</v>
          </cell>
          <cell r="K1343" t="str">
            <v>9/29/2025</v>
          </cell>
          <cell r="L1343" t="str">
            <v>9/29/2025</v>
          </cell>
        </row>
        <row r="1344">
          <cell r="A1344" t="str">
            <v>AU23819</v>
          </cell>
          <cell r="B1344" t="str">
            <v>9/22/2003</v>
          </cell>
          <cell r="C1344" t="str">
            <v>NSW-QLD</v>
          </cell>
          <cell r="D1344" t="str">
            <v>Virtus Health</v>
          </cell>
          <cell r="E1344" t="str">
            <v>Registered Nurse</v>
          </cell>
          <cell r="F1344" t="str">
            <v>9/22/2025</v>
          </cell>
          <cell r="H1344" t="str">
            <v>QN2025</v>
          </cell>
          <cell r="I1344" t="str">
            <v>QLD</v>
          </cell>
          <cell r="J1344" t="str">
            <v>Part Time</v>
          </cell>
          <cell r="K1344" t="str">
            <v>9/22/2025</v>
          </cell>
          <cell r="L1344" t="str">
            <v>9/22/2025</v>
          </cell>
        </row>
        <row r="1345">
          <cell r="A1345" t="str">
            <v>AU23820</v>
          </cell>
          <cell r="B1345" t="str">
            <v>9/29/2003</v>
          </cell>
          <cell r="C1345" t="str">
            <v>NSW-QLD</v>
          </cell>
          <cell r="D1345" t="str">
            <v>Virtus Health</v>
          </cell>
          <cell r="E1345" t="str">
            <v>Registered Nurse</v>
          </cell>
          <cell r="F1345" t="str">
            <v>9/29/2025</v>
          </cell>
          <cell r="H1345" t="str">
            <v>IVFN2021</v>
          </cell>
          <cell r="I1345" t="str">
            <v>NSW</v>
          </cell>
          <cell r="J1345" t="str">
            <v>Part Time</v>
          </cell>
          <cell r="K1345" t="str">
            <v>9/29/2025</v>
          </cell>
          <cell r="L1345" t="str">
            <v>9/29/2025</v>
          </cell>
        </row>
        <row r="1346">
          <cell r="A1346" t="str">
            <v>AU23821</v>
          </cell>
          <cell r="B1346" t="str">
            <v>7/21/2003</v>
          </cell>
          <cell r="C1346" t="str">
            <v>NSW-QLD</v>
          </cell>
          <cell r="D1346" t="str">
            <v>Virtus Health</v>
          </cell>
          <cell r="E1346" t="str">
            <v>Technology Support Engineer</v>
          </cell>
          <cell r="F1346" t="str">
            <v>7/21/2025</v>
          </cell>
          <cell r="H1346" t="str">
            <v>VIC</v>
          </cell>
          <cell r="I1346" t="str">
            <v>VIC</v>
          </cell>
          <cell r="J1346" t="str">
            <v>Full Time</v>
          </cell>
          <cell r="K1346" t="str">
            <v>7/21/2025</v>
          </cell>
          <cell r="L1346" t="str">
            <v>7/21/2025</v>
          </cell>
        </row>
        <row r="1347">
          <cell r="A1347" t="str">
            <v>AU23822</v>
          </cell>
          <cell r="B1347" t="str">
            <v>9/24/2003</v>
          </cell>
          <cell r="C1347" t="str">
            <v>NSW-QLD</v>
          </cell>
          <cell r="D1347" t="str">
            <v>Virtus Health</v>
          </cell>
          <cell r="E1347" t="str">
            <v>Clinical Nurse Specialist</v>
          </cell>
          <cell r="F1347" t="str">
            <v>9/24/2025</v>
          </cell>
          <cell r="H1347" t="str">
            <v>IVFN2021</v>
          </cell>
          <cell r="I1347" t="str">
            <v>NSW</v>
          </cell>
          <cell r="J1347" t="str">
            <v>Part Time</v>
          </cell>
          <cell r="K1347" t="str">
            <v>9/24/2025</v>
          </cell>
          <cell r="L1347" t="str">
            <v>9/24/2025</v>
          </cell>
        </row>
        <row r="1348">
          <cell r="A1348" t="str">
            <v>AU23823</v>
          </cell>
          <cell r="B1348">
            <v>37842</v>
          </cell>
          <cell r="C1348" t="str">
            <v>NSW-QLD</v>
          </cell>
          <cell r="D1348" t="str">
            <v>Virtus Health</v>
          </cell>
          <cell r="E1348" t="str">
            <v xml:space="preserve">Facilities Manager VIC/TAS </v>
          </cell>
          <cell r="F1348">
            <v>45878</v>
          </cell>
          <cell r="H1348" t="str">
            <v>VIC</v>
          </cell>
          <cell r="I1348" t="str">
            <v>VIC</v>
          </cell>
          <cell r="J1348" t="str">
            <v>Full Time</v>
          </cell>
          <cell r="K1348">
            <v>45878</v>
          </cell>
          <cell r="L1348">
            <v>45878</v>
          </cell>
        </row>
        <row r="1349">
          <cell r="A1349" t="str">
            <v>AU23824</v>
          </cell>
          <cell r="B1349" t="str">
            <v>9/15/2003</v>
          </cell>
          <cell r="C1349" t="str">
            <v>NSW-QLD</v>
          </cell>
          <cell r="D1349" t="str">
            <v>Virtus Health</v>
          </cell>
          <cell r="E1349" t="str">
            <v>Technology Operations Engineer</v>
          </cell>
          <cell r="F1349" t="str">
            <v>9/15/2025</v>
          </cell>
          <cell r="H1349" t="str">
            <v>NSW</v>
          </cell>
          <cell r="I1349" t="str">
            <v>NSW</v>
          </cell>
          <cell r="J1349" t="str">
            <v>Full Time</v>
          </cell>
          <cell r="K1349" t="str">
            <v>9/15/2025</v>
          </cell>
          <cell r="L1349" t="str">
            <v>9/15/2025</v>
          </cell>
        </row>
        <row r="1350">
          <cell r="A1350" t="str">
            <v>AU23825</v>
          </cell>
          <cell r="B1350" t="str">
            <v>9/15/2003</v>
          </cell>
          <cell r="C1350" t="str">
            <v>NSW-QLD</v>
          </cell>
          <cell r="D1350" t="str">
            <v>Virtus Health</v>
          </cell>
          <cell r="E1350" t="str">
            <v>Registered Nurse</v>
          </cell>
          <cell r="F1350" t="str">
            <v>9/15/2025</v>
          </cell>
          <cell r="H1350" t="str">
            <v>IVFN2021</v>
          </cell>
          <cell r="I1350" t="str">
            <v>NSW</v>
          </cell>
          <cell r="J1350" t="str">
            <v>Full Time</v>
          </cell>
          <cell r="K1350" t="str">
            <v>9/15/2025</v>
          </cell>
          <cell r="L1350" t="str">
            <v>9/15/2025</v>
          </cell>
        </row>
        <row r="1351">
          <cell r="A1351" t="str">
            <v>AU23826</v>
          </cell>
          <cell r="B1351">
            <v>37782</v>
          </cell>
          <cell r="C1351" t="str">
            <v>NSW-QLD</v>
          </cell>
          <cell r="D1351" t="str">
            <v>Virtus Health</v>
          </cell>
          <cell r="E1351" t="str">
            <v>Administration</v>
          </cell>
          <cell r="F1351">
            <v>45818</v>
          </cell>
          <cell r="H1351" t="str">
            <v>IVFS2023</v>
          </cell>
          <cell r="I1351" t="str">
            <v>NSW</v>
          </cell>
          <cell r="J1351" t="str">
            <v>Full Time</v>
          </cell>
          <cell r="K1351">
            <v>45818</v>
          </cell>
          <cell r="L1351">
            <v>45818</v>
          </cell>
        </row>
        <row r="1352">
          <cell r="A1352" t="str">
            <v>AU23827</v>
          </cell>
          <cell r="B1352">
            <v>37812</v>
          </cell>
          <cell r="C1352" t="str">
            <v>NSW-QLD</v>
          </cell>
          <cell r="D1352" t="str">
            <v>Virtus Health</v>
          </cell>
          <cell r="E1352" t="str">
            <v>Collections Officer</v>
          </cell>
          <cell r="F1352">
            <v>45848</v>
          </cell>
          <cell r="H1352" t="str">
            <v>NSW</v>
          </cell>
          <cell r="I1352" t="str">
            <v>NSW</v>
          </cell>
          <cell r="J1352" t="str">
            <v>Full Time</v>
          </cell>
          <cell r="K1352">
            <v>45848</v>
          </cell>
          <cell r="L1352">
            <v>45848</v>
          </cell>
        </row>
        <row r="1353">
          <cell r="A1353" t="str">
            <v>AU23828</v>
          </cell>
          <cell r="B1353" t="str">
            <v>9/15/2003</v>
          </cell>
          <cell r="C1353" t="str">
            <v>VIC-TAS</v>
          </cell>
          <cell r="D1353" t="str">
            <v>Virtus Health</v>
          </cell>
          <cell r="E1353" t="str">
            <v>Administration Clerk</v>
          </cell>
          <cell r="F1353" t="str">
            <v>9/15/2025</v>
          </cell>
          <cell r="H1353" t="str">
            <v>MIVFS2022</v>
          </cell>
          <cell r="I1353" t="str">
            <v>VIC</v>
          </cell>
          <cell r="J1353" t="str">
            <v>Full Time</v>
          </cell>
          <cell r="K1353" t="str">
            <v>9/15/2025</v>
          </cell>
          <cell r="L1353" t="str">
            <v>9/15/2025</v>
          </cell>
        </row>
        <row r="1354">
          <cell r="A1354" t="str">
            <v>AU23829</v>
          </cell>
          <cell r="B1354" t="str">
            <v>9/16/2003</v>
          </cell>
          <cell r="C1354" t="str">
            <v>NSW-QLD</v>
          </cell>
          <cell r="D1354" t="str">
            <v>Virtus Health</v>
          </cell>
          <cell r="E1354" t="str">
            <v>Patient Support Officer</v>
          </cell>
          <cell r="F1354" t="str">
            <v>9/16/2025</v>
          </cell>
          <cell r="H1354" t="str">
            <v>IVFS2023</v>
          </cell>
          <cell r="I1354" t="str">
            <v>NSW</v>
          </cell>
          <cell r="J1354" t="str">
            <v>Part Time</v>
          </cell>
          <cell r="K1354" t="str">
            <v>9/16/2025</v>
          </cell>
          <cell r="L1354" t="str">
            <v>9/16/2025</v>
          </cell>
        </row>
        <row r="1355">
          <cell r="A1355" t="str">
            <v>AU23830</v>
          </cell>
          <cell r="B1355" t="str">
            <v>9/22/2003</v>
          </cell>
          <cell r="C1355" t="str">
            <v>VIC-TAS</v>
          </cell>
          <cell r="D1355" t="str">
            <v>Virtus Health</v>
          </cell>
          <cell r="E1355" t="str">
            <v>Registered Nurse</v>
          </cell>
          <cell r="F1355" t="str">
            <v>9/22/2025</v>
          </cell>
          <cell r="H1355" t="str">
            <v>MIVFN2023</v>
          </cell>
          <cell r="I1355" t="str">
            <v>VIC</v>
          </cell>
          <cell r="J1355" t="str">
            <v>Part Time</v>
          </cell>
          <cell r="K1355" t="str">
            <v>9/22/2025</v>
          </cell>
          <cell r="L1355" t="str">
            <v>9/22/2025</v>
          </cell>
        </row>
        <row r="1356">
          <cell r="A1356" t="str">
            <v>AU23831</v>
          </cell>
          <cell r="B1356" t="str">
            <v>9/15/2003</v>
          </cell>
          <cell r="C1356" t="str">
            <v>NSW-QLD</v>
          </cell>
          <cell r="D1356" t="str">
            <v>Virtus Health</v>
          </cell>
          <cell r="E1356" t="str">
            <v>Genetic Scientist</v>
          </cell>
          <cell r="F1356" t="str">
            <v>9/15/2025</v>
          </cell>
          <cell r="H1356" t="str">
            <v>QS2024</v>
          </cell>
          <cell r="I1356" t="str">
            <v>QLD</v>
          </cell>
          <cell r="J1356" t="str">
            <v>Full Time</v>
          </cell>
          <cell r="K1356" t="str">
            <v>9/15/2025</v>
          </cell>
          <cell r="L1356" t="str">
            <v>9/15/2025</v>
          </cell>
        </row>
        <row r="1357">
          <cell r="A1357" t="str">
            <v>AU23833</v>
          </cell>
          <cell r="B1357" t="str">
            <v>9/15/2003</v>
          </cell>
          <cell r="C1357" t="str">
            <v>NSW-QLD</v>
          </cell>
          <cell r="D1357" t="str">
            <v>Virtus Health</v>
          </cell>
          <cell r="E1357" t="str">
            <v>Facilities and Projects manager</v>
          </cell>
          <cell r="F1357" t="str">
            <v>9/15/2025</v>
          </cell>
          <cell r="H1357" t="str">
            <v>QLD</v>
          </cell>
          <cell r="I1357" t="str">
            <v>QLD</v>
          </cell>
          <cell r="J1357" t="str">
            <v>Full Time</v>
          </cell>
          <cell r="K1357" t="str">
            <v>9/15/2025</v>
          </cell>
          <cell r="L1357" t="str">
            <v>9/15/2025</v>
          </cell>
        </row>
        <row r="1358">
          <cell r="A1358" t="str">
            <v>AU23834</v>
          </cell>
          <cell r="B1358" t="str">
            <v>9/29/2003</v>
          </cell>
          <cell r="C1358" t="str">
            <v>NSW-QLD</v>
          </cell>
          <cell r="D1358" t="str">
            <v>Virtus Health</v>
          </cell>
          <cell r="E1358" t="str">
            <v>Registered Nurse</v>
          </cell>
          <cell r="F1358" t="str">
            <v>9/29/2025</v>
          </cell>
          <cell r="H1358" t="str">
            <v>QN2025</v>
          </cell>
          <cell r="I1358" t="str">
            <v>QLD</v>
          </cell>
          <cell r="J1358" t="str">
            <v>Part Time</v>
          </cell>
          <cell r="K1358" t="str">
            <v>9/29/2025</v>
          </cell>
          <cell r="L1358" t="str">
            <v>9/29/2025</v>
          </cell>
        </row>
        <row r="1359">
          <cell r="A1359" t="str">
            <v>AU23835</v>
          </cell>
          <cell r="B1359" t="str">
            <v>9/15/2003</v>
          </cell>
          <cell r="C1359" t="str">
            <v>NSW-QLD</v>
          </cell>
          <cell r="D1359" t="str">
            <v>Virtus Health</v>
          </cell>
          <cell r="E1359" t="str">
            <v xml:space="preserve"> Embryologist</v>
          </cell>
          <cell r="F1359" t="str">
            <v>9/15/2025</v>
          </cell>
          <cell r="H1359" t="str">
            <v>IVFT2024</v>
          </cell>
          <cell r="I1359" t="str">
            <v>NSW</v>
          </cell>
          <cell r="J1359" t="str">
            <v>Full Time</v>
          </cell>
          <cell r="K1359" t="str">
            <v>9/15/2025</v>
          </cell>
          <cell r="L1359" t="str">
            <v>9/15/2025</v>
          </cell>
        </row>
        <row r="1360">
          <cell r="A1360" t="str">
            <v>AU23836</v>
          </cell>
          <cell r="B1360">
            <v>37842</v>
          </cell>
          <cell r="C1360" t="str">
            <v>NSW-QLD</v>
          </cell>
          <cell r="D1360" t="str">
            <v>Virtus Health</v>
          </cell>
          <cell r="E1360" t="str">
            <v>Registered Nurse</v>
          </cell>
          <cell r="F1360">
            <v>45878</v>
          </cell>
          <cell r="H1360" t="str">
            <v>IVFN2021</v>
          </cell>
          <cell r="I1360" t="str">
            <v>NSW</v>
          </cell>
          <cell r="J1360" t="str">
            <v>Part Time</v>
          </cell>
          <cell r="K1360">
            <v>45878</v>
          </cell>
          <cell r="L1360">
            <v>45878</v>
          </cell>
        </row>
        <row r="1361">
          <cell r="A1361" t="str">
            <v>AU23837</v>
          </cell>
          <cell r="B1361" t="str">
            <v>9/15/2003</v>
          </cell>
          <cell r="C1361" t="str">
            <v>NSW-QLD</v>
          </cell>
          <cell r="D1361" t="str">
            <v>Virtus Health</v>
          </cell>
          <cell r="E1361" t="str">
            <v>Registered Nurse</v>
          </cell>
          <cell r="F1361" t="str">
            <v>9/15/2025</v>
          </cell>
          <cell r="H1361" t="str">
            <v>QN2025</v>
          </cell>
          <cell r="I1361" t="str">
            <v>QLD</v>
          </cell>
          <cell r="J1361" t="str">
            <v>Casual</v>
          </cell>
          <cell r="K1361" t="str">
            <v>9/15/2025</v>
          </cell>
          <cell r="L1361" t="str">
            <v>9/15/2025</v>
          </cell>
        </row>
        <row r="1362">
          <cell r="A1362" t="str">
            <v>AU23838</v>
          </cell>
          <cell r="B1362">
            <v>37842</v>
          </cell>
          <cell r="C1362" t="str">
            <v>NSW-QLD</v>
          </cell>
          <cell r="D1362" t="str">
            <v>Virtus Health</v>
          </cell>
          <cell r="E1362" t="str">
            <v>Administration</v>
          </cell>
          <cell r="F1362">
            <v>45878</v>
          </cell>
          <cell r="H1362" t="str">
            <v>IVFS2023</v>
          </cell>
          <cell r="I1362" t="str">
            <v>QLD</v>
          </cell>
          <cell r="J1362" t="str">
            <v>Full Time</v>
          </cell>
          <cell r="K1362">
            <v>45878</v>
          </cell>
          <cell r="L1362">
            <v>45878</v>
          </cell>
        </row>
        <row r="1363">
          <cell r="A1363" t="str">
            <v>AU23839</v>
          </cell>
          <cell r="B1363">
            <v>37842</v>
          </cell>
          <cell r="C1363" t="str">
            <v>NSW-QLD</v>
          </cell>
          <cell r="D1363" t="str">
            <v>Virtus Health</v>
          </cell>
          <cell r="E1363" t="str">
            <v>Registered Nurse</v>
          </cell>
          <cell r="F1363">
            <v>45878</v>
          </cell>
          <cell r="H1363" t="str">
            <v>IVFN2021</v>
          </cell>
          <cell r="I1363" t="str">
            <v>NSW</v>
          </cell>
          <cell r="J1363" t="str">
            <v>Part Time</v>
          </cell>
          <cell r="K1363">
            <v>45878</v>
          </cell>
          <cell r="L1363">
            <v>45878</v>
          </cell>
        </row>
        <row r="1364">
          <cell r="A1364" t="str">
            <v>AU23840</v>
          </cell>
          <cell r="B1364" t="str">
            <v>9/22/2003</v>
          </cell>
          <cell r="C1364" t="str">
            <v>NSW-QLD</v>
          </cell>
          <cell r="D1364" t="str">
            <v>Virtus Health</v>
          </cell>
          <cell r="E1364" t="str">
            <v>Assistant in Nursing</v>
          </cell>
          <cell r="F1364" t="str">
            <v>9/22/2025</v>
          </cell>
          <cell r="H1364" t="str">
            <v>IVFN2021</v>
          </cell>
          <cell r="I1364" t="str">
            <v>NSW</v>
          </cell>
          <cell r="J1364" t="str">
            <v>Part Time</v>
          </cell>
          <cell r="K1364" t="str">
            <v>9/22/2025</v>
          </cell>
          <cell r="L1364" t="str">
            <v>9/22/2025</v>
          </cell>
        </row>
        <row r="1365">
          <cell r="A1365" t="str">
            <v>AU23841</v>
          </cell>
          <cell r="B1365" t="str">
            <v>9/15/2003</v>
          </cell>
          <cell r="C1365" t="str">
            <v>NSW-QLD</v>
          </cell>
          <cell r="D1365" t="str">
            <v>Virtus Health</v>
          </cell>
          <cell r="E1365" t="str">
            <v>Registered Nurse</v>
          </cell>
          <cell r="F1365" t="str">
            <v>9/15/2025</v>
          </cell>
          <cell r="H1365" t="str">
            <v>QN2025</v>
          </cell>
          <cell r="I1365" t="str">
            <v>QLD</v>
          </cell>
          <cell r="J1365" t="str">
            <v>Casual</v>
          </cell>
          <cell r="K1365" t="str">
            <v>9/15/2025</v>
          </cell>
          <cell r="L1365" t="str">
            <v>9/15/2025</v>
          </cell>
        </row>
        <row r="1366">
          <cell r="A1366" t="str">
            <v>AU23842</v>
          </cell>
          <cell r="B1366">
            <v>37842</v>
          </cell>
          <cell r="C1366" t="str">
            <v>NSW-QLD</v>
          </cell>
          <cell r="D1366" t="str">
            <v>Virtus Health</v>
          </cell>
          <cell r="E1366" t="str">
            <v>Courier</v>
          </cell>
          <cell r="F1366">
            <v>45878</v>
          </cell>
          <cell r="H1366" t="str">
            <v>IVFS2023</v>
          </cell>
          <cell r="I1366" t="str">
            <v>NSW</v>
          </cell>
          <cell r="J1366" t="str">
            <v>Part Time</v>
          </cell>
          <cell r="K1366">
            <v>45878</v>
          </cell>
          <cell r="L1366">
            <v>45878</v>
          </cell>
        </row>
        <row r="1367">
          <cell r="A1367" t="str">
            <v>AU23843</v>
          </cell>
          <cell r="B1367">
            <v>37842</v>
          </cell>
          <cell r="C1367" t="str">
            <v>NSW-QLD</v>
          </cell>
          <cell r="D1367" t="str">
            <v>Virtus Health</v>
          </cell>
          <cell r="E1367" t="str">
            <v>Registered Nurse</v>
          </cell>
          <cell r="F1367">
            <v>45878</v>
          </cell>
          <cell r="H1367" t="str">
            <v>IVFN2021</v>
          </cell>
          <cell r="I1367" t="str">
            <v>NSW</v>
          </cell>
          <cell r="J1367" t="str">
            <v>Full Time</v>
          </cell>
          <cell r="K1367">
            <v>45878</v>
          </cell>
          <cell r="L1367">
            <v>45878</v>
          </cell>
        </row>
        <row r="1368">
          <cell r="A1368" t="str">
            <v>AU23844</v>
          </cell>
          <cell r="B1368">
            <v>37842</v>
          </cell>
          <cell r="C1368" t="str">
            <v>NSW-QLD</v>
          </cell>
          <cell r="D1368" t="str">
            <v>Virtus Health</v>
          </cell>
          <cell r="E1368" t="str">
            <v>Technology Operations Engineer</v>
          </cell>
          <cell r="F1368">
            <v>45878</v>
          </cell>
          <cell r="H1368" t="str">
            <v>VIC</v>
          </cell>
          <cell r="I1368" t="str">
            <v>VIC</v>
          </cell>
          <cell r="J1368" t="str">
            <v>Full Time</v>
          </cell>
          <cell r="K1368">
            <v>45878</v>
          </cell>
          <cell r="L1368">
            <v>45878</v>
          </cell>
        </row>
        <row r="1369">
          <cell r="A1369" t="str">
            <v>AU23845</v>
          </cell>
          <cell r="B1369">
            <v>37842</v>
          </cell>
          <cell r="C1369" t="str">
            <v>NSW-QLD</v>
          </cell>
          <cell r="D1369" t="str">
            <v>Virtus Health</v>
          </cell>
          <cell r="E1369" t="str">
            <v>Registered Nurse</v>
          </cell>
          <cell r="F1369">
            <v>45878</v>
          </cell>
          <cell r="H1369" t="str">
            <v>IVFN2021</v>
          </cell>
          <cell r="I1369" t="str">
            <v>NSW</v>
          </cell>
          <cell r="J1369" t="str">
            <v>Part Time</v>
          </cell>
          <cell r="K1369">
            <v>45878</v>
          </cell>
          <cell r="L1369">
            <v>45878</v>
          </cell>
        </row>
        <row r="1370">
          <cell r="A1370" t="str">
            <v>AU23846</v>
          </cell>
          <cell r="B1370" t="str">
            <v>9/22/2003</v>
          </cell>
          <cell r="C1370" t="str">
            <v>NSW-QLD</v>
          </cell>
          <cell r="D1370" t="str">
            <v>Virtus Health</v>
          </cell>
          <cell r="E1370" t="str">
            <v>Administration</v>
          </cell>
          <cell r="F1370" t="str">
            <v>9/22/2025</v>
          </cell>
          <cell r="H1370" t="str">
            <v>IVFS2023</v>
          </cell>
          <cell r="I1370" t="str">
            <v>QLD</v>
          </cell>
          <cell r="J1370" t="str">
            <v>Full Time</v>
          </cell>
          <cell r="K1370" t="str">
            <v>9/22/2025</v>
          </cell>
          <cell r="L1370" t="str">
            <v>9/22/2025</v>
          </cell>
        </row>
        <row r="1371">
          <cell r="A1371" t="str">
            <v>AU23847</v>
          </cell>
          <cell r="B1371" t="str">
            <v>9/22/2003</v>
          </cell>
          <cell r="C1371" t="str">
            <v>VIC-TAS</v>
          </cell>
          <cell r="D1371" t="str">
            <v>Virtus Health</v>
          </cell>
          <cell r="E1371" t="str">
            <v>Andrologist</v>
          </cell>
          <cell r="F1371" t="str">
            <v>9/22/2025</v>
          </cell>
          <cell r="H1371" t="str">
            <v>MIVFS2022</v>
          </cell>
          <cell r="I1371" t="str">
            <v>VIC</v>
          </cell>
          <cell r="J1371" t="str">
            <v>Full Time</v>
          </cell>
          <cell r="K1371" t="str">
            <v>9/22/2025</v>
          </cell>
          <cell r="L1371" t="str">
            <v>9/22/2025</v>
          </cell>
        </row>
        <row r="1372">
          <cell r="A1372" t="str">
            <v>AU23849</v>
          </cell>
          <cell r="B1372" t="str">
            <v>9/22/2003</v>
          </cell>
          <cell r="C1372" t="str">
            <v>NSW-QLD</v>
          </cell>
          <cell r="D1372" t="str">
            <v>Virtus Health</v>
          </cell>
          <cell r="E1372" t="str">
            <v>Administration</v>
          </cell>
          <cell r="F1372" t="str">
            <v>9/22/2025</v>
          </cell>
          <cell r="H1372" t="str">
            <v>IVFS2023</v>
          </cell>
          <cell r="I1372" t="str">
            <v>NSW</v>
          </cell>
          <cell r="J1372" t="str">
            <v>Part Time</v>
          </cell>
          <cell r="K1372" t="str">
            <v>9/22/2025</v>
          </cell>
          <cell r="L1372" t="str">
            <v>9/22/2025</v>
          </cell>
        </row>
        <row r="1373">
          <cell r="A1373" t="str">
            <v>AU23850</v>
          </cell>
          <cell r="B1373" t="str">
            <v>9/15/2003</v>
          </cell>
          <cell r="C1373" t="str">
            <v>NSW-QLD</v>
          </cell>
          <cell r="D1373" t="str">
            <v>Virtus Health</v>
          </cell>
          <cell r="E1373" t="str">
            <v xml:space="preserve">Theatre Nurse </v>
          </cell>
          <cell r="F1373" t="str">
            <v>9/15/2025</v>
          </cell>
          <cell r="H1373" t="str">
            <v>QN2025</v>
          </cell>
          <cell r="I1373" t="str">
            <v>QLD</v>
          </cell>
          <cell r="J1373" t="str">
            <v>Casual</v>
          </cell>
          <cell r="K1373" t="str">
            <v>9/15/2025</v>
          </cell>
          <cell r="L1373" t="str">
            <v>9/15/2025</v>
          </cell>
        </row>
        <row r="1374">
          <cell r="A1374" t="str">
            <v>AU23851</v>
          </cell>
          <cell r="B1374" t="str">
            <v>9/24/2003</v>
          </cell>
          <cell r="C1374" t="str">
            <v>NSW-QLD</v>
          </cell>
          <cell r="D1374" t="str">
            <v>Virtus Health</v>
          </cell>
          <cell r="E1374" t="str">
            <v>Administration</v>
          </cell>
          <cell r="F1374" t="str">
            <v>9/24/2025</v>
          </cell>
          <cell r="H1374" t="str">
            <v>IVFS2023</v>
          </cell>
          <cell r="I1374" t="str">
            <v>QLD</v>
          </cell>
          <cell r="J1374" t="str">
            <v>Casual</v>
          </cell>
          <cell r="K1374" t="str">
            <v>9/24/2025</v>
          </cell>
          <cell r="L1374" t="str">
            <v>9/24/2025</v>
          </cell>
        </row>
        <row r="1375">
          <cell r="A1375" t="str">
            <v>AU23852</v>
          </cell>
          <cell r="B1375" t="str">
            <v>9/22/2003</v>
          </cell>
          <cell r="C1375" t="str">
            <v>NSW-QLD</v>
          </cell>
          <cell r="D1375" t="str">
            <v>Virtus Health</v>
          </cell>
          <cell r="E1375" t="str">
            <v>Administration</v>
          </cell>
          <cell r="F1375" t="str">
            <v>9/22/2025</v>
          </cell>
          <cell r="H1375" t="str">
            <v>IVFS2023</v>
          </cell>
          <cell r="I1375" t="str">
            <v>QLD</v>
          </cell>
          <cell r="J1375" t="str">
            <v>Casual</v>
          </cell>
          <cell r="K1375" t="str">
            <v>9/22/2025</v>
          </cell>
          <cell r="L1375" t="str">
            <v>9/22/2025</v>
          </cell>
        </row>
        <row r="1376">
          <cell r="A1376" t="str">
            <v>AU23853</v>
          </cell>
          <cell r="B1376" t="str">
            <v>9/22/2003</v>
          </cell>
          <cell r="C1376" t="str">
            <v>NSW-QLD</v>
          </cell>
          <cell r="D1376" t="str">
            <v>Virtus Health</v>
          </cell>
          <cell r="E1376" t="str">
            <v>Administration</v>
          </cell>
          <cell r="F1376" t="str">
            <v>9/22/2025</v>
          </cell>
          <cell r="H1376" t="str">
            <v>IVFS2023</v>
          </cell>
          <cell r="I1376" t="str">
            <v>QLD</v>
          </cell>
          <cell r="J1376" t="str">
            <v>Casual</v>
          </cell>
          <cell r="K1376" t="str">
            <v>9/22/2025</v>
          </cell>
          <cell r="L1376" t="str">
            <v>9/22/2025</v>
          </cell>
        </row>
        <row r="1377">
          <cell r="A1377" t="str">
            <v>AU23854</v>
          </cell>
          <cell r="B1377" t="str">
            <v>9/15/2003</v>
          </cell>
          <cell r="C1377" t="str">
            <v>NSW-QLD</v>
          </cell>
          <cell r="D1377" t="str">
            <v>Virtus Health</v>
          </cell>
          <cell r="E1377" t="str">
            <v>Courier</v>
          </cell>
          <cell r="F1377" t="str">
            <v>9/15/2025</v>
          </cell>
          <cell r="H1377" t="str">
            <v>IVFS2023</v>
          </cell>
          <cell r="I1377" t="str">
            <v>NSW</v>
          </cell>
          <cell r="J1377" t="str">
            <v>Casual</v>
          </cell>
          <cell r="K1377" t="str">
            <v>9/15/2025</v>
          </cell>
          <cell r="L1377" t="str">
            <v>9/15/2025</v>
          </cell>
        </row>
        <row r="1378">
          <cell r="A1378" t="str">
            <v>AU23855</v>
          </cell>
          <cell r="B1378" t="str">
            <v>9/29/2003</v>
          </cell>
          <cell r="C1378" t="str">
            <v>NSW-QLD</v>
          </cell>
          <cell r="D1378" t="str">
            <v>Virtus Health</v>
          </cell>
          <cell r="E1378" t="str">
            <v>Patient Support Officer</v>
          </cell>
          <cell r="F1378" t="str">
            <v>9/29/2025</v>
          </cell>
          <cell r="H1378" t="str">
            <v>IVFS2023</v>
          </cell>
          <cell r="I1378" t="str">
            <v>NSW</v>
          </cell>
          <cell r="J1378" t="str">
            <v>Part Time</v>
          </cell>
          <cell r="K1378" t="str">
            <v>9/29/2025</v>
          </cell>
          <cell r="L1378" t="str">
            <v>9/29/2025</v>
          </cell>
        </row>
        <row r="1379">
          <cell r="A1379" t="str">
            <v>AU23856</v>
          </cell>
          <cell r="B1379" t="str">
            <v>9/29/2003</v>
          </cell>
          <cell r="C1379" t="str">
            <v>NSW-QLD</v>
          </cell>
          <cell r="D1379" t="str">
            <v>Virtus Health</v>
          </cell>
          <cell r="E1379" t="str">
            <v>Administration</v>
          </cell>
          <cell r="F1379" t="str">
            <v>9/29/2025</v>
          </cell>
          <cell r="H1379" t="str">
            <v>IVFS2023</v>
          </cell>
          <cell r="I1379" t="str">
            <v>QLD</v>
          </cell>
          <cell r="J1379" t="str">
            <v>Full Time</v>
          </cell>
          <cell r="K1379" t="str">
            <v>9/29/2025</v>
          </cell>
          <cell r="L1379" t="str">
            <v>9/29/2025</v>
          </cell>
        </row>
        <row r="1380">
          <cell r="A1380" t="str">
            <v>AU23857</v>
          </cell>
          <cell r="B1380" t="str">
            <v>9/29/2003</v>
          </cell>
          <cell r="C1380" t="str">
            <v>NSW-QLD</v>
          </cell>
          <cell r="D1380" t="str">
            <v>Virtus Health</v>
          </cell>
          <cell r="E1380" t="str">
            <v>Administration</v>
          </cell>
          <cell r="F1380" t="str">
            <v>9/29/2025</v>
          </cell>
          <cell r="H1380" t="str">
            <v>IVFS2023</v>
          </cell>
          <cell r="I1380" t="str">
            <v>QLD</v>
          </cell>
          <cell r="J1380" t="str">
            <v>Full Time</v>
          </cell>
          <cell r="K1380" t="str">
            <v>9/29/2025</v>
          </cell>
          <cell r="L1380" t="str">
            <v>9/29/2025</v>
          </cell>
        </row>
        <row r="1381">
          <cell r="A1381" t="str">
            <v>AU23858</v>
          </cell>
          <cell r="B1381" t="str">
            <v>9/29/2003</v>
          </cell>
          <cell r="C1381" t="str">
            <v>VIC-TAS</v>
          </cell>
          <cell r="D1381" t="str">
            <v>Virtus Health</v>
          </cell>
          <cell r="E1381" t="str">
            <v>Registered Nurse</v>
          </cell>
          <cell r="F1381" t="str">
            <v>9/29/2025</v>
          </cell>
          <cell r="H1381" t="str">
            <v>MIVFN2023</v>
          </cell>
          <cell r="I1381" t="str">
            <v>VIC</v>
          </cell>
          <cell r="J1381" t="str">
            <v>Part Time</v>
          </cell>
          <cell r="K1381" t="str">
            <v>9/29/2025</v>
          </cell>
          <cell r="L1381" t="str">
            <v>9/29/2025</v>
          </cell>
        </row>
        <row r="1382">
          <cell r="A1382" t="str">
            <v>AU23859</v>
          </cell>
          <cell r="B1382" t="str">
            <v>9/29/2003</v>
          </cell>
          <cell r="C1382" t="str">
            <v>NSW-QLD</v>
          </cell>
          <cell r="D1382" t="str">
            <v>Virtus Health</v>
          </cell>
          <cell r="E1382" t="str">
            <v>Technology Operations Engineer</v>
          </cell>
          <cell r="F1382" t="str">
            <v>9/29/2025</v>
          </cell>
          <cell r="H1382" t="str">
            <v>VIC</v>
          </cell>
          <cell r="I1382" t="str">
            <v>VIC</v>
          </cell>
          <cell r="J1382" t="str">
            <v>Full Time</v>
          </cell>
          <cell r="K1382" t="str">
            <v>9/29/2025</v>
          </cell>
          <cell r="L1382" t="str">
            <v>9/29/2025</v>
          </cell>
        </row>
        <row r="1383">
          <cell r="A1383" t="str">
            <v>AU23860</v>
          </cell>
          <cell r="B1383" t="str">
            <v>9/22/2003</v>
          </cell>
          <cell r="C1383" t="str">
            <v>NSW-QLD</v>
          </cell>
          <cell r="D1383" t="str">
            <v>Virtus Health</v>
          </cell>
          <cell r="E1383" t="str">
            <v>Administration Clerk</v>
          </cell>
          <cell r="F1383" t="str">
            <v>9/22/2025</v>
          </cell>
          <cell r="H1383" t="str">
            <v>IVFS2023</v>
          </cell>
          <cell r="I1383" t="str">
            <v>NSW</v>
          </cell>
          <cell r="J1383" t="str">
            <v>Part Time</v>
          </cell>
          <cell r="K1383" t="str">
            <v>9/22/2025</v>
          </cell>
          <cell r="L1383" t="str">
            <v>9/22/2025</v>
          </cell>
        </row>
        <row r="1384">
          <cell r="A1384" t="str">
            <v>AU23861</v>
          </cell>
          <cell r="B1384" t="str">
            <v>9/22/2003</v>
          </cell>
          <cell r="C1384" t="str">
            <v>NSW-QLD</v>
          </cell>
          <cell r="D1384" t="str">
            <v>Virtus Health</v>
          </cell>
          <cell r="E1384" t="str">
            <v>Registered Nurse</v>
          </cell>
          <cell r="F1384" t="str">
            <v>9/22/2025</v>
          </cell>
          <cell r="H1384" t="str">
            <v>QN2025</v>
          </cell>
          <cell r="I1384" t="str">
            <v>QLD</v>
          </cell>
          <cell r="J1384" t="str">
            <v>Casual</v>
          </cell>
          <cell r="K1384" t="str">
            <v>9/22/2025</v>
          </cell>
          <cell r="L1384" t="str">
            <v>9/22/2025</v>
          </cell>
        </row>
        <row r="1385">
          <cell r="A1385" t="str">
            <v>AU23862</v>
          </cell>
          <cell r="B1385" t="str">
            <v>9/25/2003</v>
          </cell>
          <cell r="C1385" t="str">
            <v>NSW-QLD</v>
          </cell>
          <cell r="D1385" t="str">
            <v>Virtus Health</v>
          </cell>
          <cell r="E1385" t="str">
            <v>Registered Nurse</v>
          </cell>
          <cell r="F1385" t="str">
            <v>9/25/2025</v>
          </cell>
          <cell r="H1385" t="str">
            <v>IVFN2021</v>
          </cell>
          <cell r="I1385" t="str">
            <v>NSW</v>
          </cell>
          <cell r="J1385" t="str">
            <v>Casual</v>
          </cell>
          <cell r="K1385" t="str">
            <v>9/25/2025</v>
          </cell>
          <cell r="L1385" t="str">
            <v>9/25/2025</v>
          </cell>
        </row>
        <row r="1386">
          <cell r="A1386" t="str">
            <v>AU23863</v>
          </cell>
          <cell r="B1386" t="str">
            <v>9/24/2003</v>
          </cell>
          <cell r="C1386" t="str">
            <v>NSW-QLD</v>
          </cell>
          <cell r="D1386" t="str">
            <v>Virtus Health</v>
          </cell>
          <cell r="E1386" t="str">
            <v>Phlebotomist</v>
          </cell>
          <cell r="F1386" t="str">
            <v>9/24/2025</v>
          </cell>
          <cell r="H1386" t="str">
            <v>IVFS2023</v>
          </cell>
          <cell r="I1386" t="str">
            <v>NSW</v>
          </cell>
          <cell r="J1386" t="str">
            <v>Part Time</v>
          </cell>
          <cell r="K1386" t="str">
            <v>9/24/2025</v>
          </cell>
          <cell r="L1386" t="str">
            <v>9/24/2025</v>
          </cell>
        </row>
        <row r="1387">
          <cell r="A1387" t="str">
            <v>AU23864</v>
          </cell>
          <cell r="B1387" t="str">
            <v>9/29/2003</v>
          </cell>
          <cell r="C1387" t="str">
            <v>NSW-QLD</v>
          </cell>
          <cell r="D1387" t="str">
            <v>Virtus Health</v>
          </cell>
          <cell r="E1387" t="str">
            <v>Quality Compliance &amp; Risk Manager</v>
          </cell>
          <cell r="F1387" t="str">
            <v>9/29/2025</v>
          </cell>
          <cell r="H1387" t="str">
            <v>NSW</v>
          </cell>
          <cell r="I1387" t="str">
            <v>NSW</v>
          </cell>
          <cell r="J1387" t="str">
            <v>Full Time</v>
          </cell>
          <cell r="K1387" t="str">
            <v>9/29/2025</v>
          </cell>
          <cell r="L1387" t="str">
            <v>9/29/2025</v>
          </cell>
        </row>
        <row r="1388">
          <cell r="A1388" t="str">
            <v>AU23865</v>
          </cell>
          <cell r="B1388" t="str">
            <v>10/13/2003</v>
          </cell>
          <cell r="C1388" t="str">
            <v>VIC-TAS</v>
          </cell>
          <cell r="D1388" t="str">
            <v>Virtus Health</v>
          </cell>
          <cell r="E1388" t="str">
            <v>Embryologist</v>
          </cell>
          <cell r="F1388" t="str">
            <v>10/13/2025</v>
          </cell>
          <cell r="H1388" t="str">
            <v>MIVFS2022</v>
          </cell>
          <cell r="I1388" t="str">
            <v>VIC</v>
          </cell>
          <cell r="J1388" t="str">
            <v>Full Time</v>
          </cell>
          <cell r="K1388" t="str">
            <v>10/13/2025</v>
          </cell>
          <cell r="L1388" t="str">
            <v>10/13/2025</v>
          </cell>
        </row>
        <row r="1389">
          <cell r="A1389" t="str">
            <v>AU23868</v>
          </cell>
          <cell r="B1389" t="str">
            <v>10/13/2003</v>
          </cell>
          <cell r="C1389" t="str">
            <v>NSW-QLD</v>
          </cell>
          <cell r="D1389" t="str">
            <v>Virtus Health</v>
          </cell>
          <cell r="E1389" t="str">
            <v>Nures Coordinator</v>
          </cell>
          <cell r="F1389" t="str">
            <v>10/13/2025</v>
          </cell>
          <cell r="H1389" t="str">
            <v>IVFN2021</v>
          </cell>
          <cell r="I1389" t="str">
            <v>NSW</v>
          </cell>
          <cell r="J1389" t="str">
            <v>Full Time</v>
          </cell>
          <cell r="K1389" t="str">
            <v>10/13/2025</v>
          </cell>
          <cell r="L1389" t="str">
            <v>10/13/2025</v>
          </cell>
        </row>
        <row r="1390">
          <cell r="A1390" t="str">
            <v>AU23872</v>
          </cell>
          <cell r="B1390" t="str">
            <v>10/20/2003</v>
          </cell>
          <cell r="C1390" t="str">
            <v>VIC-TAS</v>
          </cell>
          <cell r="D1390" t="str">
            <v>Virtus Health</v>
          </cell>
          <cell r="E1390" t="str">
            <v>Patient Liaison Administrator</v>
          </cell>
          <cell r="F1390" t="str">
            <v>10/20/2025</v>
          </cell>
          <cell r="H1390" t="str">
            <v>TIVF2024</v>
          </cell>
          <cell r="I1390" t="str">
            <v>TAS</v>
          </cell>
          <cell r="J1390" t="str">
            <v>Part Time</v>
          </cell>
          <cell r="K1390" t="str">
            <v>10/20/2025</v>
          </cell>
          <cell r="L1390" t="str">
            <v>10/20/2025</v>
          </cell>
        </row>
        <row r="1391">
          <cell r="A1391" t="str">
            <v>AU23873</v>
          </cell>
          <cell r="B1391">
            <v>37843</v>
          </cell>
          <cell r="C1391" t="str">
            <v>NSW-QLD</v>
          </cell>
          <cell r="D1391" t="str">
            <v>Virtus Health</v>
          </cell>
          <cell r="E1391" t="str">
            <v>Nurse Coordinator</v>
          </cell>
          <cell r="F1391">
            <v>45879</v>
          </cell>
          <cell r="H1391" t="str">
            <v>IVFN2021</v>
          </cell>
          <cell r="I1391" t="str">
            <v>ACT</v>
          </cell>
          <cell r="J1391" t="str">
            <v>Part Time</v>
          </cell>
          <cell r="K1391">
            <v>45879</v>
          </cell>
          <cell r="L1391">
            <v>45879</v>
          </cell>
        </row>
        <row r="1392">
          <cell r="A1392" t="str">
            <v>AU23874</v>
          </cell>
          <cell r="B1392">
            <v>37782</v>
          </cell>
          <cell r="C1392" t="str">
            <v>VIC-TAS</v>
          </cell>
          <cell r="D1392" t="str">
            <v>Virtus Health</v>
          </cell>
          <cell r="E1392" t="str">
            <v>Clinical Technologist</v>
          </cell>
          <cell r="F1392">
            <v>45818</v>
          </cell>
          <cell r="H1392" t="str">
            <v>MIVFS2022</v>
          </cell>
          <cell r="I1392" t="str">
            <v>VIC</v>
          </cell>
          <cell r="J1392" t="str">
            <v>Full Time</v>
          </cell>
          <cell r="K1392">
            <v>45818</v>
          </cell>
          <cell r="L1392">
            <v>45818</v>
          </cell>
        </row>
        <row r="1393">
          <cell r="A1393" t="str">
            <v>AU23875</v>
          </cell>
          <cell r="B1393" t="str">
            <v>10/27/2003</v>
          </cell>
          <cell r="C1393" t="str">
            <v>NSW-QLD</v>
          </cell>
          <cell r="D1393" t="str">
            <v>Virtus Health</v>
          </cell>
          <cell r="E1393" t="str">
            <v>Administration Clerk</v>
          </cell>
          <cell r="F1393" t="str">
            <v>10/27/2025</v>
          </cell>
          <cell r="I1393" t="str">
            <v>QLD</v>
          </cell>
          <cell r="J1393" t="str">
            <v>Full Time</v>
          </cell>
          <cell r="K1393" t="str">
            <v>10/27/2025</v>
          </cell>
          <cell r="L1393" t="str">
            <v>10/27/2025</v>
          </cell>
        </row>
        <row r="1394">
          <cell r="A1394" t="str">
            <v>AU23876</v>
          </cell>
          <cell r="B1394" t="str">
            <v>10/13/2003</v>
          </cell>
          <cell r="C1394" t="str">
            <v>NSW-QLD</v>
          </cell>
          <cell r="D1394" t="str">
            <v>Virtus Health</v>
          </cell>
          <cell r="E1394" t="str">
            <v>Andrologist</v>
          </cell>
          <cell r="F1394" t="str">
            <v>10/13/2025</v>
          </cell>
          <cell r="H1394" t="str">
            <v>IVFT2024</v>
          </cell>
          <cell r="I1394" t="str">
            <v>NSW</v>
          </cell>
          <cell r="J1394" t="str">
            <v>Full Time</v>
          </cell>
          <cell r="K1394" t="str">
            <v>10/13/2025</v>
          </cell>
          <cell r="L1394" t="str">
            <v>10/13/2025</v>
          </cell>
        </row>
        <row r="1395">
          <cell r="A1395" t="str">
            <v>AU23877</v>
          </cell>
          <cell r="B1395">
            <v>37843</v>
          </cell>
          <cell r="C1395" t="str">
            <v>NSW-QLD</v>
          </cell>
          <cell r="D1395" t="str">
            <v>Virtus Health</v>
          </cell>
          <cell r="E1395" t="str">
            <v>Registered Nurse</v>
          </cell>
          <cell r="F1395">
            <v>45879</v>
          </cell>
          <cell r="H1395" t="str">
            <v>QN2025</v>
          </cell>
          <cell r="I1395" t="str">
            <v>QLD</v>
          </cell>
          <cell r="J1395" t="str">
            <v>Full Time</v>
          </cell>
          <cell r="K1395">
            <v>45879</v>
          </cell>
          <cell r="L1395">
            <v>45879</v>
          </cell>
        </row>
        <row r="1396">
          <cell r="A1396" t="str">
            <v>AU23878</v>
          </cell>
          <cell r="B1396">
            <v>37812</v>
          </cell>
          <cell r="C1396" t="str">
            <v>NSW-QLD</v>
          </cell>
          <cell r="D1396" t="str">
            <v>Virtus Health</v>
          </cell>
          <cell r="E1396" t="str">
            <v>Medical Secretary</v>
          </cell>
          <cell r="F1396">
            <v>45848</v>
          </cell>
          <cell r="H1396" t="str">
            <v>IVFS2023</v>
          </cell>
          <cell r="I1396" t="str">
            <v>NSW</v>
          </cell>
          <cell r="J1396" t="str">
            <v>Full Time</v>
          </cell>
          <cell r="K1396">
            <v>45848</v>
          </cell>
          <cell r="L1396">
            <v>45848</v>
          </cell>
        </row>
        <row r="1397">
          <cell r="A1397" t="str">
            <v>AU23879</v>
          </cell>
          <cell r="B1397" t="str">
            <v>10/13/2003</v>
          </cell>
          <cell r="C1397" t="str">
            <v>VIC-TAS</v>
          </cell>
          <cell r="D1397" t="str">
            <v>Virtus Health</v>
          </cell>
          <cell r="E1397" t="str">
            <v>Administration Clerk</v>
          </cell>
          <cell r="F1397" t="str">
            <v>10/13/2025</v>
          </cell>
          <cell r="H1397" t="str">
            <v>TIVF2024</v>
          </cell>
          <cell r="I1397" t="str">
            <v>TAS</v>
          </cell>
          <cell r="J1397" t="str">
            <v>Full Time</v>
          </cell>
          <cell r="K1397" t="str">
            <v>10/13/2025</v>
          </cell>
          <cell r="L1397" t="str">
            <v>10/13/2025</v>
          </cell>
        </row>
        <row r="1398">
          <cell r="A1398" t="str">
            <v>AU23880</v>
          </cell>
          <cell r="B1398" t="str">
            <v>10/13/2003</v>
          </cell>
          <cell r="C1398" t="str">
            <v>NSW-QLD</v>
          </cell>
          <cell r="D1398" t="str">
            <v>Virtus Health</v>
          </cell>
          <cell r="E1398" t="str">
            <v>Nurse Coordinator</v>
          </cell>
          <cell r="F1398" t="str">
            <v>10/13/2025</v>
          </cell>
          <cell r="H1398" t="str">
            <v>IVFN2021</v>
          </cell>
          <cell r="I1398" t="str">
            <v>NSW</v>
          </cell>
          <cell r="J1398" t="str">
            <v>Full Time</v>
          </cell>
          <cell r="K1398" t="str">
            <v>10/13/2025</v>
          </cell>
          <cell r="L1398" t="str">
            <v>10/13/2025</v>
          </cell>
        </row>
        <row r="1399">
          <cell r="A1399" t="str">
            <v>AU23881</v>
          </cell>
          <cell r="B1399" t="str">
            <v>10/13/2003</v>
          </cell>
          <cell r="C1399" t="str">
            <v>NSW-QLD</v>
          </cell>
          <cell r="D1399" t="str">
            <v>Virtus Health</v>
          </cell>
          <cell r="E1399" t="str">
            <v>Administration Clerk</v>
          </cell>
          <cell r="F1399" t="str">
            <v>10/13/2025</v>
          </cell>
          <cell r="H1399" t="str">
            <v>IVFS2023</v>
          </cell>
          <cell r="I1399" t="str">
            <v>QLD</v>
          </cell>
          <cell r="J1399" t="str">
            <v>Part Time</v>
          </cell>
          <cell r="K1399" t="str">
            <v>10/13/2025</v>
          </cell>
          <cell r="L1399" t="str">
            <v>10/13/2025</v>
          </cell>
        </row>
        <row r="1400">
          <cell r="A1400" t="str">
            <v>AU23882</v>
          </cell>
          <cell r="B1400" t="str">
            <v>10/15/2003</v>
          </cell>
          <cell r="C1400" t="str">
            <v>NSW-QLD</v>
          </cell>
          <cell r="D1400" t="str">
            <v>Virtus Health</v>
          </cell>
          <cell r="E1400" t="str">
            <v>Assistant in Nursing</v>
          </cell>
          <cell r="F1400" t="str">
            <v>10/15/2025</v>
          </cell>
          <cell r="H1400" t="str">
            <v>IVFN2021</v>
          </cell>
          <cell r="I1400" t="str">
            <v>NSW</v>
          </cell>
          <cell r="J1400" t="str">
            <v>Full Time</v>
          </cell>
          <cell r="K1400" t="str">
            <v>10/15/2025</v>
          </cell>
          <cell r="L1400" t="str">
            <v>10/15/2025</v>
          </cell>
        </row>
        <row r="1401">
          <cell r="A1401" t="str">
            <v>AU23895</v>
          </cell>
          <cell r="B1401" t="str">
            <v>10/15/2003</v>
          </cell>
          <cell r="C1401" t="str">
            <v>VIC-TAS</v>
          </cell>
          <cell r="D1401" t="str">
            <v>Virtus Health</v>
          </cell>
          <cell r="E1401" t="str">
            <v>Nursing Administrator</v>
          </cell>
          <cell r="F1401" t="str">
            <v>10/15/2025</v>
          </cell>
          <cell r="H1401" t="str">
            <v>MIVFS2022</v>
          </cell>
          <cell r="I1401" t="str">
            <v>VIC</v>
          </cell>
          <cell r="J1401" t="str">
            <v>Full Time</v>
          </cell>
          <cell r="K1401" t="str">
            <v>10/15/2025</v>
          </cell>
          <cell r="L1401" t="str">
            <v>10/15/2025</v>
          </cell>
        </row>
        <row r="1402">
          <cell r="A1402" t="str">
            <v>AU23897</v>
          </cell>
          <cell r="B1402">
            <v>37782</v>
          </cell>
          <cell r="C1402" t="str">
            <v>NSW-QLD</v>
          </cell>
          <cell r="D1402" t="str">
            <v>Virtus Health</v>
          </cell>
          <cell r="E1402" t="str">
            <v>Nures Coordinator</v>
          </cell>
          <cell r="F1402">
            <v>45818</v>
          </cell>
          <cell r="H1402" t="str">
            <v>IVFN2021</v>
          </cell>
          <cell r="I1402" t="str">
            <v>NSW</v>
          </cell>
          <cell r="J1402" t="str">
            <v>Full Time</v>
          </cell>
          <cell r="K1402">
            <v>45818</v>
          </cell>
          <cell r="L1402">
            <v>45818</v>
          </cell>
        </row>
        <row r="1403">
          <cell r="A1403" t="str">
            <v>AU23898</v>
          </cell>
          <cell r="B1403" t="str">
            <v>9/29/2003</v>
          </cell>
          <cell r="C1403" t="str">
            <v>NSW-QLD</v>
          </cell>
          <cell r="D1403" t="str">
            <v>Virtus Health</v>
          </cell>
          <cell r="E1403" t="str">
            <v>Head of Financial Control</v>
          </cell>
          <cell r="F1403" t="str">
            <v>9/29/2025</v>
          </cell>
          <cell r="H1403" t="str">
            <v>NSW</v>
          </cell>
          <cell r="I1403" t="str">
            <v>NSW</v>
          </cell>
          <cell r="J1403" t="str">
            <v>Full Time</v>
          </cell>
          <cell r="K1403" t="str">
            <v>9/29/2025</v>
          </cell>
          <cell r="L1403" t="str">
            <v>9/29/2025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2" displayName="Table2" ref="A1:Q379" headerRowCount="1" totalsRowShown="0" headerRowDxfId="21" dataDxfId="20" headerRowBorderDxfId="18" tableBorderDxfId="19" totalsRowBorderDxfId="17">
  <tableColumns count="17">
    <tableColumn id="1" name="Code" dataDxfId="16"/>
    <tableColumn id="4" name="Date Hired" dataDxfId="15"/>
    <tableColumn id="5" name="Job Classification" dataDxfId="14"/>
    <tableColumn id="3" name="Column2" dataDxfId="13"/>
    <tableColumn id="7" name="Employment Type" dataDxfId="12"/>
    <tableColumn id="8" name="Award Type" dataDxfId="11"/>
    <tableColumn id="9" name="Physical State" dataDxfId="10"/>
    <tableColumn id="10" name="Normal Hours Paid" dataDxfId="9"/>
    <tableColumn id="11" name="Payroll Company" dataDxfId="8"/>
    <tableColumn id="2" name="Column1" dataDxfId="7"/>
    <tableColumn id="12" name="Long Service Leave Balance" dataDxfId="6"/>
    <tableColumn id="13" name="Long Service Leave Post Prorata Hours" dataDxfId="5"/>
    <tableColumn id="14" name="Long Service Leave Post Prorata Date (Last Processed Period End Date)" dataDxfId="4"/>
    <tableColumn id="15" name="Long Service Leave Post Entitlement Date" dataDxfId="3"/>
    <tableColumn id="16" name="Long Service Leave Post Entitlement Hours" dataDxfId="2"/>
    <tableColumn id="17" name="Long Service Leave Taken" dataDxfId="1"/>
    <tableColumn id="18" name="Termination Dat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6"/>
  <sheetViews>
    <sheetView tabSelected="1" workbookViewId="0">
      <selection activeCell="A1" sqref="A1"/>
    </sheetView>
  </sheetViews>
  <sheetFormatPr baseColWidth="8" defaultRowHeight="15.6"/>
  <cols>
    <col width="13.796875" customWidth="1" min="1" max="1"/>
    <col width="13.796875" customWidth="1" style="2" min="2" max="2"/>
    <col width="16.796875" customWidth="1" style="2" min="3" max="3"/>
    <col width="15.59765625" customWidth="1" style="2" min="4" max="4"/>
    <col width="16.796875" customWidth="1" style="40" min="5" max="5"/>
    <col width="18.8984375" customWidth="1" style="2" min="6" max="6"/>
    <col width="17.8984375" customWidth="1" style="21" min="7" max="7"/>
    <col width="8.796875" customWidth="1" style="21" min="8" max="8"/>
    <col width="39.59765625" customWidth="1" min="9" max="9"/>
  </cols>
  <sheetData>
    <row r="1">
      <c r="A1" s="38" t="inlineStr">
        <is>
          <t>Virtus Health</t>
        </is>
      </c>
      <c r="F1" s="39" t="n">
        <v>45949</v>
      </c>
    </row>
    <row r="2">
      <c r="F2" s="4" t="inlineStr">
        <is>
          <t>Calculated weeks APA</t>
        </is>
      </c>
    </row>
    <row r="3" ht="71.40000000000001" customFormat="1" customHeight="1" s="3">
      <c r="A3" s="26" t="inlineStr">
        <is>
          <t>Employee ID</t>
        </is>
      </c>
      <c r="B3" s="26" t="inlineStr">
        <is>
          <t>Entity List</t>
        </is>
      </c>
      <c r="C3" s="26" t="inlineStr">
        <is>
          <t>LSL Instrument</t>
        </is>
      </c>
      <c r="D3" s="26" t="inlineStr">
        <is>
          <t>Status</t>
        </is>
      </c>
      <c r="E3" s="41" t="inlineStr">
        <is>
          <t>LSL start date</t>
        </is>
      </c>
      <c r="F3" s="26" t="inlineStr">
        <is>
          <t>Entitlement (Weeks)</t>
        </is>
      </c>
      <c r="G3" s="27" t="inlineStr">
        <is>
          <t>Micropay balance in weeks</t>
        </is>
      </c>
      <c r="H3" s="27" t="inlineStr">
        <is>
          <t>Variance</t>
        </is>
      </c>
      <c r="I3" s="28" t="inlineStr">
        <is>
          <t>Comment</t>
        </is>
      </c>
    </row>
    <row r="4">
      <c r="A4" s="29" t="inlineStr">
        <is>
          <t>AU21005</t>
        </is>
      </c>
      <c r="B4" s="30" t="inlineStr">
        <is>
          <t>VIC-TAS</t>
        </is>
      </c>
      <c r="C4" s="30" t="inlineStr">
        <is>
          <t>MIVFS2022</t>
        </is>
      </c>
      <c r="D4" s="30" t="inlineStr">
        <is>
          <t>Full time</t>
        </is>
      </c>
      <c r="E4" s="42">
        <f>VLOOKUP(A4,'[1]Virtus SAMPLE PositionHistorySa'!$A:$L,12,0)</f>
        <v/>
      </c>
      <c r="F4" s="31" t="inlineStr">
        <is>
          <t>54.11</t>
        </is>
      </c>
      <c r="G4" s="32">
        <f>VLOOKUP(A4,Sheet3!A:K,10,0)/38</f>
        <v/>
      </c>
      <c r="H4" s="32">
        <f>F4-G4</f>
        <v/>
      </c>
      <c r="I4" s="29" t="n"/>
    </row>
    <row r="5">
      <c r="A5" s="29" t="n">
        <v>60125</v>
      </c>
      <c r="B5" s="30" t="inlineStr">
        <is>
          <t>NSW-QLD</t>
        </is>
      </c>
      <c r="C5" s="30" t="inlineStr">
        <is>
          <t>QN2025</t>
        </is>
      </c>
      <c r="D5" s="30" t="inlineStr">
        <is>
          <t>Full time</t>
        </is>
      </c>
      <c r="E5" s="42">
        <f>VLOOKUP(A5,'[1]Virtus SAMPLE PositionHistorySa'!$A:$L,12,0)</f>
        <v/>
      </c>
      <c r="F5" s="31" t="inlineStr">
        <is>
          <t>10.81</t>
        </is>
      </c>
      <c r="G5" s="32">
        <f>VLOOKUP(A5,Sheet3!A:K,10,0)/38</f>
        <v/>
      </c>
      <c r="H5" s="32">
        <f>F5-G5</f>
        <v/>
      </c>
      <c r="I5" s="29" t="n"/>
    </row>
    <row r="6">
      <c r="A6" s="29" t="n">
        <v>90145</v>
      </c>
      <c r="B6" s="30" t="inlineStr">
        <is>
          <t>NSW-QLD</t>
        </is>
      </c>
      <c r="C6" s="30" t="inlineStr">
        <is>
          <t>IVFS2023</t>
        </is>
      </c>
      <c r="D6" s="30" t="inlineStr">
        <is>
          <t>Part time</t>
        </is>
      </c>
      <c r="E6" s="42">
        <f>VLOOKUP(A6,'[1]Virtus SAMPLE PositionHistorySa'!$A:$L,12,0)</f>
        <v/>
      </c>
      <c r="F6" s="31" t="inlineStr">
        <is>
          <t>25.10</t>
        </is>
      </c>
      <c r="G6" s="32" t="n"/>
      <c r="H6" s="32" t="n"/>
      <c r="I6" s="29" t="n"/>
    </row>
    <row r="7">
      <c r="A7" s="29" t="n">
        <v>80108</v>
      </c>
      <c r="B7" s="30" t="inlineStr">
        <is>
          <t>NSW-QLD</t>
        </is>
      </c>
      <c r="C7" s="30" t="inlineStr">
        <is>
          <t>QS2024</t>
        </is>
      </c>
      <c r="D7" s="30" t="inlineStr">
        <is>
          <t>Part time</t>
        </is>
      </c>
      <c r="E7" s="42">
        <f>VLOOKUP(A7,'[1]Virtus SAMPLE PositionHistorySa'!$A:$L,12,0)</f>
        <v/>
      </c>
      <c r="F7" s="31" t="inlineStr">
        <is>
          <t>20.90</t>
        </is>
      </c>
      <c r="G7" s="32" t="n"/>
      <c r="H7" s="32" t="n"/>
      <c r="I7" s="29" t="n"/>
    </row>
    <row r="8">
      <c r="A8" s="29" t="n">
        <v>20082</v>
      </c>
      <c r="B8" s="30" t="inlineStr">
        <is>
          <t>NSW-QLD</t>
        </is>
      </c>
      <c r="C8" s="30" t="inlineStr">
        <is>
          <t>NSW</t>
        </is>
      </c>
      <c r="D8" s="30" t="inlineStr">
        <is>
          <t>Full time</t>
        </is>
      </c>
      <c r="E8" s="42">
        <f>VLOOKUP(A8,'[1]Virtus SAMPLE PositionHistorySa'!$A:$L,12,0)</f>
        <v/>
      </c>
      <c r="F8" s="31" t="inlineStr">
        <is>
          <t>15.28</t>
        </is>
      </c>
      <c r="G8" s="32">
        <f>VLOOKUP(A8,Sheet3!A:K,10,0)/38</f>
        <v/>
      </c>
      <c r="H8" s="32">
        <f>F8-G8</f>
        <v/>
      </c>
      <c r="I8" s="29" t="n"/>
    </row>
    <row r="9">
      <c r="A9" s="29" t="n">
        <v>80026</v>
      </c>
      <c r="B9" s="30" t="inlineStr">
        <is>
          <t>NSW-QLD</t>
        </is>
      </c>
      <c r="C9" s="30" t="inlineStr">
        <is>
          <t>QLD</t>
        </is>
      </c>
      <c r="D9" s="30" t="inlineStr">
        <is>
          <t>Part time</t>
        </is>
      </c>
      <c r="E9" s="42">
        <f>VLOOKUP(A9,'[1]Virtus SAMPLE PositionHistorySa'!$A:$L,12,0)</f>
        <v/>
      </c>
      <c r="F9" s="31" t="inlineStr">
        <is>
          <t>2.25</t>
        </is>
      </c>
      <c r="G9" s="32" t="n"/>
      <c r="H9" s="32" t="n"/>
      <c r="I9" s="29" t="n"/>
    </row>
    <row r="10">
      <c r="A10" s="29" t="inlineStr">
        <is>
          <t>AU21025</t>
        </is>
      </c>
      <c r="B10" s="30" t="inlineStr">
        <is>
          <t>VIC-TAS</t>
        </is>
      </c>
      <c r="C10" s="30" t="inlineStr">
        <is>
          <t>MIVFS2022</t>
        </is>
      </c>
      <c r="D10" s="30" t="inlineStr">
        <is>
          <t>Full time</t>
        </is>
      </c>
      <c r="E10" s="42">
        <f>VLOOKUP(A10,'[1]Virtus SAMPLE PositionHistorySa'!$A:$L,12,0)</f>
        <v/>
      </c>
      <c r="F10" s="31" t="inlineStr">
        <is>
          <t>41.69</t>
        </is>
      </c>
      <c r="G10" s="32">
        <f>VLOOKUP(A10,Sheet3!A:K,10,0)/38</f>
        <v/>
      </c>
      <c r="H10" s="32">
        <f>F10-G10</f>
        <v/>
      </c>
      <c r="I10" s="29" t="n"/>
    </row>
    <row r="11">
      <c r="A11" s="29" t="n">
        <v>60118</v>
      </c>
      <c r="B11" s="30" t="inlineStr">
        <is>
          <t>NSW-QLD</t>
        </is>
      </c>
      <c r="C11" s="30" t="inlineStr">
        <is>
          <t>QN2025</t>
        </is>
      </c>
      <c r="D11" s="30" t="inlineStr">
        <is>
          <t>Part time</t>
        </is>
      </c>
      <c r="E11" s="42">
        <f>VLOOKUP(A11,'[1]Virtus SAMPLE PositionHistorySa'!$A:$L,12,0)</f>
        <v/>
      </c>
      <c r="F11" s="31" t="inlineStr">
        <is>
          <t>25.14</t>
        </is>
      </c>
      <c r="G11" s="32" t="n"/>
      <c r="H11" s="32" t="n"/>
      <c r="I11" s="29" t="n"/>
    </row>
    <row r="12">
      <c r="A12" s="29" t="n">
        <v>60018</v>
      </c>
      <c r="B12" s="30" t="inlineStr">
        <is>
          <t>NSW-QLD</t>
        </is>
      </c>
      <c r="C12" s="30" t="inlineStr">
        <is>
          <t>QN2025</t>
        </is>
      </c>
      <c r="D12" s="30" t="inlineStr">
        <is>
          <t>Part time</t>
        </is>
      </c>
      <c r="E12" s="42">
        <f>VLOOKUP(A12,'[1]Virtus SAMPLE PositionHistorySa'!$A:$L,12,0)</f>
        <v/>
      </c>
      <c r="F12" s="31" t="inlineStr">
        <is>
          <t>23.33</t>
        </is>
      </c>
      <c r="G12" s="32" t="n"/>
      <c r="H12" s="32" t="n"/>
      <c r="I12" s="29" t="n"/>
    </row>
    <row r="13">
      <c r="A13" s="29" t="n">
        <v>80042</v>
      </c>
      <c r="B13" s="30" t="inlineStr">
        <is>
          <t>NSW-QLD</t>
        </is>
      </c>
      <c r="C13" s="30" t="inlineStr">
        <is>
          <t>QS2024</t>
        </is>
      </c>
      <c r="D13" s="30" t="inlineStr">
        <is>
          <t>Full time</t>
        </is>
      </c>
      <c r="E13" s="42">
        <f>VLOOKUP(A13,'[1]Virtus SAMPLE PositionHistorySa'!$A:$L,12,0)</f>
        <v/>
      </c>
      <c r="F13" s="31" t="inlineStr">
        <is>
          <t>20.71</t>
        </is>
      </c>
      <c r="G13" s="32">
        <f>VLOOKUP(A13,Sheet3!A:K,10,0)/38</f>
        <v/>
      </c>
      <c r="H13" s="32">
        <f>F13-G13</f>
        <v/>
      </c>
      <c r="I13" s="29" t="n"/>
    </row>
    <row r="14">
      <c r="A14" s="29" t="n">
        <v>20063</v>
      </c>
      <c r="B14" s="30" t="inlineStr">
        <is>
          <t>NSW-QLD</t>
        </is>
      </c>
      <c r="C14" s="30" t="inlineStr">
        <is>
          <t>IVFS2023</t>
        </is>
      </c>
      <c r="D14" s="30" t="inlineStr">
        <is>
          <t>Part time</t>
        </is>
      </c>
      <c r="E14" s="42">
        <f>VLOOKUP(A14,'[1]Virtus SAMPLE PositionHistorySa'!$A:$L,12,0)</f>
        <v/>
      </c>
      <c r="F14" s="31" t="inlineStr">
        <is>
          <t>0.00</t>
        </is>
      </c>
      <c r="G14" s="32" t="n"/>
      <c r="H14" s="32" t="n"/>
      <c r="I14" s="29" t="n"/>
    </row>
    <row r="15">
      <c r="A15" s="29" t="inlineStr">
        <is>
          <t>AU21035</t>
        </is>
      </c>
      <c r="B15" s="30" t="inlineStr">
        <is>
          <t>VIC-TAS</t>
        </is>
      </c>
      <c r="C15" s="30" t="inlineStr">
        <is>
          <t>MIVFS2022</t>
        </is>
      </c>
      <c r="D15" s="30" t="inlineStr">
        <is>
          <t>Full time</t>
        </is>
      </c>
      <c r="E15" s="42">
        <f>VLOOKUP(A15,'[1]Virtus SAMPLE PositionHistorySa'!$A:$L,12,0)</f>
        <v/>
      </c>
      <c r="F15" s="31" t="inlineStr">
        <is>
          <t>40.66</t>
        </is>
      </c>
      <c r="G15" s="32">
        <f>VLOOKUP(A15,Sheet3!A:K,10,0)/38</f>
        <v/>
      </c>
      <c r="H15" s="32">
        <f>F15-G15</f>
        <v/>
      </c>
      <c r="I15" s="29" t="n"/>
    </row>
    <row r="16">
      <c r="A16" s="29" t="n">
        <v>20156</v>
      </c>
      <c r="B16" s="30" t="inlineStr">
        <is>
          <t>NSW-QLD</t>
        </is>
      </c>
      <c r="C16" s="30" t="inlineStr">
        <is>
          <t>IVFN2021</t>
        </is>
      </c>
      <c r="D16" s="30" t="inlineStr">
        <is>
          <t>Full time</t>
        </is>
      </c>
      <c r="E16" s="42">
        <f>VLOOKUP(A16,'[1]Virtus SAMPLE PositionHistorySa'!$A:$L,12,0)</f>
        <v/>
      </c>
      <c r="F16" s="31" t="inlineStr">
        <is>
          <t>20.32</t>
        </is>
      </c>
      <c r="G16" s="32">
        <f>VLOOKUP(A16,Sheet3!A:K,10,0)/38</f>
        <v/>
      </c>
      <c r="H16" s="32">
        <f>F16-G16</f>
        <v/>
      </c>
      <c r="I16" s="29" t="n"/>
    </row>
    <row r="17">
      <c r="A17" s="29" t="n">
        <v>19802</v>
      </c>
      <c r="B17" s="30" t="inlineStr">
        <is>
          <t>NSW-QLD</t>
        </is>
      </c>
      <c r="C17" s="30" t="inlineStr">
        <is>
          <t>IVFN2021</t>
        </is>
      </c>
      <c r="D17" s="30" t="inlineStr">
        <is>
          <t>Full time</t>
        </is>
      </c>
      <c r="E17" s="42">
        <f>VLOOKUP(A17,'[1]Virtus SAMPLE PositionHistorySa'!$A:$L,12,0)</f>
        <v/>
      </c>
      <c r="F17" s="31" t="inlineStr">
        <is>
          <t>18.67</t>
        </is>
      </c>
      <c r="G17" s="32">
        <f>VLOOKUP(A17,Sheet3!A:K,10,0)/38</f>
        <v/>
      </c>
      <c r="H17" s="32">
        <f>F17-G17</f>
        <v/>
      </c>
      <c r="I17" s="29" t="n"/>
    </row>
    <row r="18">
      <c r="A18" s="29" t="n">
        <v>20146</v>
      </c>
      <c r="B18" s="30" t="inlineStr">
        <is>
          <t>NSW-QLD</t>
        </is>
      </c>
      <c r="C18" s="30" t="inlineStr">
        <is>
          <t>NSW</t>
        </is>
      </c>
      <c r="D18" s="30" t="inlineStr">
        <is>
          <t>Full time</t>
        </is>
      </c>
      <c r="E18" s="42">
        <f>VLOOKUP(A18,'[1]Virtus SAMPLE PositionHistorySa'!$A:$L,12,0)</f>
        <v/>
      </c>
      <c r="F18" s="31" t="inlineStr">
        <is>
          <t>17.64</t>
        </is>
      </c>
      <c r="G18" s="32">
        <f>VLOOKUP(A18,Sheet3!A:K,10,0)/38</f>
        <v/>
      </c>
      <c r="H18" s="32">
        <f>F18-G18</f>
        <v/>
      </c>
      <c r="I18" s="29" t="n"/>
    </row>
    <row r="19">
      <c r="A19" s="29" t="n">
        <v>20172</v>
      </c>
      <c r="B19" s="30" t="inlineStr">
        <is>
          <t>NSW-QLD</t>
        </is>
      </c>
      <c r="C19" s="30" t="inlineStr">
        <is>
          <t>IVFN2021</t>
        </is>
      </c>
      <c r="D19" s="30" t="inlineStr">
        <is>
          <t>Part time</t>
        </is>
      </c>
      <c r="E19" s="42">
        <f>VLOOKUP(A19,'[1]Virtus SAMPLE PositionHistorySa'!$A:$L,12,0)</f>
        <v/>
      </c>
      <c r="F19" s="31" t="inlineStr">
        <is>
          <t>6.89</t>
        </is>
      </c>
      <c r="G19" s="32" t="n"/>
      <c r="H19" s="32" t="n"/>
      <c r="I19" s="29" t="n"/>
    </row>
    <row r="20">
      <c r="A20" s="29" t="n">
        <v>60112</v>
      </c>
      <c r="B20" s="30" t="inlineStr">
        <is>
          <t>NSW-QLD</t>
        </is>
      </c>
      <c r="C20" s="30" t="inlineStr">
        <is>
          <t>QN2025</t>
        </is>
      </c>
      <c r="D20" s="30" t="inlineStr">
        <is>
          <t>Casual</t>
        </is>
      </c>
      <c r="E20" s="42">
        <f>VLOOKUP(A20,'[1]Virtus SAMPLE PositionHistorySa'!$A:$L,12,0)</f>
        <v/>
      </c>
      <c r="F20" s="31" t="inlineStr">
        <is>
          <t>26.05</t>
        </is>
      </c>
      <c r="G20" s="32" t="n"/>
      <c r="H20" s="32" t="n"/>
      <c r="I20" s="29" t="n"/>
    </row>
    <row r="21">
      <c r="A21" s="29" t="n">
        <v>80031</v>
      </c>
      <c r="B21" s="30" t="inlineStr">
        <is>
          <t>NSW-QLD</t>
        </is>
      </c>
      <c r="C21" s="30" t="inlineStr">
        <is>
          <t>QN2025</t>
        </is>
      </c>
      <c r="D21" s="30" t="inlineStr">
        <is>
          <t>Part time</t>
        </is>
      </c>
      <c r="E21" s="42">
        <f>VLOOKUP(A21,'[1]Virtus SAMPLE PositionHistorySa'!$A:$L,12,0)</f>
        <v/>
      </c>
      <c r="F21" s="31" t="inlineStr">
        <is>
          <t>5.40</t>
        </is>
      </c>
      <c r="G21" s="32" t="n"/>
      <c r="H21" s="32" t="n"/>
      <c r="I21" s="29" t="n"/>
    </row>
    <row r="22">
      <c r="A22" s="29" t="n">
        <v>20080</v>
      </c>
      <c r="B22" s="30" t="inlineStr">
        <is>
          <t>NSW-QLD</t>
        </is>
      </c>
      <c r="C22" s="30" t="inlineStr">
        <is>
          <t>IVFS2023</t>
        </is>
      </c>
      <c r="D22" s="30" t="inlineStr">
        <is>
          <t>Part time</t>
        </is>
      </c>
      <c r="E22" s="42">
        <f>VLOOKUP(A22,'[1]Virtus SAMPLE PositionHistorySa'!$A:$L,12,0)</f>
        <v/>
      </c>
      <c r="F22" s="31" t="inlineStr">
        <is>
          <t>11.80</t>
        </is>
      </c>
      <c r="G22" s="32" t="n"/>
      <c r="H22" s="32" t="n"/>
      <c r="I22" s="29" t="n"/>
    </row>
    <row r="23">
      <c r="A23" s="29" t="n">
        <v>20091</v>
      </c>
      <c r="B23" s="30" t="inlineStr">
        <is>
          <t>NSW-QLD</t>
        </is>
      </c>
      <c r="C23" s="30" t="inlineStr">
        <is>
          <t>IVFS2023</t>
        </is>
      </c>
      <c r="D23" s="30" t="inlineStr">
        <is>
          <t>Part time</t>
        </is>
      </c>
      <c r="E23" s="42">
        <f>VLOOKUP(A23,'[1]Virtus SAMPLE PositionHistorySa'!$A:$L,12,0)</f>
        <v/>
      </c>
      <c r="F23" s="31" t="inlineStr">
        <is>
          <t>8.22</t>
        </is>
      </c>
      <c r="G23" s="32" t="n"/>
      <c r="H23" s="32" t="n"/>
      <c r="I23" s="29" t="n"/>
    </row>
    <row r="24">
      <c r="A24" s="29" t="n">
        <v>20056</v>
      </c>
      <c r="B24" s="30" t="inlineStr">
        <is>
          <t>NSW-QLD</t>
        </is>
      </c>
      <c r="C24" s="30" t="inlineStr">
        <is>
          <t>IVFS2023</t>
        </is>
      </c>
      <c r="D24" s="30" t="inlineStr">
        <is>
          <t>Part time</t>
        </is>
      </c>
      <c r="E24" s="42">
        <f>VLOOKUP(A24,'[1]Virtus SAMPLE PositionHistorySa'!$A:$L,12,0)</f>
        <v/>
      </c>
      <c r="F24" s="31" t="inlineStr">
        <is>
          <t>0.00</t>
        </is>
      </c>
      <c r="G24" s="32" t="n"/>
      <c r="H24" s="32" t="n"/>
      <c r="I24" s="29" t="n"/>
    </row>
    <row r="25">
      <c r="A25" s="29" t="n">
        <v>80434</v>
      </c>
      <c r="B25" s="30" t="inlineStr">
        <is>
          <t>NSW-QLD</t>
        </is>
      </c>
      <c r="C25" s="30" t="inlineStr">
        <is>
          <t>QN2025</t>
        </is>
      </c>
      <c r="D25" s="30" t="inlineStr">
        <is>
          <t>Part time</t>
        </is>
      </c>
      <c r="E25" s="42">
        <f>VLOOKUP(A25,'[1]Virtus SAMPLE PositionHistorySa'!$A:$L,12,0)</f>
        <v/>
      </c>
      <c r="F25" s="31" t="inlineStr">
        <is>
          <t>22.11</t>
        </is>
      </c>
      <c r="G25" s="32" t="n"/>
      <c r="H25" s="32" t="n"/>
      <c r="I25" s="29" t="n"/>
    </row>
    <row r="26">
      <c r="A26" s="29" t="n">
        <v>40007</v>
      </c>
      <c r="B26" s="30" t="inlineStr">
        <is>
          <t>NSW-QLD</t>
        </is>
      </c>
      <c r="C26" s="30" t="inlineStr">
        <is>
          <t>IVFN2021</t>
        </is>
      </c>
      <c r="D26" s="30" t="inlineStr">
        <is>
          <t>Part time</t>
        </is>
      </c>
      <c r="E26" s="42">
        <f>VLOOKUP(A26,'[1]Virtus SAMPLE PositionHistorySa'!$A:$L,12,0)</f>
        <v/>
      </c>
      <c r="F26" s="31" t="inlineStr">
        <is>
          <t>1.62</t>
        </is>
      </c>
      <c r="G26" s="32" t="n"/>
      <c r="H26" s="32" t="n"/>
      <c r="I26" s="29" t="n"/>
    </row>
    <row r="27">
      <c r="A27" s="29" t="n">
        <v>20123</v>
      </c>
      <c r="B27" s="30" t="inlineStr">
        <is>
          <t>NSW-QLD</t>
        </is>
      </c>
      <c r="C27" s="30" t="inlineStr">
        <is>
          <t>IVFS2023</t>
        </is>
      </c>
      <c r="D27" s="30" t="inlineStr">
        <is>
          <t>Part time</t>
        </is>
      </c>
      <c r="E27" s="42">
        <f>VLOOKUP(A27,'[1]Virtus SAMPLE PositionHistorySa'!$A:$L,12,0)</f>
        <v/>
      </c>
      <c r="F27" s="31" t="inlineStr">
        <is>
          <t>12.15</t>
        </is>
      </c>
      <c r="G27" s="32" t="n"/>
      <c r="H27" s="32" t="n"/>
      <c r="I27" s="29" t="n"/>
    </row>
    <row r="28">
      <c r="A28" s="29" t="n">
        <v>153</v>
      </c>
      <c r="B28" s="30" t="inlineStr">
        <is>
          <t>VIC-TAS</t>
        </is>
      </c>
      <c r="C28" s="30" t="inlineStr">
        <is>
          <t>MIVFN2023</t>
        </is>
      </c>
      <c r="D28" s="30" t="inlineStr">
        <is>
          <t>Part time</t>
        </is>
      </c>
      <c r="E28" s="42">
        <f>VLOOKUP(A28,'[1]Virtus SAMPLE PositionHistorySa'!$A:$L,12,0)</f>
        <v/>
      </c>
      <c r="F28" s="31" t="inlineStr">
        <is>
          <t>32.55</t>
        </is>
      </c>
      <c r="G28" s="32" t="n"/>
      <c r="H28" s="32" t="n"/>
      <c r="I28" s="29" t="n"/>
    </row>
    <row r="29">
      <c r="A29" s="29" t="n">
        <v>165</v>
      </c>
      <c r="B29" s="30" t="inlineStr">
        <is>
          <t>VIC-TAS</t>
        </is>
      </c>
      <c r="C29" s="30" t="inlineStr">
        <is>
          <t>MIVFS2022</t>
        </is>
      </c>
      <c r="D29" s="30" t="inlineStr">
        <is>
          <t>Full time</t>
        </is>
      </c>
      <c r="E29" s="42">
        <f>VLOOKUP(A29,'[1]Virtus SAMPLE PositionHistorySa'!$A:$L,12,0)</f>
        <v/>
      </c>
      <c r="F29" s="31" t="inlineStr">
        <is>
          <t>32.11</t>
        </is>
      </c>
      <c r="G29" s="32">
        <f>VLOOKUP(A29,Sheet3!A:K,10,0)/38</f>
        <v/>
      </c>
      <c r="H29" s="32">
        <f>F29-G29</f>
        <v/>
      </c>
      <c r="I29" s="29" t="n"/>
    </row>
    <row r="30">
      <c r="A30" s="29" t="n">
        <v>198</v>
      </c>
      <c r="B30" s="30" t="inlineStr">
        <is>
          <t>VIC-TAS</t>
        </is>
      </c>
      <c r="C30" s="30" t="inlineStr">
        <is>
          <t>MIVFS2022</t>
        </is>
      </c>
      <c r="D30" s="30" t="inlineStr">
        <is>
          <t>Part time</t>
        </is>
      </c>
      <c r="E30" s="42">
        <f>VLOOKUP(A30,'[1]Virtus SAMPLE PositionHistorySa'!$A:$L,12,0)</f>
        <v/>
      </c>
      <c r="F30" s="31" t="inlineStr">
        <is>
          <t>30.96</t>
        </is>
      </c>
      <c r="G30" s="32" t="n"/>
      <c r="H30" s="32" t="n"/>
      <c r="I30" s="29" t="n"/>
    </row>
    <row r="31">
      <c r="A31" s="29" t="n">
        <v>50027</v>
      </c>
      <c r="B31" s="30" t="inlineStr">
        <is>
          <t>NSW-QLD</t>
        </is>
      </c>
      <c r="C31" s="30" t="inlineStr">
        <is>
          <t>IVFN2021</t>
        </is>
      </c>
      <c r="D31" s="30" t="inlineStr">
        <is>
          <t>Part time</t>
        </is>
      </c>
      <c r="E31" s="42">
        <f>VLOOKUP(A31,'[1]Virtus SAMPLE PositionHistorySa'!$A:$L,12,0)</f>
        <v/>
      </c>
      <c r="F31" s="31" t="inlineStr">
        <is>
          <t>15.69</t>
        </is>
      </c>
      <c r="G31" s="32" t="n"/>
      <c r="H31" s="32" t="n"/>
      <c r="I31" s="29" t="n"/>
    </row>
    <row r="32">
      <c r="A32" s="29" t="n">
        <v>214</v>
      </c>
      <c r="B32" s="30" t="inlineStr">
        <is>
          <t>VIC-TAS</t>
        </is>
      </c>
      <c r="C32" s="30" t="inlineStr">
        <is>
          <t>MIVFS2022</t>
        </is>
      </c>
      <c r="D32" s="30" t="inlineStr">
        <is>
          <t>Full time</t>
        </is>
      </c>
      <c r="E32" s="42">
        <f>VLOOKUP(A32,'[1]Virtus SAMPLE PositionHistorySa'!$A:$L,12,0)</f>
        <v/>
      </c>
      <c r="F32" s="31" t="inlineStr">
        <is>
          <t>30.13</t>
        </is>
      </c>
      <c r="G32" s="32">
        <f>VLOOKUP(A32,Sheet3!A:K,10,0)/38</f>
        <v/>
      </c>
      <c r="H32" s="32">
        <f>F32-G32</f>
        <v/>
      </c>
      <c r="I32" s="29" t="n"/>
    </row>
    <row r="33">
      <c r="A33" s="29" t="n">
        <v>39</v>
      </c>
      <c r="B33" s="30" t="inlineStr">
        <is>
          <t>VIC-TAS</t>
        </is>
      </c>
      <c r="C33" s="30" t="inlineStr">
        <is>
          <t>TIVF2024</t>
        </is>
      </c>
      <c r="D33" s="30" t="inlineStr">
        <is>
          <t>Part time</t>
        </is>
      </c>
      <c r="E33" s="42">
        <f>VLOOKUP(A33,'[1]Virtus SAMPLE PositionHistorySa'!$A:$L,12,0)</f>
        <v/>
      </c>
      <c r="F33" s="31" t="inlineStr">
        <is>
          <t>15.13</t>
        </is>
      </c>
      <c r="G33" s="32" t="n"/>
      <c r="H33" s="32" t="n"/>
      <c r="I33" s="29" t="n"/>
    </row>
    <row r="34">
      <c r="A34" s="29" t="n">
        <v>60129</v>
      </c>
      <c r="B34" s="30" t="inlineStr">
        <is>
          <t>NSW-QLD</t>
        </is>
      </c>
      <c r="C34" s="30" t="inlineStr">
        <is>
          <t>QN2025</t>
        </is>
      </c>
      <c r="D34" s="30" t="inlineStr">
        <is>
          <t>Part time</t>
        </is>
      </c>
      <c r="E34" s="42">
        <f>VLOOKUP(A34,'[1]Virtus SAMPLE PositionHistorySa'!$A:$L,12,0)</f>
        <v/>
      </c>
      <c r="F34" s="31" t="inlineStr">
        <is>
          <t>0.00</t>
        </is>
      </c>
      <c r="G34" s="32" t="n"/>
      <c r="H34" s="32" t="n"/>
      <c r="I34" s="29" t="n"/>
    </row>
    <row r="35">
      <c r="A35" s="29" t="n">
        <v>20175</v>
      </c>
      <c r="B35" s="30" t="inlineStr">
        <is>
          <t>NSW-QLD</t>
        </is>
      </c>
      <c r="C35" s="30" t="inlineStr">
        <is>
          <t>IVFN2021</t>
        </is>
      </c>
      <c r="D35" s="30" t="inlineStr">
        <is>
          <t>Part time</t>
        </is>
      </c>
      <c r="E35" s="42">
        <f>VLOOKUP(A35,'[1]Virtus SAMPLE PositionHistorySa'!$A:$L,12,0)</f>
        <v/>
      </c>
      <c r="F35" s="31" t="inlineStr">
        <is>
          <t>0.00</t>
        </is>
      </c>
      <c r="G35" s="32" t="n"/>
      <c r="H35" s="32" t="n"/>
      <c r="I35" s="29" t="n"/>
    </row>
    <row r="36">
      <c r="A36" s="29" t="n">
        <v>20033</v>
      </c>
      <c r="B36" s="30" t="inlineStr">
        <is>
          <t>NSW-QLD</t>
        </is>
      </c>
      <c r="C36" s="30" t="inlineStr">
        <is>
          <t>IVFS2023</t>
        </is>
      </c>
      <c r="D36" s="30" t="inlineStr">
        <is>
          <t>Full time</t>
        </is>
      </c>
      <c r="E36" s="42">
        <f>VLOOKUP(A36,'[1]Virtus SAMPLE PositionHistorySa'!$A:$L,12,0)</f>
        <v/>
      </c>
      <c r="F36" s="31" t="inlineStr">
        <is>
          <t>3.05</t>
        </is>
      </c>
      <c r="G36" s="32">
        <f>VLOOKUP(A36,Sheet3!A:K,10,0)/38</f>
        <v/>
      </c>
      <c r="H36" s="32">
        <f>F36-G36</f>
        <v/>
      </c>
      <c r="I36" s="29" t="n"/>
    </row>
    <row r="37">
      <c r="A37" s="29" t="n">
        <v>80105</v>
      </c>
      <c r="B37" s="30" t="inlineStr">
        <is>
          <t>NSW-QLD</t>
        </is>
      </c>
      <c r="C37" s="30" t="inlineStr">
        <is>
          <t>QS2024</t>
        </is>
      </c>
      <c r="D37" s="30" t="inlineStr">
        <is>
          <t>Full time</t>
        </is>
      </c>
      <c r="E37" s="42">
        <f>VLOOKUP(A37,'[1]Virtus SAMPLE PositionHistorySa'!$A:$L,12,0)</f>
        <v/>
      </c>
      <c r="F37" s="31" t="inlineStr">
        <is>
          <t>5.89</t>
        </is>
      </c>
      <c r="G37" s="32">
        <f>VLOOKUP(A37,Sheet3!A:K,10,0)/38</f>
        <v/>
      </c>
      <c r="H37" s="32">
        <f>F37-G37</f>
        <v/>
      </c>
      <c r="I37" s="29" t="n"/>
    </row>
    <row r="38">
      <c r="A38" s="29" t="n">
        <v>20752</v>
      </c>
      <c r="B38" s="30" t="inlineStr">
        <is>
          <t>NSW-QLD</t>
        </is>
      </c>
      <c r="C38" s="30" t="inlineStr">
        <is>
          <t>QLD</t>
        </is>
      </c>
      <c r="D38" s="30">
        <f>VLOOKUP(A38,Sheet3!A:E,5,0)</f>
        <v/>
      </c>
      <c r="E38" s="42">
        <f>VLOOKUP(A38,'[1]Virtus SAMPLE PositionHistorySa'!$A:$L,12,0)</f>
        <v/>
      </c>
      <c r="F38" s="31" t="inlineStr">
        <is>
          <t>13.91</t>
        </is>
      </c>
      <c r="G38" s="32" t="n"/>
      <c r="H38" s="32" t="n"/>
      <c r="I38" s="29" t="n"/>
    </row>
    <row r="39">
      <c r="A39" s="29" t="n">
        <v>20016</v>
      </c>
      <c r="B39" s="30" t="inlineStr">
        <is>
          <t>NSW-QLD</t>
        </is>
      </c>
      <c r="C39" s="30" t="inlineStr">
        <is>
          <t>IVFT2024</t>
        </is>
      </c>
      <c r="D39" s="30" t="inlineStr">
        <is>
          <t>Part time</t>
        </is>
      </c>
      <c r="E39" s="42">
        <f>VLOOKUP(A39,'[1]Virtus SAMPLE PositionHistorySa'!$A:$L,12,0)</f>
        <v/>
      </c>
      <c r="F39" s="31" t="inlineStr">
        <is>
          <t>2.26</t>
        </is>
      </c>
      <c r="G39" s="32" t="n"/>
      <c r="H39" s="32" t="n"/>
      <c r="I39" s="29" t="n"/>
    </row>
    <row r="40">
      <c r="A40" s="29" t="n">
        <v>318</v>
      </c>
      <c r="B40" s="30" t="inlineStr">
        <is>
          <t>VIC-TAS</t>
        </is>
      </c>
      <c r="C40" s="30" t="inlineStr">
        <is>
          <t>MIVFS2022</t>
        </is>
      </c>
      <c r="D40" s="30" t="inlineStr">
        <is>
          <t>Part time</t>
        </is>
      </c>
      <c r="E40" s="42">
        <f>VLOOKUP(A40,'[1]Virtus SAMPLE PositionHistorySa'!$A:$L,12,0)</f>
        <v/>
      </c>
      <c r="F40" s="31" t="inlineStr">
        <is>
          <t>27.67</t>
        </is>
      </c>
      <c r="G40" s="32" t="n"/>
      <c r="H40" s="32" t="n"/>
      <c r="I40" s="29" t="n"/>
    </row>
    <row r="41">
      <c r="A41" s="29" t="n">
        <v>50009</v>
      </c>
      <c r="B41" s="30" t="inlineStr">
        <is>
          <t>NSW-QLD</t>
        </is>
      </c>
      <c r="C41" s="30" t="inlineStr">
        <is>
          <t>IVFS2023</t>
        </is>
      </c>
      <c r="D41" s="30" t="inlineStr">
        <is>
          <t>Full time</t>
        </is>
      </c>
      <c r="E41" s="42">
        <f>VLOOKUP(A41,'[1]Virtus SAMPLE PositionHistorySa'!$A:$L,12,0)</f>
        <v/>
      </c>
      <c r="F41" s="31" t="inlineStr">
        <is>
          <t>11.05</t>
        </is>
      </c>
      <c r="G41" s="32">
        <f>VLOOKUP(A41,Sheet3!A:K,10,0)/38</f>
        <v/>
      </c>
      <c r="H41" s="32">
        <f>F41-G41</f>
        <v/>
      </c>
      <c r="I41" s="29" t="n"/>
    </row>
    <row r="42">
      <c r="A42" s="29" t="n">
        <v>20176</v>
      </c>
      <c r="B42" s="30" t="inlineStr">
        <is>
          <t>NSW-QLD</t>
        </is>
      </c>
      <c r="C42" s="30" t="inlineStr">
        <is>
          <t>IVFN2021</t>
        </is>
      </c>
      <c r="D42" s="30" t="inlineStr">
        <is>
          <t>Part time</t>
        </is>
      </c>
      <c r="E42" s="42">
        <f>VLOOKUP(A42,'[1]Virtus SAMPLE PositionHistorySa'!$A:$L,12,0)</f>
        <v/>
      </c>
      <c r="F42" s="31" t="inlineStr">
        <is>
          <t>9.78</t>
        </is>
      </c>
      <c r="G42" s="32" t="n"/>
      <c r="H42" s="32" t="n"/>
      <c r="I42" s="29" t="n"/>
    </row>
    <row r="43">
      <c r="A43" s="29" t="n">
        <v>20145</v>
      </c>
      <c r="B43" s="30" t="inlineStr">
        <is>
          <t>NSW-QLD</t>
        </is>
      </c>
      <c r="C43" s="30" t="inlineStr">
        <is>
          <t>IVFN2021</t>
        </is>
      </c>
      <c r="D43" s="30" t="inlineStr">
        <is>
          <t>Part time</t>
        </is>
      </c>
      <c r="E43" s="42">
        <f>VLOOKUP(A43,'[1]Virtus SAMPLE PositionHistorySa'!$A:$L,12,0)</f>
        <v/>
      </c>
      <c r="F43" s="31" t="inlineStr">
        <is>
          <t>14.27</t>
        </is>
      </c>
      <c r="G43" s="32" t="n"/>
      <c r="H43" s="32" t="n"/>
      <c r="I43" s="29" t="n"/>
    </row>
    <row r="44">
      <c r="A44" s="29" t="n">
        <v>20186</v>
      </c>
      <c r="B44" s="30" t="inlineStr">
        <is>
          <t>NSW-QLD</t>
        </is>
      </c>
      <c r="C44" s="30" t="inlineStr">
        <is>
          <t>IVFC2022</t>
        </is>
      </c>
      <c r="D44" s="30" t="inlineStr">
        <is>
          <t>Part time</t>
        </is>
      </c>
      <c r="E44" s="42">
        <f>VLOOKUP(A44,'[1]Virtus SAMPLE PositionHistorySa'!$A:$L,12,0)</f>
        <v/>
      </c>
      <c r="F44" s="31" t="inlineStr">
        <is>
          <t>10.76</t>
        </is>
      </c>
      <c r="G44" s="32" t="n"/>
      <c r="H44" s="32" t="n"/>
      <c r="I44" s="29" t="n"/>
    </row>
    <row r="45">
      <c r="A45" s="29" t="n">
        <v>30021</v>
      </c>
      <c r="B45" s="30" t="inlineStr">
        <is>
          <t>NSW-QLD</t>
        </is>
      </c>
      <c r="C45" s="30" t="inlineStr">
        <is>
          <t>IVFN2021</t>
        </is>
      </c>
      <c r="D45" s="30" t="inlineStr">
        <is>
          <t>Part time</t>
        </is>
      </c>
      <c r="E45" s="42">
        <f>VLOOKUP(A45,'[1]Virtus SAMPLE PositionHistorySa'!$A:$L,12,0)</f>
        <v/>
      </c>
      <c r="F45" s="31" t="inlineStr">
        <is>
          <t>1.91</t>
        </is>
      </c>
      <c r="G45" s="32" t="n"/>
      <c r="H45" s="32" t="n"/>
      <c r="I45" s="29" t="n"/>
    </row>
    <row r="46">
      <c r="A46" s="29" t="n">
        <v>80103</v>
      </c>
      <c r="B46" s="30" t="inlineStr">
        <is>
          <t>NSW-QLD</t>
        </is>
      </c>
      <c r="C46" s="30" t="inlineStr">
        <is>
          <t>QS2024</t>
        </is>
      </c>
      <c r="D46" s="30" t="inlineStr">
        <is>
          <t>Full time</t>
        </is>
      </c>
      <c r="E46" s="42">
        <f>VLOOKUP(A46,'[1]Virtus SAMPLE PositionHistorySa'!$A:$L,12,0)</f>
        <v/>
      </c>
      <c r="F46" s="31" t="inlineStr">
        <is>
          <t>20.51</t>
        </is>
      </c>
      <c r="G46" s="32">
        <f>VLOOKUP(A46,Sheet3!A:K,10,0)/38</f>
        <v/>
      </c>
      <c r="H46" s="32">
        <f>F46-G46</f>
        <v/>
      </c>
      <c r="I46" s="29" t="n"/>
    </row>
    <row r="47">
      <c r="A47" s="29" t="n">
        <v>19801</v>
      </c>
      <c r="B47" s="30" t="inlineStr">
        <is>
          <t>NSW-QLD</t>
        </is>
      </c>
      <c r="C47" s="30" t="inlineStr">
        <is>
          <t>IVFT2024</t>
        </is>
      </c>
      <c r="D47" s="30" t="inlineStr">
        <is>
          <t>Full time</t>
        </is>
      </c>
      <c r="E47" s="42">
        <f>VLOOKUP(A47,'[1]Virtus SAMPLE PositionHistorySa'!$A:$L,12,0)</f>
        <v/>
      </c>
      <c r="F47" s="31" t="inlineStr">
        <is>
          <t>7.88</t>
        </is>
      </c>
      <c r="G47" s="32">
        <f>VLOOKUP(A47,Sheet3!A:K,10,0)/38</f>
        <v/>
      </c>
      <c r="H47" s="32">
        <f>F47-G47</f>
        <v/>
      </c>
      <c r="I47" s="29" t="n"/>
    </row>
    <row r="48">
      <c r="A48" s="29" t="n">
        <v>60024</v>
      </c>
      <c r="B48" s="30" t="inlineStr">
        <is>
          <t>NSW-QLD</t>
        </is>
      </c>
      <c r="C48" s="30" t="inlineStr">
        <is>
          <t>QN2025</t>
        </is>
      </c>
      <c r="D48" s="30" t="inlineStr">
        <is>
          <t>Part time</t>
        </is>
      </c>
      <c r="E48" s="42">
        <f>VLOOKUP(A48,'[1]Virtus SAMPLE PositionHistorySa'!$A:$L,12,0)</f>
        <v/>
      </c>
      <c r="F48" s="31" t="inlineStr">
        <is>
          <t>12.24</t>
        </is>
      </c>
      <c r="G48" s="32" t="n"/>
      <c r="H48" s="32" t="n"/>
      <c r="I48" s="29" t="n"/>
    </row>
    <row r="49">
      <c r="A49" s="29" t="n">
        <v>19811</v>
      </c>
      <c r="B49" s="30" t="inlineStr">
        <is>
          <t>NSW-QLD</t>
        </is>
      </c>
      <c r="C49" s="30" t="inlineStr">
        <is>
          <t>IVFS2023</t>
        </is>
      </c>
      <c r="D49" s="30" t="inlineStr">
        <is>
          <t>Full time</t>
        </is>
      </c>
      <c r="E49" s="42">
        <f>VLOOKUP(A49,'[1]Virtus SAMPLE PositionHistorySa'!$A:$L,12,0)</f>
        <v/>
      </c>
      <c r="F49" s="31" t="inlineStr">
        <is>
          <t>10.89</t>
        </is>
      </c>
      <c r="G49" s="32">
        <f>VLOOKUP(A49,Sheet3!A:K,10,0)/38</f>
        <v/>
      </c>
      <c r="H49" s="32">
        <f>F49-G49</f>
        <v/>
      </c>
      <c r="I49" s="29" t="n"/>
    </row>
    <row r="50">
      <c r="A50" s="29" t="n">
        <v>80293</v>
      </c>
      <c r="B50" s="30" t="inlineStr">
        <is>
          <t>NSW-QLD</t>
        </is>
      </c>
      <c r="C50" s="30" t="inlineStr">
        <is>
          <t>QN2025</t>
        </is>
      </c>
      <c r="D50" s="30" t="inlineStr">
        <is>
          <t>Casual</t>
        </is>
      </c>
      <c r="E50" s="42">
        <f>VLOOKUP(A50,'[1]Virtus SAMPLE PositionHistorySa'!$A:$L,12,0)</f>
        <v/>
      </c>
      <c r="F50" s="31" t="inlineStr">
        <is>
          <t>20.53</t>
        </is>
      </c>
      <c r="G50" s="32" t="n"/>
      <c r="H50" s="32" t="n"/>
      <c r="I50" s="29" t="n"/>
    </row>
    <row r="51">
      <c r="A51" s="29" t="n">
        <v>32</v>
      </c>
      <c r="B51" s="30" t="inlineStr">
        <is>
          <t>VIC-TAS</t>
        </is>
      </c>
      <c r="C51" s="30" t="inlineStr">
        <is>
          <t>TIVF2024</t>
        </is>
      </c>
      <c r="D51" s="30" t="inlineStr">
        <is>
          <t>Full time</t>
        </is>
      </c>
      <c r="E51" s="42">
        <f>VLOOKUP(A51,'[1]Virtus SAMPLE PositionHistorySa'!$A:$L,12,0)</f>
        <v/>
      </c>
      <c r="F51" s="31" t="inlineStr">
        <is>
          <t>13.53</t>
        </is>
      </c>
      <c r="G51" s="32">
        <f>VLOOKUP(A51,Sheet3!A:K,10,0)/38</f>
        <v/>
      </c>
      <c r="H51" s="32">
        <f>F51-G51</f>
        <v/>
      </c>
      <c r="I51" s="29" t="n"/>
    </row>
    <row r="52">
      <c r="A52" s="29" t="n">
        <v>50003</v>
      </c>
      <c r="B52" s="30" t="inlineStr">
        <is>
          <t>NSW-QLD</t>
        </is>
      </c>
      <c r="C52" s="30" t="inlineStr">
        <is>
          <t>IVFS2023</t>
        </is>
      </c>
      <c r="D52" s="30" t="inlineStr">
        <is>
          <t>Part time</t>
        </is>
      </c>
      <c r="E52" s="42">
        <f>VLOOKUP(A52,'[1]Virtus SAMPLE PositionHistorySa'!$A:$L,12,0)</f>
        <v/>
      </c>
      <c r="F52" s="31" t="inlineStr">
        <is>
          <t>0.00</t>
        </is>
      </c>
      <c r="G52" s="32" t="n"/>
      <c r="H52" s="32" t="n"/>
      <c r="I52" s="29" t="n"/>
    </row>
    <row r="53">
      <c r="A53" s="29" t="n">
        <v>80110</v>
      </c>
      <c r="B53" s="30" t="inlineStr">
        <is>
          <t>NSW-QLD</t>
        </is>
      </c>
      <c r="C53" s="30" t="inlineStr">
        <is>
          <t>QS2024</t>
        </is>
      </c>
      <c r="D53" s="30" t="inlineStr">
        <is>
          <t>Part time</t>
        </is>
      </c>
      <c r="E53" s="42">
        <f>VLOOKUP(A53,'[1]Virtus SAMPLE PositionHistorySa'!$A:$L,12,0)</f>
        <v/>
      </c>
      <c r="F53" s="31" t="inlineStr">
        <is>
          <t>19.85</t>
        </is>
      </c>
      <c r="G53" s="32" t="n"/>
      <c r="H53" s="32" t="n"/>
      <c r="I53" s="29" t="n"/>
    </row>
    <row r="54">
      <c r="A54" s="29" t="n">
        <v>20250</v>
      </c>
      <c r="B54" s="30" t="inlineStr">
        <is>
          <t>NSW-QLD</t>
        </is>
      </c>
      <c r="C54" s="30" t="inlineStr">
        <is>
          <t>NSW</t>
        </is>
      </c>
      <c r="D54" s="30" t="inlineStr">
        <is>
          <t>Full time</t>
        </is>
      </c>
      <c r="E54" s="42">
        <f>VLOOKUP(A54,'[1]Virtus SAMPLE PositionHistorySa'!$A:$L,12,0)</f>
        <v/>
      </c>
      <c r="F54" s="31" t="inlineStr">
        <is>
          <t>8.52</t>
        </is>
      </c>
      <c r="G54" s="32">
        <f>VLOOKUP(A54,Sheet3!A:K,10,0)/38</f>
        <v/>
      </c>
      <c r="H54" s="32">
        <f>F54-G54</f>
        <v/>
      </c>
      <c r="I54" s="29" t="n"/>
    </row>
    <row r="55">
      <c r="A55" s="29" t="n">
        <v>20236</v>
      </c>
      <c r="B55" s="30" t="inlineStr">
        <is>
          <t>NSW-QLD</t>
        </is>
      </c>
      <c r="C55" s="30" t="inlineStr">
        <is>
          <t>IVFC2022</t>
        </is>
      </c>
      <c r="D55" s="30" t="inlineStr">
        <is>
          <t>Part time</t>
        </is>
      </c>
      <c r="E55" s="42">
        <f>VLOOKUP(A55,'[1]Virtus SAMPLE PositionHistorySa'!$A:$L,12,0)</f>
        <v/>
      </c>
      <c r="F55" s="31" t="inlineStr">
        <is>
          <t>2.61</t>
        </is>
      </c>
      <c r="G55" s="32" t="n"/>
      <c r="H55" s="32" t="n"/>
      <c r="I55" s="29" t="n"/>
    </row>
    <row r="56">
      <c r="A56" s="29" t="n">
        <v>40036</v>
      </c>
      <c r="B56" s="30" t="inlineStr">
        <is>
          <t>NSW-QLD</t>
        </is>
      </c>
      <c r="C56" s="30" t="inlineStr">
        <is>
          <t>IVFS2023</t>
        </is>
      </c>
      <c r="D56" s="30" t="inlineStr">
        <is>
          <t>Full time</t>
        </is>
      </c>
      <c r="E56" s="42">
        <f>VLOOKUP(A56,'[1]Virtus SAMPLE PositionHistorySa'!$A:$L,12,0)</f>
        <v/>
      </c>
      <c r="F56" s="31" t="inlineStr">
        <is>
          <t>12.03</t>
        </is>
      </c>
      <c r="G56" s="32">
        <f>VLOOKUP(A56,Sheet3!A:K,10,0)/38</f>
        <v/>
      </c>
      <c r="H56" s="32">
        <f>F56-G56</f>
        <v/>
      </c>
      <c r="I56" s="29" t="n"/>
    </row>
    <row r="57">
      <c r="A57" s="29" t="n">
        <v>80122</v>
      </c>
      <c r="B57" s="30" t="inlineStr">
        <is>
          <t>NSW-QLD</t>
        </is>
      </c>
      <c r="C57" s="30" t="inlineStr">
        <is>
          <t>QS2024</t>
        </is>
      </c>
      <c r="D57" s="30" t="inlineStr">
        <is>
          <t>Part time</t>
        </is>
      </c>
      <c r="E57" s="42">
        <f>VLOOKUP(A57,'[1]Virtus SAMPLE PositionHistorySa'!$A:$L,12,0)</f>
        <v/>
      </c>
      <c r="F57" s="31" t="inlineStr">
        <is>
          <t>18.80</t>
        </is>
      </c>
      <c r="G57" s="32" t="n"/>
      <c r="H57" s="32" t="n"/>
      <c r="I57" s="29" t="n"/>
    </row>
    <row r="58">
      <c r="A58" s="29" t="n">
        <v>368</v>
      </c>
      <c r="B58" s="30" t="inlineStr">
        <is>
          <t>VIC-TAS</t>
        </is>
      </c>
      <c r="C58" s="30" t="inlineStr">
        <is>
          <t>MIVFS2022</t>
        </is>
      </c>
      <c r="D58" s="30" t="inlineStr">
        <is>
          <t>Full time</t>
        </is>
      </c>
      <c r="E58" s="42">
        <f>VLOOKUP(A58,'[1]Virtus SAMPLE PositionHistorySa'!$A:$L,12,0)</f>
        <v/>
      </c>
      <c r="F58" s="31" t="inlineStr">
        <is>
          <t>25.64</t>
        </is>
      </c>
      <c r="G58" s="32">
        <f>VLOOKUP(A58,Sheet3!A:K,10,0)/38</f>
        <v/>
      </c>
      <c r="H58" s="32">
        <f>F58-G58</f>
        <v/>
      </c>
      <c r="I58" s="29" t="n"/>
    </row>
    <row r="59">
      <c r="A59" s="29" t="n">
        <v>80117</v>
      </c>
      <c r="B59" s="30" t="inlineStr">
        <is>
          <t>NSW-QLD</t>
        </is>
      </c>
      <c r="C59" s="30" t="inlineStr">
        <is>
          <t>QS2024</t>
        </is>
      </c>
      <c r="D59" s="30" t="inlineStr">
        <is>
          <t>Part time</t>
        </is>
      </c>
      <c r="E59" s="42">
        <f>VLOOKUP(A59,'[1]Virtus SAMPLE PositionHistorySa'!$A:$L,12,0)</f>
        <v/>
      </c>
      <c r="F59" s="31" t="inlineStr">
        <is>
          <t>18.91</t>
        </is>
      </c>
      <c r="G59" s="32" t="n"/>
      <c r="H59" s="32" t="n"/>
      <c r="I59" s="29" t="n"/>
    </row>
    <row r="60">
      <c r="A60" s="29" t="n">
        <v>20263</v>
      </c>
      <c r="B60" s="30" t="inlineStr">
        <is>
          <t>NSW-QLD</t>
        </is>
      </c>
      <c r="C60" s="30" t="inlineStr">
        <is>
          <t>NSW</t>
        </is>
      </c>
      <c r="D60" s="30" t="inlineStr">
        <is>
          <t>Full time</t>
        </is>
      </c>
      <c r="E60" s="42">
        <f>VLOOKUP(A60,'[1]Virtus SAMPLE PositionHistorySa'!$A:$L,12,0)</f>
        <v/>
      </c>
      <c r="F60" s="31" t="inlineStr">
        <is>
          <t>0.00</t>
        </is>
      </c>
      <c r="G60" s="32">
        <f>VLOOKUP(A60,Sheet3!A:K,10,0)/38</f>
        <v/>
      </c>
      <c r="H60" s="32">
        <f>F60-G60</f>
        <v/>
      </c>
      <c r="I60" s="29" t="n"/>
    </row>
    <row r="61">
      <c r="A61" s="29" t="n">
        <v>100018</v>
      </c>
      <c r="B61" s="30" t="inlineStr">
        <is>
          <t>NSW-QLD</t>
        </is>
      </c>
      <c r="C61" s="30" t="inlineStr">
        <is>
          <t>ACT</t>
        </is>
      </c>
      <c r="D61" s="30" t="inlineStr">
        <is>
          <t>Full time</t>
        </is>
      </c>
      <c r="E61" s="42">
        <f>VLOOKUP(A61,'[1]Virtus SAMPLE PositionHistorySa'!$A:$L,12,0)</f>
        <v/>
      </c>
      <c r="F61" s="31" t="inlineStr">
        <is>
          <t>12.02</t>
        </is>
      </c>
      <c r="G61" s="32">
        <f>VLOOKUP(A61,Sheet3!A:K,10,0)/38</f>
        <v/>
      </c>
      <c r="H61" s="32">
        <f>F61-G61</f>
        <v/>
      </c>
      <c r="I61" s="29" t="n"/>
    </row>
    <row r="62">
      <c r="A62" s="29" t="n">
        <v>442</v>
      </c>
      <c r="B62" s="30" t="inlineStr">
        <is>
          <t>VIC-TAS</t>
        </is>
      </c>
      <c r="C62" s="30" t="inlineStr">
        <is>
          <t>MIVFN2023</t>
        </is>
      </c>
      <c r="D62" s="30" t="inlineStr">
        <is>
          <t>Part time</t>
        </is>
      </c>
      <c r="E62" s="42">
        <f>VLOOKUP(A62,'[1]Virtus SAMPLE PositionHistorySa'!$A:$L,12,0)</f>
        <v/>
      </c>
      <c r="F62" s="31" t="inlineStr">
        <is>
          <t>24.61</t>
        </is>
      </c>
      <c r="G62" s="32" t="n"/>
      <c r="H62" s="32" t="n"/>
      <c r="I62" s="29" t="n"/>
    </row>
    <row r="63">
      <c r="A63" s="29" t="n">
        <v>406</v>
      </c>
      <c r="B63" s="30" t="inlineStr">
        <is>
          <t>VIC-TAS</t>
        </is>
      </c>
      <c r="C63" s="30" t="inlineStr">
        <is>
          <t>MIVFS2022</t>
        </is>
      </c>
      <c r="D63" s="30" t="inlineStr">
        <is>
          <t>Full time</t>
        </is>
      </c>
      <c r="E63" s="42">
        <f>VLOOKUP(A63,'[1]Virtus SAMPLE PositionHistorySa'!$A:$L,12,0)</f>
        <v/>
      </c>
      <c r="F63" s="31" t="inlineStr">
        <is>
          <t>25.18</t>
        </is>
      </c>
      <c r="G63" s="32">
        <f>VLOOKUP(A63,Sheet3!A:K,10,0)/38</f>
        <v/>
      </c>
      <c r="H63" s="32">
        <f>F63-G63</f>
        <v/>
      </c>
      <c r="I63" s="29" t="n"/>
    </row>
    <row r="64">
      <c r="A64" s="29" t="n">
        <v>20248</v>
      </c>
      <c r="B64" s="30" t="inlineStr">
        <is>
          <t>NSW-QLD</t>
        </is>
      </c>
      <c r="C64" s="30" t="inlineStr">
        <is>
          <t>IVFS2023</t>
        </is>
      </c>
      <c r="D64" s="30" t="inlineStr">
        <is>
          <t>Part time</t>
        </is>
      </c>
      <c r="E64" s="42">
        <f>VLOOKUP(A64,'[1]Virtus SAMPLE PositionHistorySa'!$A:$L,12,0)</f>
        <v/>
      </c>
      <c r="F64" s="31" t="inlineStr">
        <is>
          <t>12.37</t>
        </is>
      </c>
      <c r="G64" s="32" t="n"/>
      <c r="H64" s="32" t="n"/>
      <c r="I64" s="29" t="n"/>
    </row>
    <row r="65">
      <c r="A65" s="29" t="n">
        <v>455</v>
      </c>
      <c r="B65" s="30" t="inlineStr">
        <is>
          <t>VIC-TAS</t>
        </is>
      </c>
      <c r="C65" s="30" t="inlineStr">
        <is>
          <t>MIVFS2022</t>
        </is>
      </c>
      <c r="D65" s="30" t="inlineStr">
        <is>
          <t>Full time</t>
        </is>
      </c>
      <c r="E65" s="42">
        <f>VLOOKUP(A65,'[1]Virtus SAMPLE PositionHistorySa'!$A:$L,12,0)</f>
        <v/>
      </c>
      <c r="F65" s="31" t="inlineStr">
        <is>
          <t>24.45</t>
        </is>
      </c>
      <c r="G65" s="32">
        <f>VLOOKUP(A65,Sheet3!A:K,10,0)/38</f>
        <v/>
      </c>
      <c r="H65" s="32">
        <f>F65-G65</f>
        <v/>
      </c>
      <c r="I65" s="29" t="n"/>
    </row>
    <row r="66">
      <c r="A66" s="29" t="n">
        <v>40040</v>
      </c>
      <c r="B66" s="30" t="inlineStr">
        <is>
          <t>NSW-QLD</t>
        </is>
      </c>
      <c r="C66" s="30" t="inlineStr">
        <is>
          <t>IVFN2021</t>
        </is>
      </c>
      <c r="D66" s="30" t="inlineStr">
        <is>
          <t>Full time</t>
        </is>
      </c>
      <c r="E66" s="42">
        <f>VLOOKUP(A66,'[1]Virtus SAMPLE PositionHistorySa'!$A:$L,12,0)</f>
        <v/>
      </c>
      <c r="F66" s="31" t="inlineStr">
        <is>
          <t>8.82</t>
        </is>
      </c>
      <c r="G66" s="32">
        <f>VLOOKUP(A66,Sheet3!A:K,10,0)/38</f>
        <v/>
      </c>
      <c r="H66" s="32">
        <f>F66-G66</f>
        <v/>
      </c>
      <c r="I66" s="29" t="n"/>
    </row>
    <row r="67">
      <c r="A67" s="29" t="n">
        <v>20281</v>
      </c>
      <c r="B67" s="30" t="inlineStr">
        <is>
          <t>NSW-QLD</t>
        </is>
      </c>
      <c r="C67" s="30" t="inlineStr">
        <is>
          <t>IVFN2021</t>
        </is>
      </c>
      <c r="D67" s="30" t="inlineStr">
        <is>
          <t>Part time</t>
        </is>
      </c>
      <c r="E67" s="42">
        <f>VLOOKUP(A67,'[1]Virtus SAMPLE PositionHistorySa'!$A:$L,12,0)</f>
        <v/>
      </c>
      <c r="F67" s="31" t="inlineStr">
        <is>
          <t>11.82</t>
        </is>
      </c>
      <c r="G67" s="32" t="n"/>
      <c r="H67" s="32" t="n"/>
      <c r="I67" s="29" t="n"/>
    </row>
    <row r="68">
      <c r="A68" s="29" t="n">
        <v>30101</v>
      </c>
      <c r="B68" s="30" t="inlineStr">
        <is>
          <t>NSW-QLD</t>
        </is>
      </c>
      <c r="C68" s="30" t="inlineStr">
        <is>
          <t>IVFN2021</t>
        </is>
      </c>
      <c r="D68" s="30" t="inlineStr">
        <is>
          <t>Casual</t>
        </is>
      </c>
      <c r="E68" s="42">
        <f>VLOOKUP(A68,'[1]Virtus SAMPLE PositionHistorySa'!$A:$L,12,0)</f>
        <v/>
      </c>
      <c r="F68" s="31" t="inlineStr">
        <is>
          <t>11.45</t>
        </is>
      </c>
      <c r="G68" s="32" t="n"/>
      <c r="H68" s="32" t="n"/>
      <c r="I68" s="29" t="n"/>
    </row>
    <row r="69">
      <c r="A69" s="29" t="n">
        <v>20308</v>
      </c>
      <c r="B69" s="30" t="inlineStr">
        <is>
          <t>NSW-QLD</t>
        </is>
      </c>
      <c r="C69" s="30" t="inlineStr">
        <is>
          <t>IVFT2024</t>
        </is>
      </c>
      <c r="D69" s="30" t="inlineStr">
        <is>
          <t>Full time</t>
        </is>
      </c>
      <c r="E69" s="42">
        <f>VLOOKUP(A69,'[1]Virtus SAMPLE PositionHistorySa'!$A:$L,12,0)</f>
        <v/>
      </c>
      <c r="F69" s="31" t="inlineStr">
        <is>
          <t>5.21</t>
        </is>
      </c>
      <c r="G69" s="32">
        <f>VLOOKUP(A69,Sheet3!A:K,10,0)/38</f>
        <v/>
      </c>
      <c r="H69" s="32">
        <f>F69-G69</f>
        <v/>
      </c>
      <c r="I69" s="29" t="n"/>
    </row>
    <row r="70">
      <c r="A70" s="29" t="n">
        <v>700</v>
      </c>
      <c r="B70" s="30" t="inlineStr">
        <is>
          <t>VIC-TAS</t>
        </is>
      </c>
      <c r="C70" s="30" t="inlineStr">
        <is>
          <t>MIVFS2022</t>
        </is>
      </c>
      <c r="D70" s="30" t="inlineStr">
        <is>
          <t>Part time</t>
        </is>
      </c>
      <c r="E70" s="42">
        <f>VLOOKUP(A70,'[1]Virtus SAMPLE PositionHistorySa'!$A:$L,12,0)</f>
        <v/>
      </c>
      <c r="F70" s="31" t="inlineStr">
        <is>
          <t>22.62</t>
        </is>
      </c>
      <c r="G70" s="32" t="n"/>
      <c r="H70" s="32" t="n"/>
      <c r="I70" s="29" t="n"/>
    </row>
    <row r="71">
      <c r="A71" s="29" t="n">
        <v>512</v>
      </c>
      <c r="B71" s="30" t="inlineStr">
        <is>
          <t>VIC-TAS</t>
        </is>
      </c>
      <c r="C71" s="30" t="inlineStr">
        <is>
          <t>MIVFS2022</t>
        </is>
      </c>
      <c r="D71" s="30" t="inlineStr">
        <is>
          <t>Full time</t>
        </is>
      </c>
      <c r="E71" s="42">
        <f>VLOOKUP(A71,'[1]Virtus SAMPLE PositionHistorySa'!$A:$L,12,0)</f>
        <v/>
      </c>
      <c r="F71" s="31" t="inlineStr">
        <is>
          <t>23.48</t>
        </is>
      </c>
      <c r="G71" s="32">
        <f>VLOOKUP(A71,Sheet3!A:K,10,0)/38</f>
        <v/>
      </c>
      <c r="H71" s="32">
        <f>F71-G71</f>
        <v/>
      </c>
      <c r="I71" s="29" t="n"/>
    </row>
    <row r="72">
      <c r="A72" s="29" t="n">
        <v>20872</v>
      </c>
      <c r="B72" s="30" t="inlineStr">
        <is>
          <t>NSW-QLD</t>
        </is>
      </c>
      <c r="C72" s="30" t="inlineStr">
        <is>
          <t>VIC</t>
        </is>
      </c>
      <c r="D72" s="30" t="inlineStr">
        <is>
          <t>Full time</t>
        </is>
      </c>
      <c r="E72" s="42">
        <f>VLOOKUP(A72,'[1]Virtus SAMPLE PositionHistorySa'!$A:$L,12,0)</f>
        <v/>
      </c>
      <c r="F72" s="31" t="inlineStr">
        <is>
          <t>1.53</t>
        </is>
      </c>
      <c r="G72" s="32">
        <f>VLOOKUP(A72,Sheet3!A:K,10,0)/38</f>
        <v/>
      </c>
      <c r="H72" s="32">
        <f>F72-G72</f>
        <v/>
      </c>
      <c r="I72" s="29" t="n"/>
    </row>
    <row r="73">
      <c r="A73" s="29" t="n">
        <v>20322</v>
      </c>
      <c r="B73" s="30" t="inlineStr">
        <is>
          <t>NSW-QLD</t>
        </is>
      </c>
      <c r="C73" s="30" t="inlineStr">
        <is>
          <t>IVFT2024</t>
        </is>
      </c>
      <c r="D73" s="30" t="inlineStr">
        <is>
          <t>Full time</t>
        </is>
      </c>
      <c r="E73" s="42">
        <f>VLOOKUP(A73,'[1]Virtus SAMPLE PositionHistorySa'!$A:$L,12,0)</f>
        <v/>
      </c>
      <c r="F73" s="31" t="inlineStr">
        <is>
          <t>1.15</t>
        </is>
      </c>
      <c r="G73" s="32">
        <f>VLOOKUP(A73,Sheet3!A:K,10,0)/38</f>
        <v/>
      </c>
      <c r="H73" s="32">
        <f>F73-G73</f>
        <v/>
      </c>
      <c r="I73" s="29" t="n"/>
    </row>
    <row r="74">
      <c r="A74" s="29" t="n">
        <v>20292</v>
      </c>
      <c r="B74" s="30" t="inlineStr">
        <is>
          <t>NSW-QLD</t>
        </is>
      </c>
      <c r="C74" s="30" t="inlineStr">
        <is>
          <t>IVFT2024</t>
        </is>
      </c>
      <c r="D74" s="30" t="inlineStr">
        <is>
          <t>Part time</t>
        </is>
      </c>
      <c r="E74" s="42">
        <f>VLOOKUP(A74,'[1]Virtus SAMPLE PositionHistorySa'!$A:$L,12,0)</f>
        <v/>
      </c>
      <c r="F74" s="31" t="inlineStr">
        <is>
          <t>3.59</t>
        </is>
      </c>
      <c r="G74" s="32" t="n"/>
      <c r="H74" s="32" t="n"/>
      <c r="I74" s="29" t="n"/>
    </row>
    <row r="75">
      <c r="A75" s="29" t="n">
        <v>80061</v>
      </c>
      <c r="B75" s="30" t="inlineStr">
        <is>
          <t>NSW-QLD</t>
        </is>
      </c>
      <c r="C75" s="30" t="inlineStr">
        <is>
          <t>QS2024</t>
        </is>
      </c>
      <c r="D75" s="30" t="inlineStr">
        <is>
          <t>Part time</t>
        </is>
      </c>
      <c r="E75" s="42">
        <f>VLOOKUP(A75,'[1]Virtus SAMPLE PositionHistorySa'!$A:$L,12,0)</f>
        <v/>
      </c>
      <c r="F75" s="31" t="inlineStr">
        <is>
          <t>6.81</t>
        </is>
      </c>
      <c r="G75" s="32" t="n"/>
      <c r="H75" s="32" t="n"/>
      <c r="I75" s="29" t="n"/>
    </row>
    <row r="76">
      <c r="A76" s="29" t="n">
        <v>80071</v>
      </c>
      <c r="B76" s="30" t="inlineStr">
        <is>
          <t>NSW-QLD</t>
        </is>
      </c>
      <c r="C76" s="30" t="inlineStr">
        <is>
          <t>IVFS2023</t>
        </is>
      </c>
      <c r="D76" s="30" t="inlineStr">
        <is>
          <t>Part time</t>
        </is>
      </c>
      <c r="E76" s="42">
        <f>VLOOKUP(A76,'[1]Virtus SAMPLE PositionHistorySa'!$A:$L,12,0)</f>
        <v/>
      </c>
      <c r="F76" s="31" t="inlineStr">
        <is>
          <t>4.81</t>
        </is>
      </c>
      <c r="G76" s="32" t="n"/>
      <c r="H76" s="32" t="n"/>
      <c r="I76" s="29" t="n"/>
    </row>
    <row r="77">
      <c r="A77" s="29" t="n">
        <v>20276</v>
      </c>
      <c r="B77" s="30" t="inlineStr">
        <is>
          <t>NSW-QLD</t>
        </is>
      </c>
      <c r="C77" s="30" t="inlineStr">
        <is>
          <t>IVFC2022</t>
        </is>
      </c>
      <c r="D77" s="30" t="inlineStr">
        <is>
          <t>Part time</t>
        </is>
      </c>
      <c r="E77" s="42">
        <f>VLOOKUP(A77,'[1]Virtus SAMPLE PositionHistorySa'!$A:$L,12,0)</f>
        <v/>
      </c>
      <c r="F77" s="31" t="inlineStr">
        <is>
          <t>1.78</t>
        </is>
      </c>
      <c r="G77" s="32" t="n"/>
      <c r="H77" s="32" t="n"/>
      <c r="I77" s="29" t="n"/>
    </row>
    <row r="78">
      <c r="A78" s="29" t="n">
        <v>80046</v>
      </c>
      <c r="B78" s="30" t="inlineStr">
        <is>
          <t>NSW-QLD</t>
        </is>
      </c>
      <c r="C78" s="30" t="inlineStr">
        <is>
          <t>QS2024</t>
        </is>
      </c>
      <c r="D78" s="30" t="inlineStr">
        <is>
          <t>Part time</t>
        </is>
      </c>
      <c r="E78" s="42">
        <f>VLOOKUP(A78,'[1]Virtus SAMPLE PositionHistorySa'!$A:$L,12,0)</f>
        <v/>
      </c>
      <c r="F78" s="31" t="inlineStr">
        <is>
          <t>2.05</t>
        </is>
      </c>
      <c r="G78" s="32" t="n"/>
      <c r="H78" s="32" t="n"/>
      <c r="I78" s="29" t="n"/>
    </row>
    <row r="79">
      <c r="A79" s="29" t="n">
        <v>20324</v>
      </c>
      <c r="B79" s="30" t="inlineStr">
        <is>
          <t>NSW-QLD</t>
        </is>
      </c>
      <c r="C79" s="30" t="inlineStr">
        <is>
          <t>IVFN2021</t>
        </is>
      </c>
      <c r="D79" s="30" t="inlineStr">
        <is>
          <t>Part time</t>
        </is>
      </c>
      <c r="E79" s="42">
        <f>VLOOKUP(A79,'[1]Virtus SAMPLE PositionHistorySa'!$A:$L,12,0)</f>
        <v/>
      </c>
      <c r="F79" s="31" t="inlineStr">
        <is>
          <t>10.11</t>
        </is>
      </c>
      <c r="G79" s="32" t="n"/>
      <c r="H79" s="32" t="n"/>
      <c r="I79" s="29" t="n"/>
    </row>
    <row r="80">
      <c r="A80" s="29" t="inlineStr">
        <is>
          <t>AU22655</t>
        </is>
      </c>
      <c r="B80" s="30" t="inlineStr">
        <is>
          <t>VIC-TAS</t>
        </is>
      </c>
      <c r="C80" s="30" t="inlineStr">
        <is>
          <t>MIVFS2022</t>
        </is>
      </c>
      <c r="D80" s="30" t="inlineStr">
        <is>
          <t>Part time</t>
        </is>
      </c>
      <c r="E80" s="42">
        <f>VLOOKUP(A80,'[1]Virtus SAMPLE PositionHistorySa'!$A:$L,12,0)</f>
        <v/>
      </c>
      <c r="F80" s="31" t="inlineStr">
        <is>
          <t>20.88</t>
        </is>
      </c>
      <c r="G80" s="32" t="n"/>
      <c r="H80" s="32" t="n"/>
      <c r="I80" s="29" t="n"/>
    </row>
    <row r="81">
      <c r="A81" s="29" t="n">
        <v>20330</v>
      </c>
      <c r="B81" s="30" t="inlineStr">
        <is>
          <t>NSW-QLD</t>
        </is>
      </c>
      <c r="C81" s="30" t="inlineStr">
        <is>
          <t>IVFS2023</t>
        </is>
      </c>
      <c r="D81" s="30" t="inlineStr">
        <is>
          <t>Full time</t>
        </is>
      </c>
      <c r="E81" s="42">
        <f>VLOOKUP(A81,'[1]Virtus SAMPLE PositionHistorySa'!$A:$L,12,0)</f>
        <v/>
      </c>
      <c r="F81" s="31" t="inlineStr">
        <is>
          <t>9.94</t>
        </is>
      </c>
      <c r="G81" s="32">
        <f>VLOOKUP(A81,Sheet3!A:K,10,0)/38</f>
        <v/>
      </c>
      <c r="H81" s="32">
        <f>F81-G81</f>
        <v/>
      </c>
      <c r="I81" s="29" t="n"/>
    </row>
    <row r="82">
      <c r="A82" s="29" t="n">
        <v>40056</v>
      </c>
      <c r="B82" s="30" t="inlineStr">
        <is>
          <t>NSW-QLD</t>
        </is>
      </c>
      <c r="C82" s="30" t="inlineStr">
        <is>
          <t>IVFS2023</t>
        </is>
      </c>
      <c r="D82" s="30" t="inlineStr">
        <is>
          <t>Casual</t>
        </is>
      </c>
      <c r="E82" s="42">
        <f>VLOOKUP(A82,'[1]Virtus SAMPLE PositionHistorySa'!$A:$L,12,0)</f>
        <v/>
      </c>
      <c r="F82" s="31" t="inlineStr">
        <is>
          <t>3.91</t>
        </is>
      </c>
      <c r="G82" s="32" t="n"/>
      <c r="H82" s="32" t="n"/>
      <c r="I82" s="29" t="n"/>
    </row>
    <row r="83">
      <c r="A83" s="29" t="n">
        <v>80125</v>
      </c>
      <c r="B83" s="30" t="inlineStr">
        <is>
          <t>NSW-QLD</t>
        </is>
      </c>
      <c r="C83" s="30" t="inlineStr">
        <is>
          <t>QS2024</t>
        </is>
      </c>
      <c r="D83" s="30" t="inlineStr">
        <is>
          <t>Full time</t>
        </is>
      </c>
      <c r="E83" s="42">
        <f>VLOOKUP(A83,'[1]Virtus SAMPLE PositionHistorySa'!$A:$L,12,0)</f>
        <v/>
      </c>
      <c r="F83" s="31" t="inlineStr">
        <is>
          <t>10.50</t>
        </is>
      </c>
      <c r="G83" s="32">
        <f>VLOOKUP(A83,Sheet3!A:K,10,0)/38</f>
        <v/>
      </c>
      <c r="H83" s="32">
        <f>F83-G83</f>
        <v/>
      </c>
      <c r="I83" s="29" t="n"/>
    </row>
    <row r="84">
      <c r="A84" s="29" t="n">
        <v>20341</v>
      </c>
      <c r="B84" s="30" t="inlineStr">
        <is>
          <t>NSW-QLD</t>
        </is>
      </c>
      <c r="C84" s="30" t="inlineStr">
        <is>
          <t>NSW</t>
        </is>
      </c>
      <c r="D84" s="30" t="inlineStr">
        <is>
          <t>Full time</t>
        </is>
      </c>
      <c r="E84" s="42">
        <f>VLOOKUP(A84,'[1]Virtus SAMPLE PositionHistorySa'!$A:$L,12,0)</f>
        <v/>
      </c>
      <c r="F84" s="31" t="inlineStr">
        <is>
          <t>8.93</t>
        </is>
      </c>
      <c r="G84" s="32">
        <f>VLOOKUP(A84,Sheet3!A:K,10,0)/38</f>
        <v/>
      </c>
      <c r="H84" s="32">
        <f>F84-G84</f>
        <v/>
      </c>
      <c r="I84" s="29" t="n"/>
    </row>
    <row r="85">
      <c r="A85" s="29" t="n">
        <v>786</v>
      </c>
      <c r="B85" s="30" t="inlineStr">
        <is>
          <t>VIC-TAS</t>
        </is>
      </c>
      <c r="C85" s="30" t="inlineStr">
        <is>
          <t>MIVFN2023</t>
        </is>
      </c>
      <c r="D85" s="30" t="inlineStr">
        <is>
          <t>Part time</t>
        </is>
      </c>
      <c r="E85" s="42">
        <f>VLOOKUP(A85,'[1]Virtus SAMPLE PositionHistorySa'!$A:$L,12,0)</f>
        <v/>
      </c>
      <c r="F85" s="31" t="inlineStr">
        <is>
          <t>20.69</t>
        </is>
      </c>
      <c r="G85" s="32" t="n"/>
      <c r="H85" s="32" t="n"/>
      <c r="I85" s="29" t="n"/>
    </row>
    <row r="86">
      <c r="A86" s="29" t="n">
        <v>60182</v>
      </c>
      <c r="B86" s="30" t="inlineStr">
        <is>
          <t>NSW-QLD</t>
        </is>
      </c>
      <c r="C86" s="30" t="inlineStr">
        <is>
          <t>IVFS2023</t>
        </is>
      </c>
      <c r="D86" s="30" t="inlineStr">
        <is>
          <t>Part time</t>
        </is>
      </c>
      <c r="E86" s="42">
        <f>VLOOKUP(A86,'[1]Virtus SAMPLE PositionHistorySa'!$A:$L,12,0)</f>
        <v/>
      </c>
      <c r="F86" s="31" t="inlineStr">
        <is>
          <t>5.39</t>
        </is>
      </c>
      <c r="G86" s="32" t="n"/>
      <c r="H86" s="32" t="n"/>
      <c r="I86" s="29" t="n"/>
    </row>
    <row r="87">
      <c r="A87" s="29" t="n">
        <v>796</v>
      </c>
      <c r="B87" s="30" t="inlineStr">
        <is>
          <t>VIC-TAS</t>
        </is>
      </c>
      <c r="C87" s="30" t="inlineStr">
        <is>
          <t>MIVFS2022</t>
        </is>
      </c>
      <c r="D87" s="30" t="inlineStr">
        <is>
          <t>Part time</t>
        </is>
      </c>
      <c r="E87" s="42">
        <f>VLOOKUP(A87,'[1]Virtus SAMPLE PositionHistorySa'!$A:$L,12,0)</f>
        <v/>
      </c>
      <c r="F87" s="31" t="inlineStr">
        <is>
          <t>20.43</t>
        </is>
      </c>
      <c r="G87" s="32" t="n"/>
      <c r="H87" s="32" t="n"/>
      <c r="I87" s="29" t="n"/>
    </row>
    <row r="88">
      <c r="A88" s="29" t="n">
        <v>869</v>
      </c>
      <c r="B88" s="30" t="inlineStr">
        <is>
          <t>VIC-TAS</t>
        </is>
      </c>
      <c r="C88" s="30" t="inlineStr">
        <is>
          <t>MIVFS2022</t>
        </is>
      </c>
      <c r="D88" s="30" t="inlineStr">
        <is>
          <t>Part time</t>
        </is>
      </c>
      <c r="E88" s="42">
        <f>VLOOKUP(A88,'[1]Virtus SAMPLE PositionHistorySa'!$A:$L,12,0)</f>
        <v/>
      </c>
      <c r="F88" s="31" t="inlineStr">
        <is>
          <t>19.12</t>
        </is>
      </c>
      <c r="G88" s="32" t="n"/>
      <c r="H88" s="32" t="n"/>
      <c r="I88" s="29" t="n"/>
    </row>
    <row r="89">
      <c r="A89" s="29" t="n">
        <v>846</v>
      </c>
      <c r="B89" s="30" t="inlineStr">
        <is>
          <t>VIC-TAS</t>
        </is>
      </c>
      <c r="C89" s="30" t="inlineStr">
        <is>
          <t>MIVFS2022</t>
        </is>
      </c>
      <c r="D89" s="30" t="inlineStr">
        <is>
          <t>Full time</t>
        </is>
      </c>
      <c r="E89" s="42">
        <f>VLOOKUP(A89,'[1]Virtus SAMPLE PositionHistorySa'!$A:$L,12,0)</f>
        <v/>
      </c>
      <c r="F89" s="31" t="inlineStr">
        <is>
          <t>19.55</t>
        </is>
      </c>
      <c r="G89" s="32">
        <f>VLOOKUP(A89,Sheet3!A:K,10,0)/38</f>
        <v/>
      </c>
      <c r="H89" s="32">
        <f>F89-G89</f>
        <v/>
      </c>
      <c r="I89" s="29" t="n"/>
    </row>
    <row r="90">
      <c r="A90" s="29" t="n">
        <v>20413</v>
      </c>
      <c r="B90" s="30" t="inlineStr">
        <is>
          <t>NSW-QLD</t>
        </is>
      </c>
      <c r="C90" s="30" t="inlineStr">
        <is>
          <t>IVFN2021</t>
        </is>
      </c>
      <c r="D90" s="30" t="inlineStr">
        <is>
          <t>Full time</t>
        </is>
      </c>
      <c r="E90" s="42">
        <f>VLOOKUP(A90,'[1]Virtus SAMPLE PositionHistorySa'!$A:$L,12,0)</f>
        <v/>
      </c>
      <c r="F90" s="31" t="inlineStr">
        <is>
          <t>9.63</t>
        </is>
      </c>
      <c r="G90" s="32">
        <f>VLOOKUP(A90,Sheet3!A:K,10,0)/38</f>
        <v/>
      </c>
      <c r="H90" s="32">
        <f>F90-G90</f>
        <v/>
      </c>
      <c r="I90" s="29" t="n"/>
    </row>
    <row r="91">
      <c r="A91" s="29" t="n">
        <v>838</v>
      </c>
      <c r="B91" s="30" t="inlineStr">
        <is>
          <t>VIC-TAS</t>
        </is>
      </c>
      <c r="C91" s="30" t="inlineStr">
        <is>
          <t>MIVFS2022</t>
        </is>
      </c>
      <c r="D91" s="30" t="inlineStr">
        <is>
          <t>Full time</t>
        </is>
      </c>
      <c r="E91" s="42">
        <f>VLOOKUP(A91,'[1]Virtus SAMPLE PositionHistorySa'!$A:$L,12,0)</f>
        <v/>
      </c>
      <c r="F91" s="31" t="inlineStr">
        <is>
          <t>19.69</t>
        </is>
      </c>
      <c r="G91" s="32">
        <f>VLOOKUP(A91,Sheet3!A:K,10,0)/38</f>
        <v/>
      </c>
      <c r="H91" s="32">
        <f>F91-G91</f>
        <v/>
      </c>
      <c r="I91" s="29" t="n"/>
    </row>
    <row r="92">
      <c r="A92" s="29" t="n">
        <v>90022</v>
      </c>
      <c r="B92" s="30" t="inlineStr">
        <is>
          <t>NSW-QLD</t>
        </is>
      </c>
      <c r="C92" s="30" t="inlineStr">
        <is>
          <t>IVFS2023</t>
        </is>
      </c>
      <c r="D92" s="30" t="inlineStr">
        <is>
          <t>Full time</t>
        </is>
      </c>
      <c r="E92" s="42">
        <f>VLOOKUP(A92,'[1]Virtus SAMPLE PositionHistorySa'!$A:$L,12,0)</f>
        <v/>
      </c>
      <c r="F92" s="31" t="inlineStr">
        <is>
          <t>9.70</t>
        </is>
      </c>
      <c r="G92" s="32">
        <f>VLOOKUP(A92,Sheet3!A:K,10,0)/38</f>
        <v/>
      </c>
      <c r="H92" s="32">
        <f>F92-G92</f>
        <v/>
      </c>
      <c r="I92" s="29" t="n"/>
    </row>
    <row r="93">
      <c r="A93" s="29" t="n">
        <v>20404</v>
      </c>
      <c r="B93" s="30" t="inlineStr">
        <is>
          <t>NSW-QLD</t>
        </is>
      </c>
      <c r="C93" s="30" t="inlineStr">
        <is>
          <t>IVFT2024</t>
        </is>
      </c>
      <c r="D93" s="30" t="inlineStr">
        <is>
          <t>Full time</t>
        </is>
      </c>
      <c r="E93" s="42">
        <f>VLOOKUP(A93,'[1]Virtus SAMPLE PositionHistorySa'!$A:$L,12,0)</f>
        <v/>
      </c>
      <c r="F93" s="31" t="inlineStr">
        <is>
          <t>0.96</t>
        </is>
      </c>
      <c r="G93" s="32">
        <f>VLOOKUP(A93,Sheet3!A:K,10,0)/38</f>
        <v/>
      </c>
      <c r="H93" s="32">
        <f>F93-G93</f>
        <v/>
      </c>
      <c r="I93" s="29" t="n"/>
    </row>
    <row r="94">
      <c r="A94" s="33" t="n">
        <v>19009</v>
      </c>
      <c r="B94" s="31" t="inlineStr">
        <is>
          <t>NSW-QLD</t>
        </is>
      </c>
      <c r="C94" s="31" t="inlineStr">
        <is>
          <t>VIC</t>
        </is>
      </c>
      <c r="D94" s="31" t="inlineStr">
        <is>
          <t>Full time</t>
        </is>
      </c>
      <c r="E94" s="43">
        <f>VLOOKUP(A94,'[1]Virtus SAMPLE PositionHistorySa'!$A:$L,12,0)</f>
        <v/>
      </c>
      <c r="F94" s="31" t="inlineStr">
        <is>
          <t>15.26</t>
        </is>
      </c>
      <c r="G94" s="32">
        <f>VLOOKUP(A94,Sheet3!A:K,10,0)/38</f>
        <v/>
      </c>
      <c r="H94" s="32">
        <f>F94-G94</f>
        <v/>
      </c>
      <c r="I94" s="33" t="inlineStr">
        <is>
          <t>confirm start date</t>
        </is>
      </c>
    </row>
    <row r="95">
      <c r="A95" s="29" t="n">
        <v>80139</v>
      </c>
      <c r="B95" s="30" t="inlineStr">
        <is>
          <t>NSW-QLD</t>
        </is>
      </c>
      <c r="C95" s="30" t="inlineStr">
        <is>
          <t>IVFS2023</t>
        </is>
      </c>
      <c r="D95" s="30" t="inlineStr">
        <is>
          <t>Part time</t>
        </is>
      </c>
      <c r="E95" s="42">
        <f>VLOOKUP(A95,'[1]Virtus SAMPLE PositionHistorySa'!$A:$L,12,0)</f>
        <v/>
      </c>
      <c r="F95" s="31" t="inlineStr">
        <is>
          <t>8.06</t>
        </is>
      </c>
      <c r="G95" s="32" t="n"/>
      <c r="H95" s="32" t="n"/>
      <c r="I95" s="29" t="n"/>
    </row>
    <row r="96">
      <c r="A96" s="29" t="n">
        <v>80137</v>
      </c>
      <c r="B96" s="30" t="inlineStr">
        <is>
          <t>NSW-QLD</t>
        </is>
      </c>
      <c r="C96" s="30" t="inlineStr">
        <is>
          <t>QLD</t>
        </is>
      </c>
      <c r="D96" s="30" t="inlineStr">
        <is>
          <t>Full time</t>
        </is>
      </c>
      <c r="E96" s="42">
        <f>VLOOKUP(A96,'[1]Virtus SAMPLE PositionHistorySa'!$A:$L,12,0)</f>
        <v/>
      </c>
      <c r="F96" s="31" t="inlineStr">
        <is>
          <t>6.14</t>
        </is>
      </c>
      <c r="G96" s="32">
        <f>VLOOKUP(A96,Sheet3!A:K,10,0)/38</f>
        <v/>
      </c>
      <c r="H96" s="32">
        <f>F96-G96</f>
        <v/>
      </c>
      <c r="I96" s="29" t="n"/>
    </row>
    <row r="97">
      <c r="A97" s="29" t="n">
        <v>857</v>
      </c>
      <c r="B97" s="30" t="inlineStr">
        <is>
          <t>VIC-TAS</t>
        </is>
      </c>
      <c r="C97" s="30" t="inlineStr">
        <is>
          <t>MIVFS2022</t>
        </is>
      </c>
      <c r="D97" s="30" t="inlineStr">
        <is>
          <t>Full time</t>
        </is>
      </c>
      <c r="E97" s="42">
        <f>VLOOKUP(A97,'[1]Virtus SAMPLE PositionHistorySa'!$A:$L,12,0)</f>
        <v/>
      </c>
      <c r="F97" s="31" t="inlineStr">
        <is>
          <t>19.39</t>
        </is>
      </c>
      <c r="G97" s="32">
        <f>VLOOKUP(A97,Sheet3!A:K,10,0)/38</f>
        <v/>
      </c>
      <c r="H97" s="32">
        <f>F97-G97</f>
        <v/>
      </c>
      <c r="I97" s="29" t="n"/>
    </row>
    <row r="98">
      <c r="A98" s="29" t="n">
        <v>913</v>
      </c>
      <c r="B98" s="30" t="inlineStr">
        <is>
          <t>VIC-TAS</t>
        </is>
      </c>
      <c r="C98" s="30" t="inlineStr">
        <is>
          <t>MIVFN2023</t>
        </is>
      </c>
      <c r="D98" s="30" t="inlineStr">
        <is>
          <t>Full time</t>
        </is>
      </c>
      <c r="E98" s="42">
        <f>VLOOKUP(A98,'[1]Virtus SAMPLE PositionHistorySa'!$A:$L,12,0)</f>
        <v/>
      </c>
      <c r="F98" s="31" t="inlineStr">
        <is>
          <t>8.57</t>
        </is>
      </c>
      <c r="G98" s="32">
        <f>VLOOKUP(A98,Sheet3!A:K,10,0)/38</f>
        <v/>
      </c>
      <c r="H98" s="32">
        <f>F98-G98</f>
        <v/>
      </c>
      <c r="I98" s="29" t="n"/>
    </row>
    <row r="99">
      <c r="A99" s="29" t="n">
        <v>20428</v>
      </c>
      <c r="B99" s="30" t="inlineStr">
        <is>
          <t>NSW-QLD</t>
        </is>
      </c>
      <c r="C99" s="30" t="inlineStr">
        <is>
          <t>IVFN2021</t>
        </is>
      </c>
      <c r="D99" s="30" t="inlineStr">
        <is>
          <t>Full time</t>
        </is>
      </c>
      <c r="E99" s="42">
        <f>VLOOKUP(A99,'[1]Virtus SAMPLE PositionHistorySa'!$A:$L,12,0)</f>
        <v/>
      </c>
      <c r="F99" s="31" t="inlineStr">
        <is>
          <t>4.97</t>
        </is>
      </c>
      <c r="G99" s="32">
        <f>VLOOKUP(A99,Sheet3!A:K,10,0)/38</f>
        <v/>
      </c>
      <c r="H99" s="32">
        <f>F99-G99</f>
        <v/>
      </c>
      <c r="I99" s="29" t="n"/>
    </row>
    <row r="100">
      <c r="A100" s="29" t="n">
        <v>20474</v>
      </c>
      <c r="B100" s="30" t="inlineStr">
        <is>
          <t>NSW-QLD</t>
        </is>
      </c>
      <c r="C100" s="30" t="inlineStr">
        <is>
          <t>IVFS2023</t>
        </is>
      </c>
      <c r="D100" s="30" t="inlineStr">
        <is>
          <t>Full time</t>
        </is>
      </c>
      <c r="E100" s="42">
        <f>VLOOKUP(A100,'[1]Virtus SAMPLE PositionHistorySa'!$A:$L,12,0)</f>
        <v/>
      </c>
      <c r="F100" s="31" t="inlineStr">
        <is>
          <t>7.70</t>
        </is>
      </c>
      <c r="G100" s="32">
        <f>VLOOKUP(A100,Sheet3!A:K,10,0)/38</f>
        <v/>
      </c>
      <c r="H100" s="32">
        <f>F100-G100</f>
        <v/>
      </c>
      <c r="I100" s="29" t="n"/>
    </row>
    <row r="101">
      <c r="A101" s="29" t="n">
        <v>80187</v>
      </c>
      <c r="B101" s="30" t="inlineStr">
        <is>
          <t>NSW-QLD</t>
        </is>
      </c>
      <c r="C101" s="30" t="inlineStr">
        <is>
          <t>QS2024</t>
        </is>
      </c>
      <c r="D101" s="30" t="inlineStr">
        <is>
          <t>Full time</t>
        </is>
      </c>
      <c r="E101" s="42">
        <f>VLOOKUP(A101,'[1]Virtus SAMPLE PositionHistorySa'!$A:$L,12,0)</f>
        <v/>
      </c>
      <c r="F101" s="31" t="inlineStr">
        <is>
          <t>8.70</t>
        </is>
      </c>
      <c r="G101" s="32">
        <f>VLOOKUP(A101,Sheet3!A:K,10,0)/38</f>
        <v/>
      </c>
      <c r="H101" s="32">
        <f>F101-G101</f>
        <v/>
      </c>
      <c r="I101" s="29" t="n"/>
    </row>
    <row r="102">
      <c r="A102" s="29" t="n">
        <v>20468</v>
      </c>
      <c r="B102" s="30" t="inlineStr">
        <is>
          <t>NSW-QLD</t>
        </is>
      </c>
      <c r="C102" s="30" t="inlineStr">
        <is>
          <t>IVFS2023</t>
        </is>
      </c>
      <c r="D102" s="30" t="inlineStr">
        <is>
          <t>Part time</t>
        </is>
      </c>
      <c r="E102" s="42">
        <f>VLOOKUP(A102,'[1]Virtus SAMPLE PositionHistorySa'!$A:$L,12,0)</f>
        <v/>
      </c>
      <c r="F102" s="31" t="inlineStr">
        <is>
          <t>8.77</t>
        </is>
      </c>
      <c r="G102" s="32" t="n"/>
      <c r="H102" s="32" t="n"/>
      <c r="I102" s="29" t="n"/>
    </row>
    <row r="103">
      <c r="A103" s="29" t="n">
        <v>888</v>
      </c>
      <c r="B103" s="30" t="inlineStr">
        <is>
          <t>VIC-TAS</t>
        </is>
      </c>
      <c r="C103" s="30" t="inlineStr">
        <is>
          <t>MIVFS2022</t>
        </is>
      </c>
      <c r="D103" s="30" t="inlineStr">
        <is>
          <t>Full time</t>
        </is>
      </c>
      <c r="E103" s="42">
        <f>VLOOKUP(A103,'[1]Virtus SAMPLE PositionHistorySa'!$A:$L,12,0)</f>
        <v/>
      </c>
      <c r="F103" s="31" t="inlineStr">
        <is>
          <t>18.10</t>
        </is>
      </c>
      <c r="G103" s="32">
        <f>VLOOKUP(A103,Sheet3!A:K,10,0)/38</f>
        <v/>
      </c>
      <c r="H103" s="32">
        <f>F103-G103</f>
        <v/>
      </c>
      <c r="I103" s="29" t="n"/>
    </row>
    <row r="104">
      <c r="A104" s="29" t="n">
        <v>20439</v>
      </c>
      <c r="B104" s="30" t="inlineStr">
        <is>
          <t>NSW-QLD</t>
        </is>
      </c>
      <c r="C104" s="30" t="inlineStr">
        <is>
          <t>IVFN2021</t>
        </is>
      </c>
      <c r="D104" s="30" t="inlineStr">
        <is>
          <t>Part time</t>
        </is>
      </c>
      <c r="E104" s="42">
        <f>VLOOKUP(A104,'[1]Virtus SAMPLE PositionHistorySa'!$A:$L,12,0)</f>
        <v/>
      </c>
      <c r="F104" s="31" t="inlineStr">
        <is>
          <t>9.05</t>
        </is>
      </c>
      <c r="G104" s="32" t="n"/>
      <c r="H104" s="32" t="n"/>
      <c r="I104" s="29" t="n"/>
    </row>
    <row r="105">
      <c r="A105" s="29" t="n">
        <v>40079</v>
      </c>
      <c r="B105" s="30" t="inlineStr">
        <is>
          <t>NSW-QLD</t>
        </is>
      </c>
      <c r="C105" s="30" t="inlineStr">
        <is>
          <t>IVFS2023</t>
        </is>
      </c>
      <c r="D105" s="30" t="inlineStr">
        <is>
          <t>Full time</t>
        </is>
      </c>
      <c r="E105" s="42">
        <f>VLOOKUP(A105,'[1]Virtus SAMPLE PositionHistorySa'!$A:$L,12,0)</f>
        <v/>
      </c>
      <c r="F105" s="31" t="inlineStr">
        <is>
          <t>8.83</t>
        </is>
      </c>
      <c r="G105" s="32">
        <f>VLOOKUP(A105,Sheet3!A:K,10,0)/38</f>
        <v/>
      </c>
      <c r="H105" s="32">
        <f>F105-G105</f>
        <v/>
      </c>
      <c r="I105" s="29" t="n"/>
    </row>
    <row r="106">
      <c r="A106" s="29" t="n">
        <v>61005</v>
      </c>
      <c r="B106" s="30" t="inlineStr">
        <is>
          <t>NSW-QLD</t>
        </is>
      </c>
      <c r="C106" s="30" t="inlineStr">
        <is>
          <t>QLD</t>
        </is>
      </c>
      <c r="D106" s="30" t="inlineStr">
        <is>
          <t>Full time</t>
        </is>
      </c>
      <c r="E106" s="42">
        <f>VLOOKUP(A106,'[1]Virtus SAMPLE PositionHistorySa'!$A:$L,12,0)</f>
        <v/>
      </c>
      <c r="F106" s="31" t="inlineStr">
        <is>
          <t>7.99</t>
        </is>
      </c>
      <c r="G106" s="32">
        <f>VLOOKUP(A106,Sheet3!A:K,10,0)/38</f>
        <v/>
      </c>
      <c r="H106" s="32">
        <f>F106-G106</f>
        <v/>
      </c>
      <c r="I106" s="29" t="n"/>
    </row>
    <row r="107">
      <c r="A107" s="29" t="n">
        <v>80428</v>
      </c>
      <c r="B107" s="30" t="inlineStr">
        <is>
          <t>NSW-QLD</t>
        </is>
      </c>
      <c r="C107" s="30" t="inlineStr">
        <is>
          <t>IVFS2023</t>
        </is>
      </c>
      <c r="D107" s="30" t="inlineStr">
        <is>
          <t>Part time</t>
        </is>
      </c>
      <c r="E107" s="42">
        <f>VLOOKUP(A107,'[1]Virtus SAMPLE PositionHistorySa'!$A:$L,12,0)</f>
        <v/>
      </c>
      <c r="F107" s="31" t="inlineStr">
        <is>
          <t>8.27</t>
        </is>
      </c>
      <c r="G107" s="32" t="n"/>
      <c r="H107" s="32" t="n"/>
      <c r="I107" s="29" t="n"/>
    </row>
    <row r="108">
      <c r="A108" s="29" t="n">
        <v>20549</v>
      </c>
      <c r="B108" s="30" t="inlineStr">
        <is>
          <t>NSW-QLD</t>
        </is>
      </c>
      <c r="C108" s="30" t="inlineStr">
        <is>
          <t>IVFT2024</t>
        </is>
      </c>
      <c r="D108" s="30" t="inlineStr">
        <is>
          <t>Full time</t>
        </is>
      </c>
      <c r="E108" s="42">
        <f>VLOOKUP(A108,'[1]Virtus SAMPLE PositionHistorySa'!$A:$L,12,0)</f>
        <v/>
      </c>
      <c r="F108" s="31" t="inlineStr">
        <is>
          <t>7.84</t>
        </is>
      </c>
      <c r="G108" s="32">
        <f>VLOOKUP(A108,Sheet3!A:K,10,0)/38</f>
        <v/>
      </c>
      <c r="H108" s="32">
        <f>F108-G108</f>
        <v/>
      </c>
      <c r="I108" s="29" t="n"/>
    </row>
    <row r="109">
      <c r="A109" s="29" t="inlineStr">
        <is>
          <t>AU23432</t>
        </is>
      </c>
      <c r="B109" s="30" t="inlineStr">
        <is>
          <t>NSW-QLD</t>
        </is>
      </c>
      <c r="C109" s="30" t="inlineStr">
        <is>
          <t>IVFN2021</t>
        </is>
      </c>
      <c r="D109" s="30" t="inlineStr">
        <is>
          <t>Part time</t>
        </is>
      </c>
      <c r="E109" s="42">
        <f>VLOOKUP(A109,'[1]Virtus SAMPLE PositionHistorySa'!$A:$L,12,0)</f>
        <v/>
      </c>
      <c r="F109" s="31" t="inlineStr">
        <is>
          <t>6.70</t>
        </is>
      </c>
      <c r="G109" s="32" t="n"/>
      <c r="H109" s="32" t="n"/>
      <c r="I109" s="29" t="n"/>
    </row>
    <row r="110">
      <c r="A110" s="29" t="n">
        <v>20535</v>
      </c>
      <c r="B110" s="30" t="inlineStr">
        <is>
          <t>NSW-QLD</t>
        </is>
      </c>
      <c r="C110" s="30" t="inlineStr">
        <is>
          <t>IVFT2024</t>
        </is>
      </c>
      <c r="D110" s="30" t="inlineStr">
        <is>
          <t>Part time</t>
        </is>
      </c>
      <c r="E110" s="42">
        <f>VLOOKUP(A110,'[1]Virtus SAMPLE PositionHistorySa'!$A:$L,12,0)</f>
        <v/>
      </c>
      <c r="F110" s="31" t="inlineStr">
        <is>
          <t>8.05</t>
        </is>
      </c>
      <c r="G110" s="32" t="n"/>
      <c r="H110" s="32" t="n"/>
      <c r="I110" s="29" t="n"/>
    </row>
    <row r="111">
      <c r="A111" s="29" t="n">
        <v>20513</v>
      </c>
      <c r="B111" s="30" t="inlineStr">
        <is>
          <t>NSW-QLD</t>
        </is>
      </c>
      <c r="C111" s="30" t="inlineStr">
        <is>
          <t>IVFS2023</t>
        </is>
      </c>
      <c r="D111" s="30" t="inlineStr">
        <is>
          <t>Part time</t>
        </is>
      </c>
      <c r="E111" s="42">
        <f>VLOOKUP(A111,'[1]Virtus SAMPLE PositionHistorySa'!$A:$L,12,0)</f>
        <v/>
      </c>
      <c r="F111" s="31" t="inlineStr">
        <is>
          <t>8.40</t>
        </is>
      </c>
      <c r="G111" s="32" t="n"/>
      <c r="H111" s="32" t="n"/>
      <c r="I111" s="29" t="n"/>
    </row>
    <row r="112">
      <c r="A112" s="29" t="n">
        <v>20517</v>
      </c>
      <c r="B112" s="30" t="inlineStr">
        <is>
          <t>NSW-QLD</t>
        </is>
      </c>
      <c r="C112" s="30" t="inlineStr">
        <is>
          <t>IVFN2021</t>
        </is>
      </c>
      <c r="D112" s="30" t="inlineStr">
        <is>
          <t>Full time</t>
        </is>
      </c>
      <c r="E112" s="42">
        <f>VLOOKUP(A112,'[1]Virtus SAMPLE PositionHistorySa'!$A:$L,12,0)</f>
        <v/>
      </c>
      <c r="F112" s="31" t="inlineStr">
        <is>
          <t>8.33</t>
        </is>
      </c>
      <c r="G112" s="32">
        <f>VLOOKUP(A112,Sheet3!A:K,10,0)/38</f>
        <v/>
      </c>
      <c r="H112" s="32">
        <f>F112-G112</f>
        <v/>
      </c>
      <c r="I112" s="29" t="n"/>
    </row>
    <row r="113">
      <c r="A113" s="29" t="n">
        <v>80229</v>
      </c>
      <c r="B113" s="30" t="inlineStr">
        <is>
          <t>NSW-QLD</t>
        </is>
      </c>
      <c r="C113" s="30" t="inlineStr">
        <is>
          <t>IVFS2023</t>
        </is>
      </c>
      <c r="D113" s="30" t="inlineStr">
        <is>
          <t>Full time</t>
        </is>
      </c>
      <c r="E113" s="42">
        <f>VLOOKUP(A113,'[1]Virtus SAMPLE PositionHistorySa'!$A:$L,12,0)</f>
        <v/>
      </c>
      <c r="F113" s="31" t="inlineStr">
        <is>
          <t>7.82</t>
        </is>
      </c>
      <c r="G113" s="32">
        <f>VLOOKUP(A113,Sheet3!A:K,10,0)/38</f>
        <v/>
      </c>
      <c r="H113" s="32">
        <f>F113-G113</f>
        <v/>
      </c>
      <c r="I113" s="29" t="n"/>
    </row>
    <row r="114">
      <c r="A114" s="29" t="n">
        <v>20496</v>
      </c>
      <c r="B114" s="30" t="inlineStr">
        <is>
          <t>NSW-QLD</t>
        </is>
      </c>
      <c r="C114" s="30" t="inlineStr">
        <is>
          <t>IVFN2021</t>
        </is>
      </c>
      <c r="D114" s="30" t="inlineStr">
        <is>
          <t>Part time</t>
        </is>
      </c>
      <c r="E114" s="42">
        <f>VLOOKUP(A114,'[1]Virtus SAMPLE PositionHistorySa'!$A:$L,12,0)</f>
        <v/>
      </c>
      <c r="F114" s="31" t="inlineStr">
        <is>
          <t>8.47</t>
        </is>
      </c>
      <c r="G114" s="32" t="n"/>
      <c r="H114" s="32" t="n"/>
      <c r="I114" s="29" t="n"/>
    </row>
    <row r="115">
      <c r="A115" s="29" t="n">
        <v>917</v>
      </c>
      <c r="B115" s="30" t="inlineStr">
        <is>
          <t>VIC-TAS</t>
        </is>
      </c>
      <c r="C115" s="30" t="inlineStr">
        <is>
          <t>MIVFS2022</t>
        </is>
      </c>
      <c r="D115" s="30" t="inlineStr">
        <is>
          <t>Part time</t>
        </is>
      </c>
      <c r="E115" s="42">
        <f>VLOOKUP(A115,'[1]Virtus SAMPLE PositionHistorySa'!$A:$L,12,0)</f>
        <v/>
      </c>
      <c r="F115" s="31" t="inlineStr">
        <is>
          <t>8.40</t>
        </is>
      </c>
      <c r="G115" s="32" t="n"/>
      <c r="H115" s="32" t="n"/>
      <c r="I115" s="29" t="n"/>
    </row>
    <row r="116">
      <c r="A116" s="29" t="n">
        <v>952</v>
      </c>
      <c r="B116" s="30" t="inlineStr">
        <is>
          <t>VIC-TAS</t>
        </is>
      </c>
      <c r="C116" s="30" t="inlineStr">
        <is>
          <t>MIVFN2023</t>
        </is>
      </c>
      <c r="D116" s="30" t="inlineStr">
        <is>
          <t>Full time</t>
        </is>
      </c>
      <c r="E116" s="42">
        <f>VLOOKUP(A116,'[1]Virtus SAMPLE PositionHistorySa'!$A:$L,12,0)</f>
        <v/>
      </c>
      <c r="F116" s="31" t="inlineStr">
        <is>
          <t>8.04</t>
        </is>
      </c>
      <c r="G116" s="32">
        <f>VLOOKUP(A116,Sheet3!A:K,10,0)/38</f>
        <v/>
      </c>
      <c r="H116" s="32">
        <f>F116-G116</f>
        <v/>
      </c>
      <c r="I116" s="29" t="n"/>
    </row>
    <row r="117">
      <c r="A117" s="29" t="n">
        <v>20571</v>
      </c>
      <c r="B117" s="30" t="inlineStr">
        <is>
          <t>NSW-QLD</t>
        </is>
      </c>
      <c r="C117" s="30" t="inlineStr">
        <is>
          <t>IVFN2021</t>
        </is>
      </c>
      <c r="D117" s="30" t="inlineStr">
        <is>
          <t>Part time</t>
        </is>
      </c>
      <c r="E117" s="42">
        <f>VLOOKUP(A117,'[1]Virtus SAMPLE PositionHistorySa'!$A:$L,12,0)</f>
        <v/>
      </c>
      <c r="F117" s="31" t="inlineStr">
        <is>
          <t>7.27</t>
        </is>
      </c>
      <c r="G117" s="32" t="n"/>
      <c r="H117" s="32" t="n"/>
      <c r="I117" s="29" t="n"/>
    </row>
    <row r="118">
      <c r="A118" s="29" t="n">
        <v>80255</v>
      </c>
      <c r="B118" s="30" t="inlineStr">
        <is>
          <t>NSW-QLD</t>
        </is>
      </c>
      <c r="C118" s="30" t="inlineStr">
        <is>
          <t>QS2024</t>
        </is>
      </c>
      <c r="D118" s="30" t="inlineStr">
        <is>
          <t>Part time</t>
        </is>
      </c>
      <c r="E118" s="42">
        <f>VLOOKUP(A118,'[1]Virtus SAMPLE PositionHistorySa'!$A:$L,12,0)</f>
        <v/>
      </c>
      <c r="F118" s="31" t="inlineStr">
        <is>
          <t>7.34</t>
        </is>
      </c>
      <c r="G118" s="32" t="n"/>
      <c r="H118" s="32" t="n"/>
      <c r="I118" s="29" t="n"/>
    </row>
    <row r="119">
      <c r="A119" s="29" t="n">
        <v>20583</v>
      </c>
      <c r="B119" s="30" t="inlineStr">
        <is>
          <t>NSW-QLD</t>
        </is>
      </c>
      <c r="C119" s="30" t="inlineStr">
        <is>
          <t>NSW</t>
        </is>
      </c>
      <c r="D119" s="30" t="inlineStr">
        <is>
          <t>Part time</t>
        </is>
      </c>
      <c r="E119" s="42">
        <f>VLOOKUP(A119,'[1]Virtus SAMPLE PositionHistorySa'!$A:$L,12,0)</f>
        <v/>
      </c>
      <c r="F119" s="31" t="inlineStr">
        <is>
          <t>7.12</t>
        </is>
      </c>
      <c r="G119" s="32" t="n"/>
      <c r="H119" s="32" t="n"/>
      <c r="I119" s="29" t="n"/>
    </row>
    <row r="120">
      <c r="A120" s="29" t="n">
        <v>1025</v>
      </c>
      <c r="B120" s="30" t="inlineStr">
        <is>
          <t>VIC-TAS</t>
        </is>
      </c>
      <c r="C120" s="30" t="inlineStr">
        <is>
          <t>IVFS2023</t>
        </is>
      </c>
      <c r="D120" s="30" t="inlineStr">
        <is>
          <t>Part time</t>
        </is>
      </c>
      <c r="E120" s="42">
        <f>VLOOKUP(A120,'[1]Virtus SAMPLE PositionHistorySa'!$A:$L,12,0)</f>
        <v/>
      </c>
      <c r="F120" s="31" t="inlineStr">
        <is>
          <t>6.97</t>
        </is>
      </c>
      <c r="G120" s="32" t="n"/>
      <c r="H120" s="32" t="n"/>
      <c r="I120" s="29" t="n"/>
    </row>
    <row r="121">
      <c r="A121" s="29" t="n">
        <v>1032</v>
      </c>
      <c r="B121" s="30" t="inlineStr">
        <is>
          <t>VIC-TAS</t>
        </is>
      </c>
      <c r="C121" s="30" t="inlineStr">
        <is>
          <t>MIVFS2022</t>
        </is>
      </c>
      <c r="D121" s="30" t="inlineStr">
        <is>
          <t>Full time</t>
        </is>
      </c>
      <c r="E121" s="42">
        <f>VLOOKUP(A121,'[1]Virtus SAMPLE PositionHistorySa'!$A:$L,12,0)</f>
        <v/>
      </c>
      <c r="F121" s="31" t="inlineStr">
        <is>
          <t>6.82</t>
        </is>
      </c>
      <c r="G121" s="32">
        <f>VLOOKUP(A121,Sheet3!A:K,10,0)/38</f>
        <v/>
      </c>
      <c r="H121" s="32">
        <f>F121-G121</f>
        <v/>
      </c>
      <c r="I121" s="29" t="n"/>
    </row>
    <row r="122">
      <c r="A122" s="29" t="n">
        <v>80527</v>
      </c>
      <c r="B122" s="30" t="inlineStr">
        <is>
          <t>NSW-QLD</t>
        </is>
      </c>
      <c r="C122" s="30" t="inlineStr">
        <is>
          <t>QS2024</t>
        </is>
      </c>
      <c r="D122" s="30" t="inlineStr">
        <is>
          <t>Full time</t>
        </is>
      </c>
      <c r="E122" s="42">
        <f>VLOOKUP(A122,'[1]Virtus SAMPLE PositionHistorySa'!$A:$L,12,0)</f>
        <v/>
      </c>
      <c r="F122" s="31" t="inlineStr">
        <is>
          <t>7.26</t>
        </is>
      </c>
      <c r="G122" s="32">
        <f>VLOOKUP(A122,Sheet3!A:K,10,0)/38</f>
        <v/>
      </c>
      <c r="H122" s="32">
        <f>F122-G122</f>
        <v/>
      </c>
      <c r="I122" s="29" t="n"/>
    </row>
    <row r="123">
      <c r="A123" s="29" t="n">
        <v>30323</v>
      </c>
      <c r="B123" s="30" t="inlineStr">
        <is>
          <t>NSW-QLD</t>
        </is>
      </c>
      <c r="C123" s="30" t="inlineStr">
        <is>
          <t>IVFS2023</t>
        </is>
      </c>
      <c r="D123" s="30" t="inlineStr">
        <is>
          <t>Part time</t>
        </is>
      </c>
      <c r="E123" s="42">
        <f>VLOOKUP(A123,'[1]Virtus SAMPLE PositionHistorySa'!$A:$L,12,0)</f>
        <v/>
      </c>
      <c r="F123" s="31" t="inlineStr">
        <is>
          <t>2.54</t>
        </is>
      </c>
      <c r="G123" s="32" t="n"/>
      <c r="H123" s="32" t="n"/>
      <c r="I123" s="29" t="n"/>
    </row>
    <row r="124">
      <c r="A124" s="29" t="n">
        <v>983</v>
      </c>
      <c r="B124" s="30" t="inlineStr">
        <is>
          <t>VIC-TAS</t>
        </is>
      </c>
      <c r="C124" s="30" t="inlineStr">
        <is>
          <t>VIC</t>
        </is>
      </c>
      <c r="D124" s="30" t="inlineStr">
        <is>
          <t>Full time</t>
        </is>
      </c>
      <c r="E124" s="42">
        <f>VLOOKUP(A124,'[1]Virtus SAMPLE PositionHistorySa'!$A:$L,12,0)</f>
        <v/>
      </c>
      <c r="F124" s="31" t="inlineStr">
        <is>
          <t>7.47</t>
        </is>
      </c>
      <c r="G124" s="32">
        <f>VLOOKUP(A124,Sheet3!A:K,10,0)/38</f>
        <v/>
      </c>
      <c r="H124" s="32">
        <f>F124-G124</f>
        <v/>
      </c>
      <c r="I124" s="29" t="n"/>
    </row>
    <row r="125">
      <c r="A125" s="29" t="n">
        <v>20556</v>
      </c>
      <c r="B125" s="30" t="inlineStr">
        <is>
          <t>NSW-QLD</t>
        </is>
      </c>
      <c r="C125" s="30" t="inlineStr">
        <is>
          <t>IVFN2021</t>
        </is>
      </c>
      <c r="D125" s="30" t="inlineStr">
        <is>
          <t>Part time</t>
        </is>
      </c>
      <c r="E125" s="42">
        <f>VLOOKUP(A125,'[1]Virtus SAMPLE PositionHistorySa'!$A:$L,12,0)</f>
        <v/>
      </c>
      <c r="F125" s="31" t="inlineStr">
        <is>
          <t>7.61</t>
        </is>
      </c>
      <c r="G125" s="32" t="n"/>
      <c r="H125" s="32" t="n"/>
      <c r="I125" s="29" t="n"/>
    </row>
    <row r="126">
      <c r="A126" s="29" t="n">
        <v>57</v>
      </c>
      <c r="B126" s="30" t="inlineStr">
        <is>
          <t>VIC-TAS</t>
        </is>
      </c>
      <c r="C126" s="30" t="inlineStr">
        <is>
          <t>TIVF2024</t>
        </is>
      </c>
      <c r="D126" s="30" t="inlineStr">
        <is>
          <t>Part time</t>
        </is>
      </c>
      <c r="E126" s="42">
        <f>VLOOKUP(A126,'[1]Virtus SAMPLE PositionHistorySa'!$A:$L,12,0)</f>
        <v/>
      </c>
      <c r="F126" s="31" t="inlineStr">
        <is>
          <t>7.39</t>
        </is>
      </c>
      <c r="G126" s="32" t="n"/>
      <c r="H126" s="32" t="n"/>
      <c r="I126" s="29" t="n"/>
    </row>
    <row r="127">
      <c r="A127" s="29" t="n">
        <v>985</v>
      </c>
      <c r="B127" s="30" t="inlineStr">
        <is>
          <t>VIC-TAS</t>
        </is>
      </c>
      <c r="C127" s="30" t="inlineStr">
        <is>
          <t>MIVFN2023</t>
        </is>
      </c>
      <c r="D127" s="30" t="inlineStr">
        <is>
          <t>Casual</t>
        </is>
      </c>
      <c r="E127" s="42">
        <f>VLOOKUP(A127,'[1]Virtus SAMPLE PositionHistorySa'!$A:$L,12,0)</f>
        <v/>
      </c>
      <c r="F127" s="31" t="inlineStr">
        <is>
          <t>7.39</t>
        </is>
      </c>
      <c r="G127" s="32" t="n"/>
      <c r="H127" s="32" t="n"/>
      <c r="I127" s="29" t="n"/>
    </row>
    <row r="128">
      <c r="A128" s="29" t="n">
        <v>80260</v>
      </c>
      <c r="B128" s="30" t="inlineStr">
        <is>
          <t>NSW-QLD</t>
        </is>
      </c>
      <c r="C128" s="30" t="inlineStr">
        <is>
          <t>IVFS2023</t>
        </is>
      </c>
      <c r="D128" s="30" t="inlineStr">
        <is>
          <t>Part time</t>
        </is>
      </c>
      <c r="E128" s="42">
        <f>VLOOKUP(A128,'[1]Virtus SAMPLE PositionHistorySa'!$A:$L,12,0)</f>
        <v/>
      </c>
      <c r="F128" s="31" t="inlineStr">
        <is>
          <t>7.17</t>
        </is>
      </c>
      <c r="G128" s="32" t="n"/>
      <c r="H128" s="32" t="n"/>
      <c r="I128" s="29" t="n"/>
    </row>
    <row r="129">
      <c r="A129" s="29" t="n">
        <v>90056</v>
      </c>
      <c r="B129" s="30" t="inlineStr">
        <is>
          <t>NSW-QLD</t>
        </is>
      </c>
      <c r="C129" s="30" t="inlineStr">
        <is>
          <t>IVFS2023</t>
        </is>
      </c>
      <c r="D129" s="30" t="inlineStr">
        <is>
          <t>Casual</t>
        </is>
      </c>
      <c r="E129" s="42">
        <f>VLOOKUP(A129,'[1]Virtus SAMPLE PositionHistorySa'!$A:$L,12,0)</f>
        <v/>
      </c>
      <c r="F129" s="31" t="inlineStr">
        <is>
          <t>7.39</t>
        </is>
      </c>
      <c r="G129" s="32" t="n"/>
      <c r="H129" s="32" t="n"/>
      <c r="I129" s="29" t="n"/>
    </row>
    <row r="130">
      <c r="A130" s="29" t="n">
        <v>994</v>
      </c>
      <c r="B130" s="30" t="inlineStr">
        <is>
          <t>VIC-TAS</t>
        </is>
      </c>
      <c r="C130" s="30" t="inlineStr">
        <is>
          <t>VIC</t>
        </is>
      </c>
      <c r="D130" s="30" t="inlineStr">
        <is>
          <t>Casual</t>
        </is>
      </c>
      <c r="E130" s="42">
        <f>VLOOKUP(A130,'[1]Virtus SAMPLE PositionHistorySa'!$A:$L,12,0)</f>
        <v/>
      </c>
      <c r="F130" s="31" t="inlineStr">
        <is>
          <t>7.17</t>
        </is>
      </c>
      <c r="G130" s="32" t="n"/>
      <c r="H130" s="32" t="n"/>
      <c r="I130" s="29" t="n"/>
    </row>
    <row r="131">
      <c r="A131" s="29" t="n">
        <v>80300</v>
      </c>
      <c r="B131" s="30" t="inlineStr">
        <is>
          <t>NSW-QLD</t>
        </is>
      </c>
      <c r="C131" s="30" t="inlineStr">
        <is>
          <t>QN2025</t>
        </is>
      </c>
      <c r="D131" s="30" t="inlineStr">
        <is>
          <t>Full time</t>
        </is>
      </c>
      <c r="E131" s="42">
        <f>VLOOKUP(A131,'[1]Virtus SAMPLE PositionHistorySa'!$A:$L,12,0)</f>
        <v/>
      </c>
      <c r="F131" s="31" t="inlineStr">
        <is>
          <t>9.49</t>
        </is>
      </c>
      <c r="G131" s="32">
        <f>VLOOKUP(A131,Sheet3!A:K,10,0)/38</f>
        <v/>
      </c>
      <c r="H131" s="32">
        <f>F131-G131</f>
        <v/>
      </c>
      <c r="I131" s="29" t="n"/>
    </row>
    <row r="132">
      <c r="A132" s="29" t="n">
        <v>80542</v>
      </c>
      <c r="B132" s="30" t="inlineStr">
        <is>
          <t>NSW-QLD</t>
        </is>
      </c>
      <c r="C132" s="30" t="inlineStr">
        <is>
          <t>QN2025</t>
        </is>
      </c>
      <c r="D132" s="30" t="inlineStr">
        <is>
          <t>Part time</t>
        </is>
      </c>
      <c r="E132" s="42">
        <f>VLOOKUP(A132,'[1]Virtus SAMPLE PositionHistorySa'!$A:$L,12,0)</f>
        <v/>
      </c>
      <c r="F132" s="31" t="inlineStr">
        <is>
          <t>9.49</t>
        </is>
      </c>
      <c r="G132" s="32" t="n"/>
      <c r="H132" s="32" t="n"/>
      <c r="I132" s="29" t="n"/>
    </row>
    <row r="133">
      <c r="A133" s="29" t="n">
        <v>20633</v>
      </c>
      <c r="B133" s="30" t="inlineStr">
        <is>
          <t>NSW-QLD</t>
        </is>
      </c>
      <c r="C133" s="30" t="inlineStr">
        <is>
          <t>NSW</t>
        </is>
      </c>
      <c r="D133" s="30" t="inlineStr">
        <is>
          <t>Full time</t>
        </is>
      </c>
      <c r="E133" s="42">
        <f>VLOOKUP(A133,'[1]Virtus SAMPLE PositionHistorySa'!$A:$L,12,0)</f>
        <v/>
      </c>
      <c r="F133" s="31" t="inlineStr">
        <is>
          <t>6.39</t>
        </is>
      </c>
      <c r="G133" s="32">
        <f>VLOOKUP(A133,Sheet3!A:K,10,0)/38</f>
        <v/>
      </c>
      <c r="H133" s="32">
        <f>F133-G133</f>
        <v/>
      </c>
      <c r="I133" s="29" t="n"/>
    </row>
    <row r="134">
      <c r="A134" s="29" t="n">
        <v>90073</v>
      </c>
      <c r="B134" s="30" t="inlineStr">
        <is>
          <t>NSW-QLD</t>
        </is>
      </c>
      <c r="C134" s="30" t="inlineStr">
        <is>
          <t>IVFS2023</t>
        </is>
      </c>
      <c r="D134" s="30" t="inlineStr">
        <is>
          <t>Casual</t>
        </is>
      </c>
      <c r="E134" s="42">
        <f>VLOOKUP(A134,'[1]Virtus SAMPLE PositionHistorySa'!$A:$L,12,0)</f>
        <v/>
      </c>
      <c r="F134" s="31" t="inlineStr">
        <is>
          <t>6.53</t>
        </is>
      </c>
      <c r="G134" s="32" t="n"/>
      <c r="H134" s="32" t="n"/>
      <c r="I134" s="29" t="n"/>
    </row>
    <row r="135">
      <c r="A135" s="29" t="n">
        <v>40100</v>
      </c>
      <c r="B135" s="30" t="inlineStr">
        <is>
          <t>NSW-QLD</t>
        </is>
      </c>
      <c r="C135" s="30" t="inlineStr">
        <is>
          <t>IVFN2021</t>
        </is>
      </c>
      <c r="D135" s="30" t="inlineStr">
        <is>
          <t>Full time</t>
        </is>
      </c>
      <c r="E135" s="42">
        <f>VLOOKUP(A135,'[1]Virtus SAMPLE PositionHistorySa'!$A:$L,12,0)</f>
        <v/>
      </c>
      <c r="F135" s="31" t="inlineStr">
        <is>
          <t>6.46</t>
        </is>
      </c>
      <c r="G135" s="32">
        <f>VLOOKUP(A135,Sheet3!A:K,10,0)/38</f>
        <v/>
      </c>
      <c r="H135" s="32">
        <f>F135-G135</f>
        <v/>
      </c>
      <c r="I135" s="29" t="n"/>
    </row>
    <row r="136">
      <c r="A136" s="29" t="n">
        <v>20603</v>
      </c>
      <c r="B136" s="30" t="inlineStr">
        <is>
          <t>NSW-QLD</t>
        </is>
      </c>
      <c r="C136" s="30" t="inlineStr">
        <is>
          <t>IVFN2021</t>
        </is>
      </c>
      <c r="D136" s="30" t="inlineStr">
        <is>
          <t>Part time</t>
        </is>
      </c>
      <c r="E136" s="42">
        <f>VLOOKUP(A136,'[1]Virtus SAMPLE PositionHistorySa'!$A:$L,12,0)</f>
        <v/>
      </c>
      <c r="F136" s="31" t="inlineStr">
        <is>
          <t>6.74</t>
        </is>
      </c>
      <c r="G136" s="32" t="n"/>
      <c r="H136" s="32" t="n"/>
      <c r="I136" s="29" t="n"/>
    </row>
    <row r="137">
      <c r="A137" s="29" t="n">
        <v>20612</v>
      </c>
      <c r="B137" s="30" t="inlineStr">
        <is>
          <t>NSW-QLD</t>
        </is>
      </c>
      <c r="C137" s="30" t="inlineStr">
        <is>
          <t>NSW</t>
        </is>
      </c>
      <c r="D137" s="30" t="inlineStr">
        <is>
          <t>Full time</t>
        </is>
      </c>
      <c r="E137" s="42">
        <f>VLOOKUP(A137,'[1]Virtus SAMPLE PositionHistorySa'!$A:$L,12,0)</f>
        <v/>
      </c>
      <c r="F137" s="31" t="inlineStr">
        <is>
          <t>6.53</t>
        </is>
      </c>
      <c r="G137" s="32">
        <f>VLOOKUP(A137,Sheet3!A:K,10,0)/38</f>
        <v/>
      </c>
      <c r="H137" s="32">
        <f>F137-G137</f>
        <v/>
      </c>
      <c r="I137" s="29" t="n"/>
    </row>
    <row r="138">
      <c r="A138" s="29" t="n">
        <v>30168</v>
      </c>
      <c r="B138" s="30" t="inlineStr">
        <is>
          <t>NSW-QLD</t>
        </is>
      </c>
      <c r="C138" s="30" t="inlineStr">
        <is>
          <t>IVFN2021</t>
        </is>
      </c>
      <c r="D138" s="30" t="inlineStr">
        <is>
          <t>Part time</t>
        </is>
      </c>
      <c r="E138" s="42">
        <f>VLOOKUP(A138,'[1]Virtus SAMPLE PositionHistorySa'!$A:$L,12,0)</f>
        <v/>
      </c>
      <c r="F138" s="31" t="inlineStr">
        <is>
          <t>6.53</t>
        </is>
      </c>
      <c r="G138" s="32" t="n"/>
      <c r="H138" s="32" t="n"/>
      <c r="I138" s="29" t="n"/>
    </row>
    <row r="139">
      <c r="A139" s="29" t="n">
        <v>20643</v>
      </c>
      <c r="B139" s="30" t="inlineStr">
        <is>
          <t>NSW-QLD</t>
        </is>
      </c>
      <c r="C139" s="30" t="inlineStr">
        <is>
          <t>IVFN2021</t>
        </is>
      </c>
      <c r="D139" s="30" t="inlineStr">
        <is>
          <t>Part time</t>
        </is>
      </c>
      <c r="E139" s="42">
        <f>VLOOKUP(A139,'[1]Virtus SAMPLE PositionHistorySa'!$A:$L,12,0)</f>
        <v/>
      </c>
      <c r="F139" s="31" t="inlineStr">
        <is>
          <t>6.30</t>
        </is>
      </c>
      <c r="G139" s="32" t="n"/>
      <c r="H139" s="32" t="n"/>
      <c r="I139" s="29" t="n"/>
    </row>
    <row r="140">
      <c r="A140" s="29" t="n">
        <v>80301</v>
      </c>
      <c r="B140" s="30" t="inlineStr">
        <is>
          <t>NSW-QLD</t>
        </is>
      </c>
      <c r="C140" s="30" t="inlineStr">
        <is>
          <t>IVFS2023</t>
        </is>
      </c>
      <c r="D140" s="30" t="inlineStr">
        <is>
          <t>Part time</t>
        </is>
      </c>
      <c r="E140" s="42">
        <f>VLOOKUP(A140,'[1]Virtus SAMPLE PositionHistorySa'!$A:$L,12,0)</f>
        <v/>
      </c>
      <c r="F140" s="31" t="inlineStr">
        <is>
          <t>6.30</t>
        </is>
      </c>
      <c r="G140" s="32" t="n"/>
      <c r="H140" s="32" t="n"/>
      <c r="I140" s="29" t="n"/>
    </row>
    <row r="141">
      <c r="A141" s="29" t="n">
        <v>1053</v>
      </c>
      <c r="B141" s="30" t="inlineStr">
        <is>
          <t>VIC-TAS</t>
        </is>
      </c>
      <c r="C141" s="30" t="inlineStr">
        <is>
          <t>MIVFC2021</t>
        </is>
      </c>
      <c r="D141" s="30" t="inlineStr">
        <is>
          <t>Part time</t>
        </is>
      </c>
      <c r="E141" s="42">
        <f>VLOOKUP(A141,'[1]Virtus SAMPLE PositionHistorySa'!$A:$L,12,0)</f>
        <v/>
      </c>
      <c r="F141" s="31" t="inlineStr">
        <is>
          <t>13.04</t>
        </is>
      </c>
      <c r="G141" s="32" t="n"/>
      <c r="H141" s="32" t="n"/>
      <c r="I141" s="29" t="n"/>
    </row>
    <row r="142">
      <c r="A142" s="29" t="n">
        <v>20687</v>
      </c>
      <c r="B142" s="30" t="inlineStr">
        <is>
          <t>NSW-QLD</t>
        </is>
      </c>
      <c r="C142" s="30" t="inlineStr">
        <is>
          <t>IVFT2024</t>
        </is>
      </c>
      <c r="D142" s="30" t="inlineStr">
        <is>
          <t>Full time</t>
        </is>
      </c>
      <c r="E142" s="42">
        <f>VLOOKUP(A142,'[1]Virtus SAMPLE PositionHistorySa'!$A:$L,12,0)</f>
        <v/>
      </c>
      <c r="F142" s="31" t="inlineStr">
        <is>
          <t>5.46</t>
        </is>
      </c>
      <c r="G142" s="32">
        <f>VLOOKUP(A142,Sheet3!A:K,10,0)/38</f>
        <v/>
      </c>
      <c r="H142" s="32">
        <f>F142-G142</f>
        <v/>
      </c>
      <c r="I142" s="29" t="n"/>
    </row>
    <row r="143">
      <c r="A143" s="29" t="n">
        <v>20686</v>
      </c>
      <c r="B143" s="30" t="inlineStr">
        <is>
          <t>NSW-QLD</t>
        </is>
      </c>
      <c r="C143" s="30" t="inlineStr">
        <is>
          <t>IVFT2024</t>
        </is>
      </c>
      <c r="D143" s="30" t="inlineStr">
        <is>
          <t>Full time</t>
        </is>
      </c>
      <c r="E143" s="42">
        <f>VLOOKUP(A143,'[1]Virtus SAMPLE PositionHistorySa'!$A:$L,12,0)</f>
        <v/>
      </c>
      <c r="F143" s="31" t="inlineStr">
        <is>
          <t>5.46</t>
        </is>
      </c>
      <c r="G143" s="32">
        <f>VLOOKUP(A143,Sheet3!A:K,10,0)/38</f>
        <v/>
      </c>
      <c r="H143" s="32">
        <f>F143-G143</f>
        <v/>
      </c>
      <c r="I143" s="29" t="n"/>
    </row>
    <row r="144">
      <c r="A144" s="29" t="n">
        <v>20689</v>
      </c>
      <c r="B144" s="30" t="inlineStr">
        <is>
          <t>NSW-QLD</t>
        </is>
      </c>
      <c r="C144" s="30" t="inlineStr">
        <is>
          <t>IVFS2023</t>
        </is>
      </c>
      <c r="D144" s="30" t="inlineStr">
        <is>
          <t>Part time</t>
        </is>
      </c>
      <c r="E144" s="42">
        <f>VLOOKUP(A144,'[1]Virtus SAMPLE PositionHistorySa'!$A:$L,12,0)</f>
        <v/>
      </c>
      <c r="F144" s="31" t="inlineStr">
        <is>
          <t>5.46</t>
        </is>
      </c>
      <c r="G144" s="32" t="n"/>
      <c r="H144" s="32" t="n"/>
      <c r="I144" s="29" t="n"/>
    </row>
    <row r="145">
      <c r="A145" s="29" t="n">
        <v>90094</v>
      </c>
      <c r="B145" s="30" t="inlineStr">
        <is>
          <t>NSW-QLD</t>
        </is>
      </c>
      <c r="C145" s="30" t="inlineStr">
        <is>
          <t>IVFS2023</t>
        </is>
      </c>
      <c r="D145" s="30" t="inlineStr">
        <is>
          <t>Part time</t>
        </is>
      </c>
      <c r="E145" s="42">
        <f>VLOOKUP(A145,'[1]Virtus SAMPLE PositionHistorySa'!$A:$L,12,0)</f>
        <v/>
      </c>
      <c r="F145" s="31" t="inlineStr">
        <is>
          <t>5.67</t>
        </is>
      </c>
      <c r="G145" s="32" t="n"/>
      <c r="H145" s="32" t="n"/>
      <c r="I145" s="29" t="n"/>
    </row>
    <row r="146">
      <c r="A146" s="29" t="n">
        <v>1176</v>
      </c>
      <c r="B146" s="30" t="inlineStr">
        <is>
          <t>VIC-TAS</t>
        </is>
      </c>
      <c r="C146" s="30" t="inlineStr">
        <is>
          <t>MIVFS2022</t>
        </is>
      </c>
      <c r="D146" s="30" t="inlineStr">
        <is>
          <t>Part time</t>
        </is>
      </c>
      <c r="E146" s="42">
        <f>VLOOKUP(A146,'[1]Virtus SAMPLE PositionHistorySa'!$A:$L,12,0)</f>
        <v/>
      </c>
      <c r="F146" s="31" t="inlineStr">
        <is>
          <t>5.53</t>
        </is>
      </c>
      <c r="G146" s="32" t="n"/>
      <c r="H146" s="32" t="n"/>
      <c r="I146" s="29" t="n"/>
    </row>
    <row r="147">
      <c r="A147" s="29" t="n">
        <v>50127</v>
      </c>
      <c r="B147" s="30" t="inlineStr">
        <is>
          <t>NSW-QLD</t>
        </is>
      </c>
      <c r="C147" s="30" t="inlineStr">
        <is>
          <t>IVFN2021</t>
        </is>
      </c>
      <c r="D147" s="30" t="inlineStr">
        <is>
          <t>Casual</t>
        </is>
      </c>
      <c r="E147" s="42">
        <f>VLOOKUP(A147,'[1]Virtus SAMPLE PositionHistorySa'!$A:$L,12,0)</f>
        <v/>
      </c>
      <c r="F147" s="31" t="inlineStr">
        <is>
          <t>5.74</t>
        </is>
      </c>
      <c r="G147" s="32" t="n"/>
      <c r="H147" s="32" t="n"/>
      <c r="I147" s="29" t="n"/>
    </row>
    <row r="148">
      <c r="A148" s="29" t="n">
        <v>30353</v>
      </c>
      <c r="B148" s="30" t="inlineStr">
        <is>
          <t>NSW-QLD</t>
        </is>
      </c>
      <c r="C148" s="30" t="inlineStr">
        <is>
          <t>IVFS2023</t>
        </is>
      </c>
      <c r="D148" s="30" t="inlineStr">
        <is>
          <t>Full time</t>
        </is>
      </c>
      <c r="E148" s="42">
        <f>VLOOKUP(A148,'[1]Virtus SAMPLE PositionHistorySa'!$A:$L,12,0)</f>
        <v/>
      </c>
      <c r="F148" s="31" t="inlineStr">
        <is>
          <t>5.16</t>
        </is>
      </c>
      <c r="G148" s="32">
        <f>VLOOKUP(A148,Sheet3!A:K,10,0)/38</f>
        <v/>
      </c>
      <c r="H148" s="32">
        <f>F148-G148</f>
        <v/>
      </c>
      <c r="I148" s="29" t="n"/>
    </row>
    <row r="149">
      <c r="A149" s="29" t="n">
        <v>90106</v>
      </c>
      <c r="B149" s="30" t="inlineStr">
        <is>
          <t>NSW-QLD</t>
        </is>
      </c>
      <c r="C149" s="30" t="inlineStr">
        <is>
          <t>IVFS2023</t>
        </is>
      </c>
      <c r="D149" s="30" t="inlineStr">
        <is>
          <t>Full time</t>
        </is>
      </c>
      <c r="E149" s="42">
        <f>VLOOKUP(A149,'[1]Virtus SAMPLE PositionHistorySa'!$A:$L,12,0)</f>
        <v/>
      </c>
      <c r="F149" s="31" t="inlineStr">
        <is>
          <t>5.16</t>
        </is>
      </c>
      <c r="G149" s="32">
        <f>VLOOKUP(A149,Sheet3!A:K,10,0)/38</f>
        <v/>
      </c>
      <c r="H149" s="32">
        <f>F149-G149</f>
        <v/>
      </c>
      <c r="I149" s="29" t="n"/>
    </row>
    <row r="150">
      <c r="A150" s="29" t="n">
        <v>90095</v>
      </c>
      <c r="B150" s="30" t="inlineStr">
        <is>
          <t>NSW-QLD</t>
        </is>
      </c>
      <c r="C150" s="30" t="inlineStr">
        <is>
          <t>IVFS2023</t>
        </is>
      </c>
      <c r="D150" s="30" t="inlineStr">
        <is>
          <t>Casual</t>
        </is>
      </c>
      <c r="E150" s="42">
        <f>VLOOKUP(A150,'[1]Virtus SAMPLE PositionHistorySa'!$A:$L,12,0)</f>
        <v/>
      </c>
      <c r="F150" s="31" t="inlineStr">
        <is>
          <t>5.67</t>
        </is>
      </c>
      <c r="G150" s="32" t="n"/>
      <c r="H150" s="32" t="n"/>
      <c r="I150" s="29" t="n"/>
    </row>
    <row r="151">
      <c r="A151" s="29" t="n">
        <v>20693</v>
      </c>
      <c r="B151" s="30" t="inlineStr">
        <is>
          <t>NSW-QLD</t>
        </is>
      </c>
      <c r="C151" s="30" t="inlineStr">
        <is>
          <t>IVFN2021</t>
        </is>
      </c>
      <c r="D151" s="30" t="inlineStr">
        <is>
          <t>Part time</t>
        </is>
      </c>
      <c r="E151" s="42">
        <f>VLOOKUP(A151,'[1]Virtus SAMPLE PositionHistorySa'!$A:$L,12,0)</f>
        <v/>
      </c>
      <c r="F151" s="31" t="inlineStr">
        <is>
          <t>5.38</t>
        </is>
      </c>
      <c r="G151" s="32" t="n"/>
      <c r="H151" s="32" t="n"/>
      <c r="I151" s="29" t="n"/>
    </row>
    <row r="152">
      <c r="A152" s="29" t="n">
        <v>30349</v>
      </c>
      <c r="B152" s="30" t="inlineStr">
        <is>
          <t>NSW-QLD</t>
        </is>
      </c>
      <c r="C152" s="30" t="inlineStr">
        <is>
          <t>IVFN2021</t>
        </is>
      </c>
      <c r="D152" s="30" t="inlineStr">
        <is>
          <t>Part time</t>
        </is>
      </c>
      <c r="E152" s="42">
        <f>VLOOKUP(A152,'[1]Virtus SAMPLE PositionHistorySa'!$A:$L,12,0)</f>
        <v/>
      </c>
      <c r="F152" s="31" t="inlineStr">
        <is>
          <t>5.38</t>
        </is>
      </c>
      <c r="G152" s="32" t="n"/>
      <c r="H152" s="32" t="n"/>
      <c r="I152" s="29" t="n"/>
    </row>
    <row r="153">
      <c r="A153" s="29" t="n">
        <v>1117</v>
      </c>
      <c r="B153" s="30" t="inlineStr">
        <is>
          <t>VIC-TAS</t>
        </is>
      </c>
      <c r="C153" s="30" t="inlineStr">
        <is>
          <t>MIVFS2022</t>
        </is>
      </c>
      <c r="D153" s="30" t="inlineStr">
        <is>
          <t>Part time</t>
        </is>
      </c>
      <c r="E153" s="42">
        <f>VLOOKUP(A153,'[1]Virtus SAMPLE PositionHistorySa'!$A:$L,12,0)</f>
        <v/>
      </c>
      <c r="F153" s="31" t="inlineStr">
        <is>
          <t>5.60</t>
        </is>
      </c>
      <c r="G153" s="32" t="n"/>
      <c r="H153" s="32" t="n"/>
      <c r="I153" s="29" t="n"/>
    </row>
    <row r="154">
      <c r="A154" s="29" t="n">
        <v>60038</v>
      </c>
      <c r="B154" s="30" t="inlineStr">
        <is>
          <t>NSW-QLD</t>
        </is>
      </c>
      <c r="C154" s="30" t="inlineStr">
        <is>
          <t>QN2025</t>
        </is>
      </c>
      <c r="D154" s="30">
        <f>VLOOKUP(A154,Sheet3!A:E,5,0)</f>
        <v/>
      </c>
      <c r="E154" s="42">
        <f>VLOOKUP(A154,'[1]Virtus SAMPLE PositionHistorySa'!$A:$L,12,0)</f>
        <v/>
      </c>
      <c r="F154" s="31" t="inlineStr">
        <is>
          <t>8.82</t>
        </is>
      </c>
      <c r="G154" s="32" t="n"/>
      <c r="H154" s="32" t="n"/>
      <c r="I154" s="29" t="n"/>
    </row>
    <row r="155">
      <c r="A155" s="29" t="n">
        <v>1119</v>
      </c>
      <c r="B155" s="30" t="inlineStr">
        <is>
          <t>VIC-TAS</t>
        </is>
      </c>
      <c r="C155" s="30" t="inlineStr">
        <is>
          <t>MIVFN2023</t>
        </is>
      </c>
      <c r="D155" s="30" t="inlineStr">
        <is>
          <t>Part time</t>
        </is>
      </c>
      <c r="E155" s="42">
        <f>VLOOKUP(A155,'[1]Virtus SAMPLE PositionHistorySa'!$A:$L,12,0)</f>
        <v/>
      </c>
      <c r="F155" s="31" t="inlineStr">
        <is>
          <t>5.59</t>
        </is>
      </c>
      <c r="G155" s="32" t="n"/>
      <c r="H155" s="32" t="n"/>
      <c r="I155" s="29" t="n"/>
    </row>
    <row r="156">
      <c r="A156" s="29" t="n">
        <v>1142</v>
      </c>
      <c r="B156" s="30" t="inlineStr">
        <is>
          <t>VIC-TAS</t>
        </is>
      </c>
      <c r="C156" s="30" t="inlineStr">
        <is>
          <t>MIVFS2022</t>
        </is>
      </c>
      <c r="D156" s="30" t="inlineStr">
        <is>
          <t>Full time</t>
        </is>
      </c>
      <c r="E156" s="42">
        <f>VLOOKUP(A156,'[1]Virtus SAMPLE PositionHistorySa'!$A:$L,12,0)</f>
        <v/>
      </c>
      <c r="F156" s="31" t="inlineStr">
        <is>
          <t>5.23</t>
        </is>
      </c>
      <c r="G156" s="32">
        <f>VLOOKUP(A156,Sheet3!A:K,10,0)/38</f>
        <v/>
      </c>
      <c r="H156" s="32">
        <f>F156-G156</f>
        <v/>
      </c>
      <c r="I156" s="29" t="n"/>
    </row>
    <row r="157">
      <c r="A157" s="29" t="n">
        <v>40110</v>
      </c>
      <c r="B157" s="30" t="inlineStr">
        <is>
          <t>NSW-QLD</t>
        </is>
      </c>
      <c r="C157" s="30" t="inlineStr">
        <is>
          <t>IVFN2021</t>
        </is>
      </c>
      <c r="D157" s="30" t="inlineStr">
        <is>
          <t>Part time</t>
        </is>
      </c>
      <c r="E157" s="42">
        <f>VLOOKUP(A157,'[1]Virtus SAMPLE PositionHistorySa'!$A:$L,12,0)</f>
        <v/>
      </c>
      <c r="F157" s="31" t="inlineStr">
        <is>
          <t>5.66</t>
        </is>
      </c>
      <c r="G157" s="32" t="n"/>
      <c r="H157" s="32" t="n"/>
      <c r="I157" s="29" t="n"/>
    </row>
    <row r="158">
      <c r="A158" s="29" t="n">
        <v>88</v>
      </c>
      <c r="B158" s="30" t="inlineStr">
        <is>
          <t>VIC-TAS</t>
        </is>
      </c>
      <c r="C158" s="30" t="inlineStr">
        <is>
          <t>TIVF2024</t>
        </is>
      </c>
      <c r="D158" s="30" t="inlineStr">
        <is>
          <t>Part time</t>
        </is>
      </c>
      <c r="E158" s="42">
        <f>VLOOKUP(A158,'[1]Virtus SAMPLE PositionHistorySa'!$A:$L,12,0)</f>
        <v/>
      </c>
      <c r="F158" s="31" t="inlineStr">
        <is>
          <t>5.66</t>
        </is>
      </c>
      <c r="G158" s="32" t="n"/>
      <c r="H158" s="32" t="n"/>
      <c r="I158" s="29" t="n"/>
    </row>
    <row r="159">
      <c r="A159" s="29" t="n">
        <v>70027</v>
      </c>
      <c r="B159" s="30" t="inlineStr">
        <is>
          <t>NSW-QLD</t>
        </is>
      </c>
      <c r="C159" s="30" t="inlineStr">
        <is>
          <t>QS2024</t>
        </is>
      </c>
      <c r="D159" s="30" t="inlineStr">
        <is>
          <t>Full time</t>
        </is>
      </c>
      <c r="E159" s="42">
        <f>VLOOKUP(A159,'[1]Virtus SAMPLE PositionHistorySa'!$A:$L,12,0)</f>
        <v/>
      </c>
      <c r="F159" s="31" t="inlineStr">
        <is>
          <t>5.15</t>
        </is>
      </c>
      <c r="G159" s="32">
        <f>VLOOKUP(A159,Sheet3!A:K,10,0)/38</f>
        <v/>
      </c>
      <c r="H159" s="32">
        <f>F159-G159</f>
        <v/>
      </c>
      <c r="I159" s="29" t="n"/>
    </row>
    <row r="160">
      <c r="A160" s="29" t="n">
        <v>50167</v>
      </c>
      <c r="B160" s="30" t="inlineStr">
        <is>
          <t>NSW-QLD</t>
        </is>
      </c>
      <c r="C160" s="30" t="inlineStr">
        <is>
          <t>IVFS2023</t>
        </is>
      </c>
      <c r="D160" s="30" t="inlineStr">
        <is>
          <t>Full time</t>
        </is>
      </c>
      <c r="E160" s="42">
        <f>VLOOKUP(A160,'[1]Virtus SAMPLE PositionHistorySa'!$A:$L,12,0)</f>
        <v/>
      </c>
      <c r="F160" s="31" t="inlineStr">
        <is>
          <t>5.66</t>
        </is>
      </c>
      <c r="G160" s="32">
        <f>VLOOKUP(A160,Sheet3!A:K,10,0)/38</f>
        <v/>
      </c>
      <c r="H160" s="32">
        <f>F160-G160</f>
        <v/>
      </c>
      <c r="I160" s="29" t="n"/>
    </row>
    <row r="161">
      <c r="A161" s="29" t="n">
        <v>40107</v>
      </c>
      <c r="B161" s="30" t="inlineStr">
        <is>
          <t>NSW-QLD</t>
        </is>
      </c>
      <c r="C161" s="30" t="inlineStr">
        <is>
          <t>IVFN2021</t>
        </is>
      </c>
      <c r="D161" s="30" t="inlineStr">
        <is>
          <t>Full time</t>
        </is>
      </c>
      <c r="E161" s="42">
        <f>VLOOKUP(A161,'[1]Virtus SAMPLE PositionHistorySa'!$A:$L,12,0)</f>
        <v/>
      </c>
      <c r="F161" s="31" t="inlineStr">
        <is>
          <t>5.79</t>
        </is>
      </c>
      <c r="G161" s="32">
        <f>VLOOKUP(A161,Sheet3!A:K,10,0)/38</f>
        <v/>
      </c>
      <c r="H161" s="32">
        <f>F161-G161</f>
        <v/>
      </c>
      <c r="I161" s="29" t="n"/>
    </row>
    <row r="162">
      <c r="A162" s="29" t="n">
        <v>20661</v>
      </c>
      <c r="B162" s="30" t="inlineStr">
        <is>
          <t>NSW-QLD</t>
        </is>
      </c>
      <c r="C162" s="30" t="inlineStr">
        <is>
          <t>IVFN2021</t>
        </is>
      </c>
      <c r="D162" s="30" t="inlineStr">
        <is>
          <t>Part time</t>
        </is>
      </c>
      <c r="E162" s="42">
        <f>VLOOKUP(A162,'[1]Virtus SAMPLE PositionHistorySa'!$A:$L,12,0)</f>
        <v/>
      </c>
      <c r="F162" s="31" t="inlineStr">
        <is>
          <t>5.79</t>
        </is>
      </c>
      <c r="G162" s="32" t="n"/>
      <c r="H162" s="32" t="n"/>
      <c r="I162" s="29" t="n"/>
    </row>
    <row r="163">
      <c r="A163" s="29" t="n">
        <v>1183</v>
      </c>
      <c r="B163" s="30" t="inlineStr">
        <is>
          <t>VIC-TAS</t>
        </is>
      </c>
      <c r="C163" s="30" t="inlineStr">
        <is>
          <t>MIVFN2023</t>
        </is>
      </c>
      <c r="D163" s="30" t="inlineStr">
        <is>
          <t>Full time</t>
        </is>
      </c>
      <c r="E163" s="42">
        <f>VLOOKUP(A163,'[1]Virtus SAMPLE PositionHistorySa'!$A:$L,12,0)</f>
        <v/>
      </c>
      <c r="F163" s="31" t="inlineStr">
        <is>
          <t>4.67</t>
        </is>
      </c>
      <c r="G163" s="32">
        <f>VLOOKUP(A163,Sheet3!A:K,10,0)/38</f>
        <v/>
      </c>
      <c r="H163" s="32">
        <f>F163-G163</f>
        <v/>
      </c>
      <c r="I163" s="29" t="n"/>
    </row>
    <row r="164">
      <c r="A164" s="29" t="n">
        <v>80397</v>
      </c>
      <c r="B164" s="30" t="inlineStr">
        <is>
          <t>NSW-QLD</t>
        </is>
      </c>
      <c r="C164" s="30" t="inlineStr">
        <is>
          <t>QS2024</t>
        </is>
      </c>
      <c r="D164" s="30" t="inlineStr">
        <is>
          <t>Full time</t>
        </is>
      </c>
      <c r="E164" s="42">
        <f>VLOOKUP(A164,'[1]Virtus SAMPLE PositionHistorySa'!$A:$L,12,0)</f>
        <v/>
      </c>
      <c r="F164" s="31" t="inlineStr">
        <is>
          <t>4.67</t>
        </is>
      </c>
      <c r="G164" s="32">
        <f>VLOOKUP(A164,Sheet3!A:K,10,0)/38</f>
        <v/>
      </c>
      <c r="H164" s="32">
        <f>F164-G164</f>
        <v/>
      </c>
      <c r="I164" s="29" t="n"/>
    </row>
    <row r="165">
      <c r="A165" s="29" t="n">
        <v>80351</v>
      </c>
      <c r="B165" s="30" t="inlineStr">
        <is>
          <t>NSW-QLD</t>
        </is>
      </c>
      <c r="C165" s="30" t="inlineStr">
        <is>
          <t>QLD</t>
        </is>
      </c>
      <c r="D165" s="30" t="inlineStr">
        <is>
          <t>Full time</t>
        </is>
      </c>
      <c r="E165" s="42">
        <f>VLOOKUP(A165,'[1]Virtus SAMPLE PositionHistorySa'!$A:$L,12,0)</f>
        <v/>
      </c>
      <c r="F165" s="31" t="inlineStr">
        <is>
          <t>4.67</t>
        </is>
      </c>
      <c r="G165" s="32">
        <f>VLOOKUP(A165,Sheet3!A:K,10,0)/38</f>
        <v/>
      </c>
      <c r="H165" s="32">
        <f>F165-G165</f>
        <v/>
      </c>
      <c r="I165" s="29" t="n"/>
    </row>
    <row r="166">
      <c r="A166" s="29" t="n">
        <v>50166</v>
      </c>
      <c r="B166" s="30" t="inlineStr">
        <is>
          <t>NSW-QLD</t>
        </is>
      </c>
      <c r="C166" s="30" t="inlineStr">
        <is>
          <t>IVFN2021</t>
        </is>
      </c>
      <c r="D166" s="30" t="inlineStr">
        <is>
          <t>Full time</t>
        </is>
      </c>
      <c r="E166" s="42">
        <f>VLOOKUP(A166,'[1]Virtus SAMPLE PositionHistorySa'!$A:$L,12,0)</f>
        <v/>
      </c>
      <c r="F166" s="31" t="inlineStr">
        <is>
          <t>4.59</t>
        </is>
      </c>
      <c r="G166" s="32">
        <f>VLOOKUP(A166,Sheet3!A:K,10,0)/38</f>
        <v/>
      </c>
      <c r="H166" s="32">
        <f>F166-G166</f>
        <v/>
      </c>
      <c r="I166" s="29" t="n"/>
    </row>
    <row r="167">
      <c r="A167" s="29" t="n">
        <v>20755</v>
      </c>
      <c r="B167" s="30" t="inlineStr">
        <is>
          <t>NSW-QLD</t>
        </is>
      </c>
      <c r="C167" s="30" t="inlineStr">
        <is>
          <t>IVFN2021</t>
        </is>
      </c>
      <c r="D167" s="30" t="inlineStr">
        <is>
          <t>Full time</t>
        </is>
      </c>
      <c r="E167" s="42">
        <f>VLOOKUP(A167,'[1]Virtus SAMPLE PositionHistorySa'!$A:$L,12,0)</f>
        <v/>
      </c>
      <c r="F167" s="31" t="inlineStr">
        <is>
          <t>4.59</t>
        </is>
      </c>
      <c r="G167" s="32">
        <f>VLOOKUP(A167,Sheet3!A:K,10,0)/38</f>
        <v/>
      </c>
      <c r="H167" s="32">
        <f>F167-G167</f>
        <v/>
      </c>
      <c r="I167" s="29" t="n"/>
    </row>
    <row r="168">
      <c r="A168" s="29" t="n">
        <v>50184</v>
      </c>
      <c r="B168" s="30" t="inlineStr">
        <is>
          <t>NSW-QLD</t>
        </is>
      </c>
      <c r="C168" s="30" t="inlineStr">
        <is>
          <t>IVFS2023</t>
        </is>
      </c>
      <c r="D168" s="30" t="inlineStr">
        <is>
          <t>Full time</t>
        </is>
      </c>
      <c r="E168" s="42">
        <f>VLOOKUP(A168,'[1]Virtus SAMPLE PositionHistorySa'!$A:$L,12,0)</f>
        <v/>
      </c>
      <c r="F168" s="31" t="inlineStr">
        <is>
          <t>4.30</t>
        </is>
      </c>
      <c r="G168" s="32">
        <f>VLOOKUP(A168,Sheet3!A:K,10,0)/38</f>
        <v/>
      </c>
      <c r="H168" s="32">
        <f>F168-G168</f>
        <v/>
      </c>
      <c r="I168" s="29" t="n"/>
    </row>
    <row r="169">
      <c r="A169" s="29" t="n">
        <v>20814</v>
      </c>
      <c r="B169" s="30" t="inlineStr">
        <is>
          <t>NSW-QLD</t>
        </is>
      </c>
      <c r="C169" s="30" t="inlineStr">
        <is>
          <t>IVFS2023</t>
        </is>
      </c>
      <c r="D169" s="30" t="inlineStr">
        <is>
          <t>Part time</t>
        </is>
      </c>
      <c r="E169" s="42">
        <f>VLOOKUP(A169,'[1]Virtus SAMPLE PositionHistorySa'!$A:$L,12,0)</f>
        <v/>
      </c>
      <c r="F169" s="31" t="inlineStr">
        <is>
          <t>4.23</t>
        </is>
      </c>
      <c r="G169" s="32" t="n"/>
      <c r="H169" s="32" t="n"/>
      <c r="I169" s="29" t="n"/>
    </row>
    <row r="170">
      <c r="A170" s="29" t="n">
        <v>1172</v>
      </c>
      <c r="B170" s="30" t="inlineStr">
        <is>
          <t>VIC-TAS</t>
        </is>
      </c>
      <c r="C170" s="30" t="inlineStr">
        <is>
          <t>MIVFN2023</t>
        </is>
      </c>
      <c r="D170" s="30" t="inlineStr">
        <is>
          <t>Full time</t>
        </is>
      </c>
      <c r="E170" s="42">
        <f>VLOOKUP(A170,'[1]Virtus SAMPLE PositionHistorySa'!$A:$L,12,0)</f>
        <v/>
      </c>
      <c r="F170" s="31" t="inlineStr">
        <is>
          <t>4.95</t>
        </is>
      </c>
      <c r="G170" s="32">
        <f>VLOOKUP(A170,Sheet3!A:K,10,0)/38</f>
        <v/>
      </c>
      <c r="H170" s="32">
        <f>F170-G170</f>
        <v/>
      </c>
      <c r="I170" s="29" t="n"/>
    </row>
    <row r="171">
      <c r="A171" s="29" t="n">
        <v>80338</v>
      </c>
      <c r="B171" s="30" t="inlineStr">
        <is>
          <t>NSW-QLD</t>
        </is>
      </c>
      <c r="C171" s="30" t="inlineStr">
        <is>
          <t>QLD</t>
        </is>
      </c>
      <c r="D171" s="30" t="inlineStr">
        <is>
          <t>Full time</t>
        </is>
      </c>
      <c r="E171" s="42">
        <f>VLOOKUP(A171,'[1]Virtus SAMPLE PositionHistorySa'!$A:$L,12,0)</f>
        <v/>
      </c>
      <c r="F171" s="31" t="inlineStr">
        <is>
          <t>4.95</t>
        </is>
      </c>
      <c r="G171" s="32">
        <f>VLOOKUP(A171,Sheet3!A:K,10,0)/38</f>
        <v/>
      </c>
      <c r="H171" s="32">
        <f>F171-G171</f>
        <v/>
      </c>
      <c r="I171" s="29" t="n"/>
    </row>
    <row r="172">
      <c r="A172" s="29" t="n">
        <v>1185</v>
      </c>
      <c r="B172" s="30" t="inlineStr">
        <is>
          <t>VIC-TAS</t>
        </is>
      </c>
      <c r="C172" s="30" t="inlineStr">
        <is>
          <t>MIVFC2021</t>
        </is>
      </c>
      <c r="D172" s="30" t="inlineStr">
        <is>
          <t>Full time</t>
        </is>
      </c>
      <c r="E172" s="42">
        <f>VLOOKUP(A172,'[1]Virtus SAMPLE PositionHistorySa'!$A:$L,12,0)</f>
        <v/>
      </c>
      <c r="F172" s="31" t="inlineStr">
        <is>
          <t>9.32</t>
        </is>
      </c>
      <c r="G172" s="32">
        <f>VLOOKUP(A172,Sheet3!A:K,10,0)/38</f>
        <v/>
      </c>
      <c r="H172" s="32">
        <f>F172-G172</f>
        <v/>
      </c>
      <c r="I172" s="29" t="n"/>
    </row>
    <row r="173">
      <c r="A173" s="29" t="n">
        <v>1162</v>
      </c>
      <c r="B173" s="30" t="inlineStr">
        <is>
          <t>VIC-TAS</t>
        </is>
      </c>
      <c r="C173" s="30" t="inlineStr">
        <is>
          <t>MIVFC2021</t>
        </is>
      </c>
      <c r="D173" s="30" t="inlineStr">
        <is>
          <t>Part time</t>
        </is>
      </c>
      <c r="E173" s="42">
        <f>VLOOKUP(A173,'[1]Virtus SAMPLE PositionHistorySa'!$A:$L,12,0)</f>
        <v/>
      </c>
      <c r="F173" s="31" t="inlineStr">
        <is>
          <t>9.75</t>
        </is>
      </c>
      <c r="G173" s="32" t="n"/>
      <c r="H173" s="32" t="n"/>
      <c r="I173" s="29" t="n"/>
    </row>
    <row r="174">
      <c r="A174" s="29" t="n">
        <v>120</v>
      </c>
      <c r="B174" s="30" t="inlineStr">
        <is>
          <t>VIC-TAS</t>
        </is>
      </c>
      <c r="C174" s="30" t="inlineStr">
        <is>
          <t>TIVF2024</t>
        </is>
      </c>
      <c r="D174" s="30" t="inlineStr">
        <is>
          <t>Part time</t>
        </is>
      </c>
      <c r="E174" s="42">
        <f>VLOOKUP(A174,'[1]Virtus SAMPLE PositionHistorySa'!$A:$L,12,0)</f>
        <v/>
      </c>
      <c r="F174" s="31" t="inlineStr">
        <is>
          <t>4.29</t>
        </is>
      </c>
      <c r="G174" s="32" t="n"/>
      <c r="H174" s="32" t="n"/>
      <c r="I174" s="29" t="n"/>
    </row>
    <row r="175">
      <c r="A175" s="29" t="n">
        <v>30363</v>
      </c>
      <c r="B175" s="30" t="inlineStr">
        <is>
          <t>NSW-QLD</t>
        </is>
      </c>
      <c r="C175" s="30" t="inlineStr">
        <is>
          <t>IVFN2021</t>
        </is>
      </c>
      <c r="D175" s="30" t="inlineStr">
        <is>
          <t>Casual</t>
        </is>
      </c>
      <c r="E175" s="42">
        <f>VLOOKUP(A175,'[1]Virtus SAMPLE PositionHistorySa'!$A:$L,12,0)</f>
        <v/>
      </c>
      <c r="F175" s="31" t="inlineStr">
        <is>
          <t>4.22</t>
        </is>
      </c>
      <c r="G175" s="32" t="n"/>
      <c r="H175" s="32" t="n"/>
      <c r="I175" s="29" t="n"/>
    </row>
    <row r="176">
      <c r="A176" s="29" t="n">
        <v>20738</v>
      </c>
      <c r="B176" s="30" t="inlineStr">
        <is>
          <t>NSW-QLD</t>
        </is>
      </c>
      <c r="C176" s="30" t="inlineStr">
        <is>
          <t>IVFS2023</t>
        </is>
      </c>
      <c r="D176" s="30" t="inlineStr">
        <is>
          <t>Casual</t>
        </is>
      </c>
      <c r="E176" s="42">
        <f>VLOOKUP(A176,'[1]Virtus SAMPLE PositionHistorySa'!$A:$L,12,0)</f>
        <v/>
      </c>
      <c r="F176" s="31" t="inlineStr">
        <is>
          <t>4.66</t>
        </is>
      </c>
      <c r="G176" s="32" t="n"/>
      <c r="H176" s="32" t="n"/>
      <c r="I176" s="29" t="n"/>
    </row>
    <row r="177">
      <c r="A177" s="29" t="n">
        <v>30360</v>
      </c>
      <c r="B177" s="30" t="inlineStr">
        <is>
          <t>NSW-QLD</t>
        </is>
      </c>
      <c r="C177" s="30" t="inlineStr">
        <is>
          <t>IVFN2021</t>
        </is>
      </c>
      <c r="D177" s="30" t="inlineStr">
        <is>
          <t>Casual</t>
        </is>
      </c>
      <c r="E177" s="42">
        <f>VLOOKUP(A177,'[1]Virtus SAMPLE PositionHistorySa'!$A:$L,12,0)</f>
        <v/>
      </c>
      <c r="F177" s="31" t="inlineStr">
        <is>
          <t>4.37</t>
        </is>
      </c>
      <c r="G177" s="32" t="n"/>
      <c r="H177" s="32" t="n"/>
      <c r="I177" s="29" t="n"/>
    </row>
    <row r="178">
      <c r="A178" s="29" t="n">
        <v>20760</v>
      </c>
      <c r="B178" s="30" t="inlineStr">
        <is>
          <t>NSW-QLD</t>
        </is>
      </c>
      <c r="C178" s="30" t="inlineStr">
        <is>
          <t>IVFN2021</t>
        </is>
      </c>
      <c r="D178" s="30" t="inlineStr">
        <is>
          <t>Full time</t>
        </is>
      </c>
      <c r="E178" s="42">
        <f>VLOOKUP(A178,'[1]Virtus SAMPLE PositionHistorySa'!$A:$L,12,0)</f>
        <v/>
      </c>
      <c r="F178" s="31" t="inlineStr">
        <is>
          <t>4.58</t>
        </is>
      </c>
      <c r="G178" s="32">
        <f>VLOOKUP(A178,Sheet3!A:K,10,0)/38</f>
        <v/>
      </c>
      <c r="H178" s="32">
        <f>F178-G178</f>
        <v/>
      </c>
      <c r="I178" s="29" t="n"/>
    </row>
    <row r="179">
      <c r="A179" s="29" t="n">
        <v>20756</v>
      </c>
      <c r="B179" s="30" t="inlineStr">
        <is>
          <t>NSW-QLD</t>
        </is>
      </c>
      <c r="C179" s="30" t="inlineStr">
        <is>
          <t>IVFN2021</t>
        </is>
      </c>
      <c r="D179" s="30" t="inlineStr">
        <is>
          <t>Full time</t>
        </is>
      </c>
      <c r="E179" s="42">
        <f>VLOOKUP(A179,'[1]Virtus SAMPLE PositionHistorySa'!$A:$L,12,0)</f>
        <v/>
      </c>
      <c r="F179" s="31" t="inlineStr">
        <is>
          <t>4.58</t>
        </is>
      </c>
      <c r="G179" s="32">
        <f>VLOOKUP(A179,Sheet3!A:K,10,0)/38</f>
        <v/>
      </c>
      <c r="H179" s="32">
        <f>F179-G179</f>
        <v/>
      </c>
      <c r="I179" s="29" t="n"/>
    </row>
    <row r="180">
      <c r="A180" s="29" t="n">
        <v>20784</v>
      </c>
      <c r="B180" s="30" t="inlineStr">
        <is>
          <t>NSW-QLD</t>
        </is>
      </c>
      <c r="C180" s="30" t="inlineStr">
        <is>
          <t>IVFN2021</t>
        </is>
      </c>
      <c r="D180" s="30" t="inlineStr">
        <is>
          <t>Full time</t>
        </is>
      </c>
      <c r="E180" s="42">
        <f>VLOOKUP(A180,'[1]Virtus SAMPLE PositionHistorySa'!$A:$L,12,0)</f>
        <v/>
      </c>
      <c r="F180" s="31" t="inlineStr">
        <is>
          <t>4.43</t>
        </is>
      </c>
      <c r="G180" s="32">
        <f>VLOOKUP(A180,Sheet3!A:K,10,0)/38</f>
        <v/>
      </c>
      <c r="H180" s="32">
        <f>F180-G180</f>
        <v/>
      </c>
      <c r="I180" s="29" t="n"/>
    </row>
    <row r="181">
      <c r="A181" s="29" t="n">
        <v>118</v>
      </c>
      <c r="B181" s="30" t="inlineStr">
        <is>
          <t>VIC-TAS</t>
        </is>
      </c>
      <c r="C181" s="30" t="inlineStr">
        <is>
          <t>TIVF2024</t>
        </is>
      </c>
      <c r="D181" s="30" t="inlineStr">
        <is>
          <t>Part time</t>
        </is>
      </c>
      <c r="E181" s="42">
        <f>VLOOKUP(A181,'[1]Virtus SAMPLE PositionHistorySa'!$A:$L,12,0)</f>
        <v/>
      </c>
      <c r="F181" s="31" t="inlineStr">
        <is>
          <t>4.43</t>
        </is>
      </c>
      <c r="G181" s="32" t="n"/>
      <c r="H181" s="32" t="n"/>
      <c r="I181" s="29" t="n"/>
    </row>
    <row r="182">
      <c r="A182" s="29" t="n">
        <v>90133</v>
      </c>
      <c r="B182" s="30" t="inlineStr">
        <is>
          <t>NSW-QLD</t>
        </is>
      </c>
      <c r="C182" s="30" t="inlineStr">
        <is>
          <t>IVFS2023</t>
        </is>
      </c>
      <c r="D182" s="30" t="inlineStr">
        <is>
          <t>Full time</t>
        </is>
      </c>
      <c r="E182" s="42">
        <f>VLOOKUP(A182,'[1]Virtus SAMPLE PositionHistorySa'!$A:$L,12,0)</f>
        <v/>
      </c>
      <c r="F182" s="31" t="inlineStr">
        <is>
          <t>4.22</t>
        </is>
      </c>
      <c r="G182" s="32">
        <f>VLOOKUP(A182,Sheet3!A:K,10,0)/38</f>
        <v/>
      </c>
      <c r="H182" s="32">
        <f>F182-G182</f>
        <v/>
      </c>
      <c r="I182" s="29" t="n"/>
    </row>
    <row r="183">
      <c r="A183" s="29" t="n">
        <v>20817</v>
      </c>
      <c r="B183" s="30" t="inlineStr">
        <is>
          <t>NSW-QLD</t>
        </is>
      </c>
      <c r="C183" s="30" t="inlineStr">
        <is>
          <t>IVFS2023</t>
        </is>
      </c>
      <c r="D183" s="30" t="inlineStr">
        <is>
          <t>Casual</t>
        </is>
      </c>
      <c r="E183" s="42">
        <f>VLOOKUP(A183,'[1]Virtus SAMPLE PositionHistorySa'!$A:$L,12,0)</f>
        <v/>
      </c>
      <c r="F183" s="31" t="inlineStr">
        <is>
          <t>4.22</t>
        </is>
      </c>
      <c r="G183" s="32" t="n"/>
      <c r="H183" s="32" t="n"/>
      <c r="I183" s="29" t="n"/>
    </row>
    <row r="184">
      <c r="A184" s="29" t="n">
        <v>105</v>
      </c>
      <c r="B184" s="30" t="inlineStr">
        <is>
          <t>VIC-TAS</t>
        </is>
      </c>
      <c r="C184" s="30" t="inlineStr">
        <is>
          <t>TIVF2024</t>
        </is>
      </c>
      <c r="D184" s="30" t="inlineStr">
        <is>
          <t>Casual</t>
        </is>
      </c>
      <c r="E184" s="42">
        <f>VLOOKUP(A184,'[1]Virtus SAMPLE PositionHistorySa'!$A:$L,12,0)</f>
        <v/>
      </c>
      <c r="F184" s="31" t="inlineStr">
        <is>
          <t>3.72</t>
        </is>
      </c>
      <c r="G184" s="32" t="n"/>
      <c r="H184" s="32" t="n"/>
      <c r="I184" s="29" t="n"/>
    </row>
    <row r="185">
      <c r="A185" s="29" t="inlineStr">
        <is>
          <t>AU22752</t>
        </is>
      </c>
      <c r="B185" s="30" t="inlineStr">
        <is>
          <t>NSW-QLD</t>
        </is>
      </c>
      <c r="C185" s="30" t="inlineStr">
        <is>
          <t>QN2025</t>
        </is>
      </c>
      <c r="D185" s="30" t="inlineStr">
        <is>
          <t>Full time</t>
        </is>
      </c>
      <c r="E185" s="42">
        <f>VLOOKUP(A185,'[1]Virtus SAMPLE PositionHistorySa'!$A:$L,12,0)</f>
        <v/>
      </c>
      <c r="F185" s="31" t="inlineStr">
        <is>
          <t>6.87</t>
        </is>
      </c>
      <c r="G185" s="32">
        <f>VLOOKUP(A185,Sheet3!A:K,10,0)/38</f>
        <v/>
      </c>
      <c r="H185" s="32">
        <f>F185-G185</f>
        <v/>
      </c>
      <c r="I185" s="29" t="n"/>
    </row>
    <row r="186">
      <c r="A186" s="29" t="n">
        <v>20729</v>
      </c>
      <c r="B186" s="30" t="inlineStr">
        <is>
          <t>NSW-QLD</t>
        </is>
      </c>
      <c r="C186" s="30" t="inlineStr">
        <is>
          <t>IVFS2023</t>
        </is>
      </c>
      <c r="D186" s="30" t="inlineStr">
        <is>
          <t>Part time</t>
        </is>
      </c>
      <c r="E186" s="42">
        <f>VLOOKUP(A186,'[1]Virtus SAMPLE PositionHistorySa'!$A:$L,12,0)</f>
        <v/>
      </c>
      <c r="F186" s="31" t="inlineStr">
        <is>
          <t>4.86</t>
        </is>
      </c>
      <c r="G186" s="32" t="n"/>
      <c r="H186" s="32" t="n"/>
      <c r="I186" s="29" t="n"/>
    </row>
    <row r="187">
      <c r="A187" s="29" t="n">
        <v>40116</v>
      </c>
      <c r="B187" s="30" t="inlineStr">
        <is>
          <t>NSW-QLD</t>
        </is>
      </c>
      <c r="C187" s="30" t="inlineStr">
        <is>
          <t>IVFS2023</t>
        </is>
      </c>
      <c r="D187" s="30" t="inlineStr">
        <is>
          <t>Part time</t>
        </is>
      </c>
      <c r="E187" s="42">
        <f>VLOOKUP(A187,'[1]Virtus SAMPLE PositionHistorySa'!$A:$L,12,0)</f>
        <v/>
      </c>
      <c r="F187" s="31" t="inlineStr">
        <is>
          <t>4.86</t>
        </is>
      </c>
      <c r="G187" s="32" t="n"/>
      <c r="H187" s="32" t="n"/>
      <c r="I187" s="29" t="n"/>
    </row>
    <row r="188">
      <c r="A188" s="29" t="n">
        <v>109</v>
      </c>
      <c r="B188" s="30" t="inlineStr">
        <is>
          <t>VIC-TAS</t>
        </is>
      </c>
      <c r="C188" s="30" t="inlineStr">
        <is>
          <t>TIVF2024</t>
        </is>
      </c>
      <c r="D188" s="30" t="inlineStr">
        <is>
          <t>Casual</t>
        </is>
      </c>
      <c r="E188" s="42">
        <f>VLOOKUP(A188,'[1]Virtus SAMPLE PositionHistorySa'!$A:$L,12,0)</f>
        <v/>
      </c>
      <c r="F188" s="31" t="inlineStr">
        <is>
          <t>3.65</t>
        </is>
      </c>
      <c r="G188" s="32" t="n"/>
      <c r="H188" s="32" t="n"/>
      <c r="I188" s="29" t="n"/>
    </row>
    <row r="189">
      <c r="A189" s="29" t="n">
        <v>1193</v>
      </c>
      <c r="B189" s="30" t="inlineStr">
        <is>
          <t>VIC-TAS</t>
        </is>
      </c>
      <c r="C189" s="30" t="inlineStr">
        <is>
          <t>MIVFN2023</t>
        </is>
      </c>
      <c r="D189" s="30" t="inlineStr">
        <is>
          <t>Part time</t>
        </is>
      </c>
      <c r="E189" s="42">
        <f>VLOOKUP(A189,'[1]Virtus SAMPLE PositionHistorySa'!$A:$L,12,0)</f>
        <v/>
      </c>
      <c r="F189" s="31" t="inlineStr">
        <is>
          <t>4.65</t>
        </is>
      </c>
      <c r="G189" s="32" t="n"/>
      <c r="H189" s="32" t="n"/>
      <c r="I189" s="29" t="n"/>
    </row>
    <row r="190">
      <c r="A190" s="29" t="n">
        <v>1228</v>
      </c>
      <c r="B190" s="30" t="inlineStr">
        <is>
          <t>VIC-TAS</t>
        </is>
      </c>
      <c r="C190" s="30" t="inlineStr">
        <is>
          <t>MIVFS2022</t>
        </is>
      </c>
      <c r="D190" s="30" t="inlineStr">
        <is>
          <t>Full time</t>
        </is>
      </c>
      <c r="E190" s="42">
        <f>VLOOKUP(A190,'[1]Virtus SAMPLE PositionHistorySa'!$A:$L,12,0)</f>
        <v/>
      </c>
      <c r="F190" s="31" t="inlineStr">
        <is>
          <t>4.28</t>
        </is>
      </c>
      <c r="G190" s="32">
        <f>VLOOKUP(A190,Sheet3!A:K,10,0)/38</f>
        <v/>
      </c>
      <c r="H190" s="32">
        <f>F190-G190</f>
        <v/>
      </c>
      <c r="I190" s="29" t="n"/>
    </row>
    <row r="191">
      <c r="A191" s="29" t="n">
        <v>97</v>
      </c>
      <c r="B191" s="30" t="inlineStr">
        <is>
          <t>VIC-TAS</t>
        </is>
      </c>
      <c r="C191" s="30" t="inlineStr">
        <is>
          <t>TIVF2024</t>
        </is>
      </c>
      <c r="D191" s="30" t="inlineStr">
        <is>
          <t>Full time</t>
        </is>
      </c>
      <c r="E191" s="42">
        <f>VLOOKUP(A191,'[1]Virtus SAMPLE PositionHistorySa'!$A:$L,12,0)</f>
        <v/>
      </c>
      <c r="F191" s="31" t="inlineStr">
        <is>
          <t>4.93</t>
        </is>
      </c>
      <c r="G191" s="32">
        <f>VLOOKUP(A191,Sheet3!A:K,10,0)/38</f>
        <v/>
      </c>
      <c r="H191" s="32">
        <f>F191-G191</f>
        <v/>
      </c>
      <c r="I191" s="29" t="n"/>
    </row>
    <row r="192">
      <c r="A192" s="29" t="n">
        <v>99</v>
      </c>
      <c r="B192" s="30" t="inlineStr">
        <is>
          <t>VIC-TAS</t>
        </is>
      </c>
      <c r="C192" s="30" t="inlineStr">
        <is>
          <t>TIVF2024</t>
        </is>
      </c>
      <c r="D192" s="30" t="inlineStr">
        <is>
          <t>Part time</t>
        </is>
      </c>
      <c r="E192" s="42">
        <f>VLOOKUP(A192,'[1]Virtus SAMPLE PositionHistorySa'!$A:$L,12,0)</f>
        <v/>
      </c>
      <c r="F192" s="31" t="inlineStr">
        <is>
          <t>4.93</t>
        </is>
      </c>
      <c r="G192" s="32" t="n"/>
      <c r="H192" s="32" t="n"/>
      <c r="I192" s="29" t="n"/>
    </row>
    <row r="193">
      <c r="A193" s="29" t="n">
        <v>20771</v>
      </c>
      <c r="B193" s="30" t="inlineStr">
        <is>
          <t>NSW-QLD</t>
        </is>
      </c>
      <c r="C193" s="30" t="inlineStr">
        <is>
          <t>IVFT2024</t>
        </is>
      </c>
      <c r="D193" s="30" t="inlineStr">
        <is>
          <t>Full time</t>
        </is>
      </c>
      <c r="E193" s="42">
        <f>VLOOKUP(A193,'[1]Virtus SAMPLE PositionHistorySa'!$A:$L,12,0)</f>
        <v/>
      </c>
      <c r="F193" s="31" t="inlineStr">
        <is>
          <t>4.50</t>
        </is>
      </c>
      <c r="G193" s="32">
        <f>VLOOKUP(A193,Sheet3!A:K,10,0)/38</f>
        <v/>
      </c>
      <c r="H193" s="32">
        <f>F193-G193</f>
        <v/>
      </c>
      <c r="I193" s="29" t="n"/>
    </row>
    <row r="194">
      <c r="A194" s="29" t="n">
        <v>20773</v>
      </c>
      <c r="B194" s="30" t="inlineStr">
        <is>
          <t>NSW-QLD</t>
        </is>
      </c>
      <c r="C194" s="30" t="inlineStr">
        <is>
          <t>IVFT2024</t>
        </is>
      </c>
      <c r="D194" s="30" t="inlineStr">
        <is>
          <t>Full time</t>
        </is>
      </c>
      <c r="E194" s="42">
        <f>VLOOKUP(A194,'[1]Virtus SAMPLE PositionHistorySa'!$A:$L,12,0)</f>
        <v/>
      </c>
      <c r="F194" s="31" t="inlineStr">
        <is>
          <t>4.50</t>
        </is>
      </c>
      <c r="G194" s="32">
        <f>VLOOKUP(A194,Sheet3!A:K,10,0)/38</f>
        <v/>
      </c>
      <c r="H194" s="32">
        <f>F194-G194</f>
        <v/>
      </c>
      <c r="I194" s="29" t="n"/>
    </row>
    <row r="195">
      <c r="A195" s="29" t="n">
        <v>80342</v>
      </c>
      <c r="B195" s="30" t="inlineStr">
        <is>
          <t>NSW-QLD</t>
        </is>
      </c>
      <c r="C195" s="30" t="inlineStr">
        <is>
          <t>QS2024</t>
        </is>
      </c>
      <c r="D195" s="30" t="inlineStr">
        <is>
          <t>Full time</t>
        </is>
      </c>
      <c r="E195" s="42">
        <f>VLOOKUP(A195,'[1]Virtus SAMPLE PositionHistorySa'!$A:$L,12,0)</f>
        <v/>
      </c>
      <c r="F195" s="31" t="inlineStr">
        <is>
          <t>4.71</t>
        </is>
      </c>
      <c r="G195" s="32">
        <f>VLOOKUP(A195,Sheet3!A:K,10,0)/38</f>
        <v/>
      </c>
      <c r="H195" s="32">
        <f>F195-G195</f>
        <v/>
      </c>
      <c r="I195" s="29" t="n"/>
    </row>
    <row r="196">
      <c r="A196" s="29" t="n">
        <v>80343</v>
      </c>
      <c r="B196" s="30" t="inlineStr">
        <is>
          <t>NSW-QLD</t>
        </is>
      </c>
      <c r="C196" s="30" t="inlineStr">
        <is>
          <t>QN2025</t>
        </is>
      </c>
      <c r="D196" s="30" t="inlineStr">
        <is>
          <t>Part time</t>
        </is>
      </c>
      <c r="E196" s="42">
        <f>VLOOKUP(A196,'[1]Virtus SAMPLE PositionHistorySa'!$A:$L,12,0)</f>
        <v/>
      </c>
      <c r="F196" s="31" t="inlineStr">
        <is>
          <t>7.07</t>
        </is>
      </c>
      <c r="G196" s="32" t="n"/>
      <c r="H196" s="32" t="n"/>
      <c r="I196" s="29" t="n"/>
    </row>
    <row r="197">
      <c r="A197" s="29" t="n">
        <v>80364</v>
      </c>
      <c r="B197" s="30" t="inlineStr">
        <is>
          <t>NSW-QLD</t>
        </is>
      </c>
      <c r="C197" s="30" t="inlineStr">
        <is>
          <t>IVFS2023</t>
        </is>
      </c>
      <c r="D197" s="30" t="inlineStr">
        <is>
          <t>Full time</t>
        </is>
      </c>
      <c r="E197" s="42">
        <f>VLOOKUP(A197,'[1]Virtus SAMPLE PositionHistorySa'!$A:$L,12,0)</f>
        <v/>
      </c>
      <c r="F197" s="31" t="inlineStr">
        <is>
          <t>4.50</t>
        </is>
      </c>
      <c r="G197" s="32">
        <f>VLOOKUP(A197,Sheet3!A:K,10,0)/38</f>
        <v/>
      </c>
      <c r="H197" s="32">
        <f>F197-G197</f>
        <v/>
      </c>
      <c r="I197" s="29" t="n"/>
    </row>
    <row r="198">
      <c r="A198" s="29" t="n">
        <v>30356</v>
      </c>
      <c r="B198" s="30" t="inlineStr">
        <is>
          <t>NSW-QLD</t>
        </is>
      </c>
      <c r="C198" s="30" t="inlineStr">
        <is>
          <t>IVFN2021</t>
        </is>
      </c>
      <c r="D198" s="30" t="inlineStr">
        <is>
          <t>Casual</t>
        </is>
      </c>
      <c r="E198" s="42">
        <f>VLOOKUP(A198,'[1]Virtus SAMPLE PositionHistorySa'!$A:$L,12,0)</f>
        <v/>
      </c>
      <c r="F198" s="31" t="inlineStr">
        <is>
          <t>4.93</t>
        </is>
      </c>
      <c r="G198" s="32" t="n"/>
      <c r="H198" s="32" t="n"/>
      <c r="I198" s="29" t="n"/>
    </row>
    <row r="199">
      <c r="A199" s="29" t="n">
        <v>20780</v>
      </c>
      <c r="B199" s="30" t="inlineStr">
        <is>
          <t>NSW-QLD</t>
        </is>
      </c>
      <c r="C199" s="30" t="inlineStr">
        <is>
          <t>IVFS2023</t>
        </is>
      </c>
      <c r="D199" s="30" t="inlineStr">
        <is>
          <t>Part time</t>
        </is>
      </c>
      <c r="E199" s="42">
        <f>VLOOKUP(A199,'[1]Virtus SAMPLE PositionHistorySa'!$A:$L,12,0)</f>
        <v/>
      </c>
      <c r="F199" s="31" t="inlineStr">
        <is>
          <t>4.49</t>
        </is>
      </c>
      <c r="G199" s="32" t="n"/>
      <c r="H199" s="32" t="n"/>
      <c r="I199" s="29" t="n"/>
    </row>
    <row r="200">
      <c r="A200" s="29" t="n">
        <v>20798</v>
      </c>
      <c r="B200" s="30" t="inlineStr">
        <is>
          <t>NSW-QLD</t>
        </is>
      </c>
      <c r="C200" s="30" t="inlineStr">
        <is>
          <t>IVFN2021</t>
        </is>
      </c>
      <c r="D200" s="30" t="inlineStr">
        <is>
          <t>Full time</t>
        </is>
      </c>
      <c r="E200" s="42">
        <f>VLOOKUP(A200,'[1]Virtus SAMPLE PositionHistorySa'!$A:$L,12,0)</f>
        <v/>
      </c>
      <c r="F200" s="31" t="inlineStr">
        <is>
          <t>4.35</t>
        </is>
      </c>
      <c r="G200" s="32">
        <f>VLOOKUP(A200,Sheet3!A:K,10,0)/38</f>
        <v/>
      </c>
      <c r="H200" s="32">
        <f>F200-G200</f>
        <v/>
      </c>
      <c r="I200" s="29" t="n"/>
    </row>
    <row r="201">
      <c r="A201" s="29" t="n">
        <v>20797</v>
      </c>
      <c r="B201" s="30" t="inlineStr">
        <is>
          <t>NSW-QLD</t>
        </is>
      </c>
      <c r="C201" s="30" t="inlineStr">
        <is>
          <t>IVFN2021</t>
        </is>
      </c>
      <c r="D201" s="30" t="inlineStr">
        <is>
          <t>Part time</t>
        </is>
      </c>
      <c r="E201" s="42">
        <f>VLOOKUP(A201,'[1]Virtus SAMPLE PositionHistorySa'!$A:$L,12,0)</f>
        <v/>
      </c>
      <c r="F201" s="31" t="inlineStr">
        <is>
          <t>4.35</t>
        </is>
      </c>
      <c r="G201" s="32" t="n"/>
      <c r="H201" s="32" t="n"/>
      <c r="I201" s="29" t="n"/>
    </row>
    <row r="202">
      <c r="A202" s="29" t="n">
        <v>125</v>
      </c>
      <c r="B202" s="30" t="inlineStr">
        <is>
          <t>VIC-TAS</t>
        </is>
      </c>
      <c r="C202" s="30" t="inlineStr">
        <is>
          <t>TIVF2024</t>
        </is>
      </c>
      <c r="D202" s="30" t="inlineStr">
        <is>
          <t>Full time</t>
        </is>
      </c>
      <c r="E202" s="42">
        <f>VLOOKUP(A202,'[1]Virtus SAMPLE PositionHistorySa'!$A:$L,12,0)</f>
        <v/>
      </c>
      <c r="F202" s="31" t="inlineStr">
        <is>
          <t>4.02</t>
        </is>
      </c>
      <c r="G202" s="32">
        <f>VLOOKUP(A202,Sheet3!A:K,10,0)/38</f>
        <v/>
      </c>
      <c r="H202" s="32">
        <f>F202-G202</f>
        <v/>
      </c>
      <c r="I202" s="29" t="n"/>
    </row>
    <row r="203">
      <c r="A203" s="29" t="n">
        <v>1256</v>
      </c>
      <c r="B203" s="30" t="inlineStr">
        <is>
          <t>VIC-TAS</t>
        </is>
      </c>
      <c r="C203" s="30" t="inlineStr">
        <is>
          <t>MIVFS2022</t>
        </is>
      </c>
      <c r="D203" s="30" t="inlineStr">
        <is>
          <t>Full time</t>
        </is>
      </c>
      <c r="E203" s="42">
        <f>VLOOKUP(A203,'[1]Virtus SAMPLE PositionHistorySa'!$A:$L,12,0)</f>
        <v/>
      </c>
      <c r="F203" s="31" t="inlineStr">
        <is>
          <t>4.02</t>
        </is>
      </c>
      <c r="G203" s="32">
        <f>VLOOKUP(A203,Sheet3!A:K,10,0)/38</f>
        <v/>
      </c>
      <c r="H203" s="32">
        <f>F203-G203</f>
        <v/>
      </c>
      <c r="I203" s="29" t="n"/>
    </row>
    <row r="204">
      <c r="A204" s="29" t="n">
        <v>20836</v>
      </c>
      <c r="B204" s="30" t="inlineStr">
        <is>
          <t>NSW-QLD</t>
        </is>
      </c>
      <c r="C204" s="30" t="inlineStr">
        <is>
          <t>NSW</t>
        </is>
      </c>
      <c r="D204" s="30" t="inlineStr">
        <is>
          <t>Full time</t>
        </is>
      </c>
      <c r="E204" s="42">
        <f>VLOOKUP(A204,'[1]Virtus SAMPLE PositionHistorySa'!$A:$L,12,0)</f>
        <v/>
      </c>
      <c r="F204" s="31" t="inlineStr">
        <is>
          <t>4.02</t>
        </is>
      </c>
      <c r="G204" s="32">
        <f>VLOOKUP(A204,Sheet3!A:K,10,0)/38</f>
        <v/>
      </c>
      <c r="H204" s="32">
        <f>F204-G204</f>
        <v/>
      </c>
      <c r="I204" s="29" t="n"/>
    </row>
    <row r="205">
      <c r="A205" s="29" t="n">
        <v>80398</v>
      </c>
      <c r="B205" s="30" t="inlineStr">
        <is>
          <t>NSW-QLD</t>
        </is>
      </c>
      <c r="C205" s="30" t="inlineStr">
        <is>
          <t>QLD</t>
        </is>
      </c>
      <c r="D205" s="30" t="inlineStr">
        <is>
          <t>Full time</t>
        </is>
      </c>
      <c r="E205" s="42">
        <f>VLOOKUP(A205,'[1]Virtus SAMPLE PositionHistorySa'!$A:$L,12,0)</f>
        <v/>
      </c>
      <c r="F205" s="31" t="inlineStr">
        <is>
          <t>4.02</t>
        </is>
      </c>
      <c r="G205" s="32">
        <f>VLOOKUP(A205,Sheet3!A:K,10,0)/38</f>
        <v/>
      </c>
      <c r="H205" s="32">
        <f>F205-G205</f>
        <v/>
      </c>
      <c r="I205" s="29" t="n"/>
    </row>
    <row r="206">
      <c r="A206" s="29" t="n">
        <v>1258</v>
      </c>
      <c r="B206" s="30" t="inlineStr">
        <is>
          <t>VIC-TAS</t>
        </is>
      </c>
      <c r="C206" s="30" t="inlineStr">
        <is>
          <t>MIVFN2023</t>
        </is>
      </c>
      <c r="D206" s="30" t="inlineStr">
        <is>
          <t>Part time</t>
        </is>
      </c>
      <c r="E206" s="42">
        <f>VLOOKUP(A206,'[1]Virtus SAMPLE PositionHistorySa'!$A:$L,12,0)</f>
        <v/>
      </c>
      <c r="F206" s="31" t="inlineStr">
        <is>
          <t>4.02</t>
        </is>
      </c>
      <c r="G206" s="32" t="n"/>
      <c r="H206" s="32" t="n"/>
      <c r="I206" s="29" t="n"/>
    </row>
    <row r="207">
      <c r="A207" s="29" t="n">
        <v>80400</v>
      </c>
      <c r="B207" s="30" t="inlineStr">
        <is>
          <t>NSW-QLD</t>
        </is>
      </c>
      <c r="C207" s="30" t="inlineStr">
        <is>
          <t>QN2025</t>
        </is>
      </c>
      <c r="D207" s="30" t="inlineStr">
        <is>
          <t>Part time</t>
        </is>
      </c>
      <c r="E207" s="42">
        <f>VLOOKUP(A207,'[1]Virtus SAMPLE PositionHistorySa'!$A:$L,12,0)</f>
        <v/>
      </c>
      <c r="F207" s="31" t="inlineStr">
        <is>
          <t>6.03</t>
        </is>
      </c>
      <c r="G207" s="32" t="n"/>
      <c r="H207" s="32" t="n"/>
      <c r="I207" s="29" t="n"/>
    </row>
    <row r="208">
      <c r="A208" s="29" t="n">
        <v>131</v>
      </c>
      <c r="B208" s="30" t="inlineStr">
        <is>
          <t>VIC-TAS</t>
        </is>
      </c>
      <c r="C208" s="30" t="inlineStr">
        <is>
          <t>TIVF2024</t>
        </is>
      </c>
      <c r="D208" s="30" t="inlineStr">
        <is>
          <t>Part time</t>
        </is>
      </c>
      <c r="E208" s="42">
        <f>VLOOKUP(A208,'[1]Virtus SAMPLE PositionHistorySa'!$A:$L,12,0)</f>
        <v/>
      </c>
      <c r="F208" s="31" t="inlineStr">
        <is>
          <t>3.65</t>
        </is>
      </c>
      <c r="G208" s="32" t="n"/>
      <c r="H208" s="32" t="n"/>
      <c r="I208" s="29" t="n"/>
    </row>
    <row r="209">
      <c r="A209" s="29" t="inlineStr">
        <is>
          <t>AU22610</t>
        </is>
      </c>
      <c r="B209" s="30" t="inlineStr">
        <is>
          <t>NSW-QLD</t>
        </is>
      </c>
      <c r="C209" s="30" t="inlineStr">
        <is>
          <t>IVFS2023</t>
        </is>
      </c>
      <c r="D209" s="30" t="inlineStr">
        <is>
          <t>Full time</t>
        </is>
      </c>
      <c r="E209" s="42">
        <f>VLOOKUP(A209,'[1]Virtus SAMPLE PositionHistorySa'!$A:$L,12,0)</f>
        <v/>
      </c>
      <c r="F209" s="31" t="inlineStr">
        <is>
          <t>4.01</t>
        </is>
      </c>
      <c r="G209" s="32">
        <f>VLOOKUP(A209,Sheet3!A:K,10,0)/38</f>
        <v/>
      </c>
      <c r="H209" s="32">
        <f>F209-G209</f>
        <v/>
      </c>
      <c r="I209" s="29" t="n"/>
    </row>
    <row r="210">
      <c r="A210" s="29" t="n">
        <v>20849</v>
      </c>
      <c r="B210" s="30" t="inlineStr">
        <is>
          <t>NSW-QLD</t>
        </is>
      </c>
      <c r="C210" s="30" t="inlineStr">
        <is>
          <t>IVFN2021</t>
        </is>
      </c>
      <c r="D210" s="30" t="inlineStr">
        <is>
          <t>Full time</t>
        </is>
      </c>
      <c r="E210" s="42">
        <f>VLOOKUP(A210,'[1]Virtus SAMPLE PositionHistorySa'!$A:$L,12,0)</f>
        <v/>
      </c>
      <c r="F210" s="31" t="inlineStr">
        <is>
          <t>3.87</t>
        </is>
      </c>
      <c r="G210" s="32">
        <f>VLOOKUP(A210,Sheet3!A:K,10,0)/38</f>
        <v/>
      </c>
      <c r="H210" s="32">
        <f>F210-G210</f>
        <v/>
      </c>
      <c r="I210" s="29" t="n"/>
    </row>
    <row r="211">
      <c r="A211" s="29" t="n">
        <v>20851</v>
      </c>
      <c r="B211" s="30" t="inlineStr">
        <is>
          <t>NSW-QLD</t>
        </is>
      </c>
      <c r="C211" s="30" t="inlineStr">
        <is>
          <t>IVFN2021</t>
        </is>
      </c>
      <c r="D211" s="30" t="inlineStr">
        <is>
          <t>Full time</t>
        </is>
      </c>
      <c r="E211" s="42">
        <f>VLOOKUP(A211,'[1]Virtus SAMPLE PositionHistorySa'!$A:$L,12,0)</f>
        <v/>
      </c>
      <c r="F211" s="31" t="inlineStr">
        <is>
          <t>3.87</t>
        </is>
      </c>
      <c r="G211" s="32">
        <f>VLOOKUP(A211,Sheet3!A:K,10,0)/38</f>
        <v/>
      </c>
      <c r="H211" s="32">
        <f>F211-G211</f>
        <v/>
      </c>
      <c r="I211" s="29" t="n"/>
    </row>
    <row r="212">
      <c r="A212" s="29" t="n">
        <v>50200</v>
      </c>
      <c r="B212" s="30" t="inlineStr">
        <is>
          <t>NSW-QLD</t>
        </is>
      </c>
      <c r="C212" s="30" t="inlineStr">
        <is>
          <t>IVFS2023</t>
        </is>
      </c>
      <c r="D212" s="30" t="inlineStr">
        <is>
          <t>Part time</t>
        </is>
      </c>
      <c r="E212" s="42">
        <f>VLOOKUP(A212,'[1]Virtus SAMPLE PositionHistorySa'!$A:$L,12,0)</f>
        <v/>
      </c>
      <c r="F212" s="31" t="inlineStr">
        <is>
          <t>3.87</t>
        </is>
      </c>
      <c r="G212" s="32" t="n"/>
      <c r="H212" s="32" t="n"/>
      <c r="I212" s="29" t="n"/>
    </row>
    <row r="213">
      <c r="A213" s="29" t="n">
        <v>30371</v>
      </c>
      <c r="B213" s="30" t="inlineStr">
        <is>
          <t>NSW-QLD</t>
        </is>
      </c>
      <c r="C213" s="30" t="inlineStr">
        <is>
          <t>IVFN2021</t>
        </is>
      </c>
      <c r="D213" s="30" t="inlineStr">
        <is>
          <t>Part time</t>
        </is>
      </c>
      <c r="E213" s="42">
        <f>VLOOKUP(A213,'[1]Virtus SAMPLE PositionHistorySa'!$A:$L,12,0)</f>
        <v/>
      </c>
      <c r="F213" s="31" t="inlineStr">
        <is>
          <t>3.65</t>
        </is>
      </c>
      <c r="G213" s="32" t="n"/>
      <c r="H213" s="32" t="n"/>
      <c r="I213" s="29" t="n"/>
    </row>
    <row r="214">
      <c r="A214" s="29" t="n">
        <v>1313</v>
      </c>
      <c r="B214" s="30" t="inlineStr">
        <is>
          <t>VIC-TAS</t>
        </is>
      </c>
      <c r="C214" s="30" t="inlineStr">
        <is>
          <t>MIVFS2022</t>
        </is>
      </c>
      <c r="D214" s="30" t="inlineStr">
        <is>
          <t>Full time</t>
        </is>
      </c>
      <c r="E214" s="42">
        <f>VLOOKUP(A214,'[1]Virtus SAMPLE PositionHistorySa'!$A:$L,12,0)</f>
        <v/>
      </c>
      <c r="F214" s="31" t="inlineStr">
        <is>
          <t>3.43</t>
        </is>
      </c>
      <c r="G214" s="32">
        <f>VLOOKUP(A214,Sheet3!A:K,10,0)/38</f>
        <v/>
      </c>
      <c r="H214" s="32">
        <f>F214-G214</f>
        <v/>
      </c>
      <c r="I214" s="29" t="n"/>
    </row>
    <row r="215">
      <c r="A215" s="29" t="n">
        <v>1316</v>
      </c>
      <c r="B215" s="30" t="inlineStr">
        <is>
          <t>VIC-TAS</t>
        </is>
      </c>
      <c r="C215" s="30" t="inlineStr">
        <is>
          <t>MIVFS2022</t>
        </is>
      </c>
      <c r="D215" s="30" t="inlineStr">
        <is>
          <t>Full time</t>
        </is>
      </c>
      <c r="E215" s="42">
        <f>VLOOKUP(A215,'[1]Virtus SAMPLE PositionHistorySa'!$A:$L,12,0)</f>
        <v/>
      </c>
      <c r="F215" s="31" t="inlineStr">
        <is>
          <t>3.43</t>
        </is>
      </c>
      <c r="G215" s="32">
        <f>VLOOKUP(A215,Sheet3!A:K,10,0)/38</f>
        <v/>
      </c>
      <c r="H215" s="32">
        <f>F215-G215</f>
        <v/>
      </c>
      <c r="I215" s="29" t="n"/>
    </row>
    <row r="216">
      <c r="A216" s="29" t="n">
        <v>1317</v>
      </c>
      <c r="B216" s="30" t="inlineStr">
        <is>
          <t>VIC-TAS</t>
        </is>
      </c>
      <c r="C216" s="30" t="inlineStr">
        <is>
          <t>MIVFS2022</t>
        </is>
      </c>
      <c r="D216" s="30" t="inlineStr">
        <is>
          <t>Full time</t>
        </is>
      </c>
      <c r="E216" s="42">
        <f>VLOOKUP(A216,'[1]Virtus SAMPLE PositionHistorySa'!$A:$L,12,0)</f>
        <v/>
      </c>
      <c r="F216" s="31" t="inlineStr">
        <is>
          <t>3.43</t>
        </is>
      </c>
      <c r="G216" s="32">
        <f>VLOOKUP(A216,Sheet3!A:K,10,0)/38</f>
        <v/>
      </c>
      <c r="H216" s="32">
        <f>F216-G216</f>
        <v/>
      </c>
      <c r="I216" s="29" t="n"/>
    </row>
    <row r="217">
      <c r="A217" s="29" t="n">
        <v>1237</v>
      </c>
      <c r="B217" s="30" t="inlineStr">
        <is>
          <t>VIC-TAS</t>
        </is>
      </c>
      <c r="C217" s="30" t="inlineStr">
        <is>
          <t>MIVFS2022</t>
        </is>
      </c>
      <c r="D217" s="30" t="inlineStr">
        <is>
          <t>Part time</t>
        </is>
      </c>
      <c r="E217" s="42">
        <f>VLOOKUP(A217,'[1]Virtus SAMPLE PositionHistorySa'!$A:$L,12,0)</f>
        <v/>
      </c>
      <c r="F217" s="31" t="inlineStr">
        <is>
          <t>4.15</t>
        </is>
      </c>
      <c r="G217" s="32" t="n"/>
      <c r="H217" s="32" t="n"/>
      <c r="I217" s="29" t="n"/>
    </row>
    <row r="218">
      <c r="A218" s="29" t="n">
        <v>30369</v>
      </c>
      <c r="B218" s="30" t="inlineStr">
        <is>
          <t>NSW-QLD</t>
        </is>
      </c>
      <c r="C218" s="30" t="inlineStr">
        <is>
          <t>IVFN2021</t>
        </is>
      </c>
      <c r="D218" s="30" t="inlineStr">
        <is>
          <t>Casual</t>
        </is>
      </c>
      <c r="E218" s="42">
        <f>VLOOKUP(A218,'[1]Virtus SAMPLE PositionHistorySa'!$A:$L,12,0)</f>
        <v/>
      </c>
      <c r="F218" s="31" t="inlineStr">
        <is>
          <t>3.86</t>
        </is>
      </c>
      <c r="G218" s="32" t="n"/>
      <c r="H218" s="32" t="n"/>
      <c r="I218" s="29" t="n"/>
    </row>
    <row r="219">
      <c r="A219" s="29" t="n">
        <v>1276</v>
      </c>
      <c r="B219" s="30" t="inlineStr">
        <is>
          <t>VIC-TAS</t>
        </is>
      </c>
      <c r="C219" s="30" t="inlineStr">
        <is>
          <t>MIVFC2021</t>
        </is>
      </c>
      <c r="D219" s="30" t="inlineStr">
        <is>
          <t>Part time</t>
        </is>
      </c>
      <c r="E219" s="42">
        <f>VLOOKUP(A219,'[1]Virtus SAMPLE PositionHistorySa'!$A:$L,12,0)</f>
        <v/>
      </c>
      <c r="F219" s="31" t="inlineStr">
        <is>
          <t>7.44</t>
        </is>
      </c>
      <c r="G219" s="32" t="n"/>
      <c r="H219" s="32" t="n"/>
      <c r="I219" s="29" t="n"/>
    </row>
    <row r="220">
      <c r="A220" s="29" t="n">
        <v>80438</v>
      </c>
      <c r="B220" s="30" t="inlineStr">
        <is>
          <t>NSW-QLD</t>
        </is>
      </c>
      <c r="C220" s="30" t="inlineStr">
        <is>
          <t>IVFS2023</t>
        </is>
      </c>
      <c r="D220" s="30" t="inlineStr">
        <is>
          <t>Part time</t>
        </is>
      </c>
      <c r="E220" s="42">
        <f>VLOOKUP(A220,'[1]Virtus SAMPLE PositionHistorySa'!$A:$L,12,0)</f>
        <v/>
      </c>
      <c r="F220" s="31" t="inlineStr">
        <is>
          <t>3.50</t>
        </is>
      </c>
      <c r="G220" s="32" t="n"/>
      <c r="H220" s="32" t="n"/>
      <c r="I220" s="29" t="n"/>
    </row>
    <row r="221">
      <c r="A221" s="29" t="n">
        <v>1262</v>
      </c>
      <c r="B221" s="30" t="inlineStr">
        <is>
          <t>VIC-TAS</t>
        </is>
      </c>
      <c r="C221" s="30" t="inlineStr">
        <is>
          <t>IVFS2023</t>
        </is>
      </c>
      <c r="D221" s="30" t="inlineStr">
        <is>
          <t>Casual</t>
        </is>
      </c>
      <c r="E221" s="42">
        <f>VLOOKUP(A221,'[1]Virtus SAMPLE PositionHistorySa'!$A:$L,12,0)</f>
        <v/>
      </c>
      <c r="F221" s="31" t="inlineStr">
        <is>
          <t>3.93</t>
        </is>
      </c>
      <c r="G221" s="32" t="n"/>
      <c r="H221" s="32" t="n"/>
      <c r="I221" s="29" t="n"/>
    </row>
    <row r="222">
      <c r="A222" s="29" t="n">
        <v>40137</v>
      </c>
      <c r="B222" s="30" t="inlineStr">
        <is>
          <t>NSW-QLD</t>
        </is>
      </c>
      <c r="C222" s="30" t="inlineStr">
        <is>
          <t>IVFN2021</t>
        </is>
      </c>
      <c r="D222" s="30" t="inlineStr">
        <is>
          <t>Casual</t>
        </is>
      </c>
      <c r="E222" s="42">
        <f>VLOOKUP(A222,'[1]Virtus SAMPLE PositionHistorySa'!$A:$L,12,0)</f>
        <v/>
      </c>
      <c r="F222" s="31" t="inlineStr">
        <is>
          <t>3.93</t>
        </is>
      </c>
      <c r="G222" s="32" t="n"/>
      <c r="H222" s="32" t="n"/>
      <c r="I222" s="29" t="n"/>
    </row>
    <row r="223">
      <c r="A223" s="29" t="n">
        <v>90139</v>
      </c>
      <c r="B223" s="30" t="inlineStr">
        <is>
          <t>NSW-QLD</t>
        </is>
      </c>
      <c r="C223" s="30" t="inlineStr">
        <is>
          <t>NSW</t>
        </is>
      </c>
      <c r="D223" s="30" t="inlineStr">
        <is>
          <t>Full time</t>
        </is>
      </c>
      <c r="E223" s="42">
        <f>VLOOKUP(A223,'[1]Virtus SAMPLE PositionHistorySa'!$A:$L,12,0)</f>
        <v/>
      </c>
      <c r="F223" s="31" t="inlineStr">
        <is>
          <t>3.57</t>
        </is>
      </c>
      <c r="G223" s="32">
        <f>VLOOKUP(A223,Sheet3!A:K,10,0)/38</f>
        <v/>
      </c>
      <c r="H223" s="32">
        <f>F223-G223</f>
        <v/>
      </c>
      <c r="I223" s="29" t="n"/>
    </row>
    <row r="224">
      <c r="A224" s="29" t="n">
        <v>1293</v>
      </c>
      <c r="B224" s="30" t="inlineStr">
        <is>
          <t>VIC-TAS</t>
        </is>
      </c>
      <c r="C224" s="30" t="inlineStr">
        <is>
          <t>MIVFN2023</t>
        </is>
      </c>
      <c r="D224" s="30" t="inlineStr">
        <is>
          <t>Part time</t>
        </is>
      </c>
      <c r="E224" s="42">
        <f>VLOOKUP(A224,'[1]Virtus SAMPLE PositionHistorySa'!$A:$L,12,0)</f>
        <v/>
      </c>
      <c r="F224" s="31" t="inlineStr">
        <is>
          <t>3.57</t>
        </is>
      </c>
      <c r="G224" s="32" t="n"/>
      <c r="H224" s="32" t="n"/>
      <c r="I224" s="29" t="n"/>
    </row>
    <row r="225">
      <c r="A225" s="29" t="n">
        <v>20893</v>
      </c>
      <c r="B225" s="30" t="inlineStr">
        <is>
          <t>NSW-QLD</t>
        </is>
      </c>
      <c r="C225" s="30" t="inlineStr">
        <is>
          <t>NSW</t>
        </is>
      </c>
      <c r="D225" s="30" t="inlineStr">
        <is>
          <t>Full time</t>
        </is>
      </c>
      <c r="E225" s="42">
        <f>VLOOKUP(A225,'[1]Virtus SAMPLE PositionHistorySa'!$A:$L,12,0)</f>
        <v/>
      </c>
      <c r="F225" s="31" t="inlineStr">
        <is>
          <t>3.35</t>
        </is>
      </c>
      <c r="G225" s="32">
        <f>VLOOKUP(A225,Sheet3!A:K,10,0)/38</f>
        <v/>
      </c>
      <c r="H225" s="32">
        <f>F225-G225</f>
        <v/>
      </c>
      <c r="I225" s="29" t="n"/>
    </row>
    <row r="226">
      <c r="A226" s="29" t="n">
        <v>1261</v>
      </c>
      <c r="B226" s="30" t="inlineStr">
        <is>
          <t>VIC-TAS</t>
        </is>
      </c>
      <c r="C226" s="30" t="inlineStr">
        <is>
          <t>MIVFN2023</t>
        </is>
      </c>
      <c r="D226" s="30" t="inlineStr">
        <is>
          <t>Full time</t>
        </is>
      </c>
      <c r="E226" s="42">
        <f>VLOOKUP(A226,'[1]Virtus SAMPLE PositionHistorySa'!$A:$L,12,0)</f>
        <v/>
      </c>
      <c r="F226" s="31" t="inlineStr">
        <is>
          <t>3.93</t>
        </is>
      </c>
      <c r="G226" s="32">
        <f>VLOOKUP(A226,Sheet3!A:K,10,0)/38</f>
        <v/>
      </c>
      <c r="H226" s="32">
        <f>F226-G226</f>
        <v/>
      </c>
      <c r="I226" s="29" t="n"/>
    </row>
    <row r="227">
      <c r="A227" s="29" t="n">
        <v>20860</v>
      </c>
      <c r="B227" s="30" t="inlineStr">
        <is>
          <t>NSW-QLD</t>
        </is>
      </c>
      <c r="C227" s="30" t="inlineStr">
        <is>
          <t>IVFS2023</t>
        </is>
      </c>
      <c r="D227" s="30" t="inlineStr">
        <is>
          <t>Full time</t>
        </is>
      </c>
      <c r="E227" s="42">
        <f>VLOOKUP(A227,'[1]Virtus SAMPLE PositionHistorySa'!$A:$L,12,0)</f>
        <v/>
      </c>
      <c r="F227" s="31" t="inlineStr">
        <is>
          <t>3.78</t>
        </is>
      </c>
      <c r="G227" s="32">
        <f>VLOOKUP(A227,Sheet3!A:K,10,0)/38</f>
        <v/>
      </c>
      <c r="H227" s="32">
        <f>F227-G227</f>
        <v/>
      </c>
      <c r="I227" s="29" t="n"/>
    </row>
    <row r="228">
      <c r="A228" s="29" t="n">
        <v>20859</v>
      </c>
      <c r="B228" s="30" t="inlineStr">
        <is>
          <t>NSW-QLD</t>
        </is>
      </c>
      <c r="C228" s="30" t="inlineStr">
        <is>
          <t>IVFS2023</t>
        </is>
      </c>
      <c r="D228" s="30" t="inlineStr">
        <is>
          <t>Full time</t>
        </is>
      </c>
      <c r="E228" s="42">
        <f>VLOOKUP(A228,'[1]Virtus SAMPLE PositionHistorySa'!$A:$L,12,0)</f>
        <v/>
      </c>
      <c r="F228" s="31" t="inlineStr">
        <is>
          <t>3.78</t>
        </is>
      </c>
      <c r="G228" s="32">
        <f>VLOOKUP(A228,Sheet3!A:K,10,0)/38</f>
        <v/>
      </c>
      <c r="H228" s="32">
        <f>F228-G228</f>
        <v/>
      </c>
      <c r="I228" s="29" t="n"/>
    </row>
    <row r="229">
      <c r="A229" s="29" t="n">
        <v>50202</v>
      </c>
      <c r="B229" s="30" t="inlineStr">
        <is>
          <t>NSW-QLD</t>
        </is>
      </c>
      <c r="C229" s="30" t="inlineStr">
        <is>
          <t>IVFN2021</t>
        </is>
      </c>
      <c r="D229" s="30" t="inlineStr">
        <is>
          <t>Part time</t>
        </is>
      </c>
      <c r="E229" s="42">
        <f>VLOOKUP(A229,'[1]Virtus SAMPLE PositionHistorySa'!$A:$L,12,0)</f>
        <v/>
      </c>
      <c r="F229" s="31" t="inlineStr">
        <is>
          <t>3.78</t>
        </is>
      </c>
      <c r="G229" s="32" t="n"/>
      <c r="H229" s="32" t="n"/>
      <c r="I229" s="29" t="n"/>
    </row>
    <row r="230">
      <c r="A230" s="29" t="n">
        <v>136</v>
      </c>
      <c r="B230" s="30" t="inlineStr">
        <is>
          <t>VIC-TAS</t>
        </is>
      </c>
      <c r="C230" s="30" t="inlineStr">
        <is>
          <t>TIVF2024</t>
        </is>
      </c>
      <c r="D230" s="30" t="inlineStr">
        <is>
          <t>Full time</t>
        </is>
      </c>
      <c r="E230" s="42">
        <f>VLOOKUP(A230,'[1]Virtus SAMPLE PositionHistorySa'!$A:$L,12,0)</f>
        <v/>
      </c>
      <c r="F230" s="31" t="inlineStr">
        <is>
          <t>3.50</t>
        </is>
      </c>
      <c r="G230" s="32">
        <f>VLOOKUP(A230,Sheet3!A:K,10,0)/38</f>
        <v/>
      </c>
      <c r="H230" s="32">
        <f>F230-G230</f>
        <v/>
      </c>
      <c r="I230" s="29" t="n"/>
    </row>
    <row r="231">
      <c r="A231" s="29" t="n">
        <v>20882</v>
      </c>
      <c r="B231" s="30" t="inlineStr">
        <is>
          <t>NSW-QLD</t>
        </is>
      </c>
      <c r="C231" s="30" t="inlineStr">
        <is>
          <t>IVFN2021</t>
        </is>
      </c>
      <c r="D231" s="30" t="inlineStr">
        <is>
          <t>Full time</t>
        </is>
      </c>
      <c r="E231" s="42">
        <f>VLOOKUP(A231,'[1]Virtus SAMPLE PositionHistorySa'!$A:$L,12,0)</f>
        <v/>
      </c>
      <c r="F231" s="31" t="inlineStr">
        <is>
          <t>3.42</t>
        </is>
      </c>
      <c r="G231" s="32">
        <f>VLOOKUP(A231,Sheet3!A:K,10,0)/38</f>
        <v/>
      </c>
      <c r="H231" s="32">
        <f>F231-G231</f>
        <v/>
      </c>
      <c r="I231" s="29" t="n"/>
    </row>
    <row r="232">
      <c r="A232" s="29" t="n">
        <v>1284</v>
      </c>
      <c r="B232" s="30" t="inlineStr">
        <is>
          <t>VIC-TAS</t>
        </is>
      </c>
      <c r="C232" s="30" t="inlineStr">
        <is>
          <t>MIVFS2022</t>
        </is>
      </c>
      <c r="D232" s="30" t="inlineStr">
        <is>
          <t>Full time</t>
        </is>
      </c>
      <c r="E232" s="42">
        <f>VLOOKUP(A232,'[1]Virtus SAMPLE PositionHistorySa'!$A:$L,12,0)</f>
        <v/>
      </c>
      <c r="F232" s="31" t="inlineStr">
        <is>
          <t>3.64</t>
        </is>
      </c>
      <c r="G232" s="32">
        <f>VLOOKUP(A232,Sheet3!A:K,10,0)/38</f>
        <v/>
      </c>
      <c r="H232" s="32">
        <f>F232-G232</f>
        <v/>
      </c>
      <c r="I232" s="29" t="n"/>
    </row>
    <row r="233">
      <c r="A233" s="29" t="n">
        <v>30372</v>
      </c>
      <c r="B233" s="30" t="inlineStr">
        <is>
          <t>NSW-QLD</t>
        </is>
      </c>
      <c r="C233" s="30" t="inlineStr">
        <is>
          <t>IVFN2021</t>
        </is>
      </c>
      <c r="D233" s="30" t="inlineStr">
        <is>
          <t>Casual</t>
        </is>
      </c>
      <c r="E233" s="42">
        <f>VLOOKUP(A233,'[1]Virtus SAMPLE PositionHistorySa'!$A:$L,12,0)</f>
        <v/>
      </c>
      <c r="F233" s="31" t="inlineStr">
        <is>
          <t>3.64</t>
        </is>
      </c>
      <c r="G233" s="32" t="n"/>
      <c r="H233" s="32" t="n"/>
      <c r="I233" s="29" t="n"/>
    </row>
    <row r="234">
      <c r="A234" s="29" t="n">
        <v>1250</v>
      </c>
      <c r="B234" s="30" t="inlineStr">
        <is>
          <t>VIC-TAS</t>
        </is>
      </c>
      <c r="C234" s="30" t="inlineStr">
        <is>
          <t>MIVFS2022</t>
        </is>
      </c>
      <c r="D234" s="30" t="inlineStr">
        <is>
          <t>Full time</t>
        </is>
      </c>
      <c r="E234" s="42">
        <f>VLOOKUP(A234,'[1]Virtus SAMPLE PositionHistorySa'!$A:$L,12,0)</f>
        <v/>
      </c>
      <c r="F234" s="31" t="inlineStr">
        <is>
          <t>4.06</t>
        </is>
      </c>
      <c r="G234" s="32">
        <f>VLOOKUP(A234,Sheet3!A:K,10,0)/38</f>
        <v/>
      </c>
      <c r="H234" s="32">
        <f>F234-G234</f>
        <v/>
      </c>
      <c r="I234" s="29" t="n"/>
    </row>
    <row r="235">
      <c r="A235" s="29" t="n">
        <v>80413</v>
      </c>
      <c r="B235" s="30" t="inlineStr">
        <is>
          <t>NSW-QLD</t>
        </is>
      </c>
      <c r="C235" s="30" t="inlineStr">
        <is>
          <t>IVFC2022</t>
        </is>
      </c>
      <c r="D235" s="30">
        <f>VLOOKUP(A235,Sheet3!A:E,5,0)</f>
        <v/>
      </c>
      <c r="E235" s="42">
        <f>VLOOKUP(A235,'[1]Virtus SAMPLE PositionHistorySa'!$A:$L,12,0)</f>
        <v/>
      </c>
      <c r="F235" s="31" t="inlineStr">
        <is>
          <t>3.85</t>
        </is>
      </c>
      <c r="G235" s="32" t="n"/>
      <c r="H235" s="32" t="n"/>
      <c r="I235" s="29" t="n"/>
    </row>
    <row r="236">
      <c r="A236" s="29" t="n">
        <v>140</v>
      </c>
      <c r="B236" s="30" t="inlineStr">
        <is>
          <t>VIC-TAS</t>
        </is>
      </c>
      <c r="C236" s="30" t="inlineStr">
        <is>
          <t>TIVF2024</t>
        </is>
      </c>
      <c r="D236" s="30" t="inlineStr">
        <is>
          <t>Full time</t>
        </is>
      </c>
      <c r="E236" s="42">
        <f>VLOOKUP(A236,'[1]Virtus SAMPLE PositionHistorySa'!$A:$L,12,0)</f>
        <v/>
      </c>
      <c r="F236" s="31" t="inlineStr">
        <is>
          <t>3.34</t>
        </is>
      </c>
      <c r="G236" s="32">
        <f>VLOOKUP(A236,Sheet3!A:K,10,0)/38</f>
        <v/>
      </c>
      <c r="H236" s="32">
        <f>F236-G236</f>
        <v/>
      </c>
      <c r="I236" s="29" t="n"/>
    </row>
    <row r="237">
      <c r="A237" s="29" t="n">
        <v>20820</v>
      </c>
      <c r="B237" s="30" t="inlineStr">
        <is>
          <t>NSW-QLD</t>
        </is>
      </c>
      <c r="C237" s="30" t="inlineStr">
        <is>
          <t>IVFT2024</t>
        </is>
      </c>
      <c r="D237" s="30" t="inlineStr">
        <is>
          <t>Full time</t>
        </is>
      </c>
      <c r="E237" s="42">
        <f>VLOOKUP(A237,'[1]Virtus SAMPLE PositionHistorySa'!$A:$L,12,0)</f>
        <v/>
      </c>
      <c r="F237" s="31" t="inlineStr">
        <is>
          <t>4.13</t>
        </is>
      </c>
      <c r="G237" s="32">
        <f>VLOOKUP(A237,Sheet3!A:K,10,0)/38</f>
        <v/>
      </c>
      <c r="H237" s="32">
        <f>F237-G237</f>
        <v/>
      </c>
      <c r="I237" s="29" t="n"/>
    </row>
    <row r="238">
      <c r="A238" s="29" t="n">
        <v>1238</v>
      </c>
      <c r="B238" s="30" t="inlineStr">
        <is>
          <t>VIC-TAS</t>
        </is>
      </c>
      <c r="C238" s="30" t="inlineStr">
        <is>
          <t>MIVFN2023</t>
        </is>
      </c>
      <c r="D238" s="30" t="inlineStr">
        <is>
          <t>Part time</t>
        </is>
      </c>
      <c r="E238" s="42">
        <f>VLOOKUP(A238,'[1]Virtus SAMPLE PositionHistorySa'!$A:$L,12,0)</f>
        <v/>
      </c>
      <c r="F238" s="31" t="inlineStr">
        <is>
          <t>4.13</t>
        </is>
      </c>
      <c r="G238" s="32" t="n"/>
      <c r="H238" s="32" t="n"/>
      <c r="I238" s="29" t="n"/>
    </row>
    <row r="239">
      <c r="A239" s="29" t="n">
        <v>1239</v>
      </c>
      <c r="B239" s="30" t="inlineStr">
        <is>
          <t>VIC-TAS</t>
        </is>
      </c>
      <c r="C239" s="30" t="inlineStr">
        <is>
          <t>MIVFN2023</t>
        </is>
      </c>
      <c r="D239" s="30" t="inlineStr">
        <is>
          <t>Part time</t>
        </is>
      </c>
      <c r="E239" s="42">
        <f>VLOOKUP(A239,'[1]Virtus SAMPLE PositionHistorySa'!$A:$L,12,0)</f>
        <v/>
      </c>
      <c r="F239" s="31" t="inlineStr">
        <is>
          <t>4.13</t>
        </is>
      </c>
      <c r="G239" s="32" t="n"/>
      <c r="H239" s="32" t="n"/>
      <c r="I239" s="29" t="n"/>
    </row>
    <row r="240">
      <c r="A240" s="29" t="n">
        <v>1240</v>
      </c>
      <c r="B240" s="30" t="inlineStr">
        <is>
          <t>VIC-TAS</t>
        </is>
      </c>
      <c r="C240" s="30" t="inlineStr">
        <is>
          <t>MIVFN2023</t>
        </is>
      </c>
      <c r="D240" s="30" t="inlineStr">
        <is>
          <t>Part time</t>
        </is>
      </c>
      <c r="E240" s="42">
        <f>VLOOKUP(A240,'[1]Virtus SAMPLE PositionHistorySa'!$A:$L,12,0)</f>
        <v/>
      </c>
      <c r="F240" s="31" t="inlineStr">
        <is>
          <t>4.13</t>
        </is>
      </c>
      <c r="G240" s="32" t="n"/>
      <c r="H240" s="32" t="n"/>
      <c r="I240" s="29" t="n"/>
    </row>
    <row r="241">
      <c r="A241" s="29" t="n">
        <v>1241</v>
      </c>
      <c r="B241" s="30" t="inlineStr">
        <is>
          <t>VIC-TAS</t>
        </is>
      </c>
      <c r="C241" s="30" t="inlineStr">
        <is>
          <t>MIVFN2023</t>
        </is>
      </c>
      <c r="D241" s="30" t="inlineStr">
        <is>
          <t>Part time</t>
        </is>
      </c>
      <c r="E241" s="42">
        <f>VLOOKUP(A241,'[1]Virtus SAMPLE PositionHistorySa'!$A:$L,12,0)</f>
        <v/>
      </c>
      <c r="F241" s="31" t="inlineStr">
        <is>
          <t>4.13</t>
        </is>
      </c>
      <c r="G241" s="32" t="n"/>
      <c r="H241" s="32" t="n"/>
      <c r="I241" s="29" t="n"/>
    </row>
    <row r="242">
      <c r="A242" s="29" t="n">
        <v>1311</v>
      </c>
      <c r="B242" s="30" t="inlineStr">
        <is>
          <t>VIC-TAS</t>
        </is>
      </c>
      <c r="C242" s="30" t="inlineStr">
        <is>
          <t>MIVFS2022</t>
        </is>
      </c>
      <c r="D242" s="30" t="inlineStr">
        <is>
          <t>Full time</t>
        </is>
      </c>
      <c r="E242" s="42">
        <f>VLOOKUP(A242,'[1]Virtus SAMPLE PositionHistorySa'!$A:$L,12,0)</f>
        <v/>
      </c>
      <c r="F242" s="31" t="inlineStr">
        <is>
          <t>3.49</t>
        </is>
      </c>
      <c r="G242" s="32">
        <f>VLOOKUP(A242,Sheet3!A:K,10,0)/38</f>
        <v/>
      </c>
      <c r="H242" s="32">
        <f>F242-G242</f>
        <v/>
      </c>
      <c r="I242" s="29" t="n"/>
    </row>
    <row r="243">
      <c r="A243" s="29" t="n">
        <v>1265</v>
      </c>
      <c r="B243" s="30" t="inlineStr">
        <is>
          <t>VIC-TAS</t>
        </is>
      </c>
      <c r="C243" s="30" t="inlineStr">
        <is>
          <t>MIVFN2023</t>
        </is>
      </c>
      <c r="D243" s="30" t="inlineStr">
        <is>
          <t>Full time</t>
        </is>
      </c>
      <c r="E243" s="42">
        <f>VLOOKUP(A243,'[1]Virtus SAMPLE PositionHistorySa'!$A:$L,12,0)</f>
        <v/>
      </c>
      <c r="F243" s="31" t="inlineStr">
        <is>
          <t>3.92</t>
        </is>
      </c>
      <c r="G243" s="32">
        <f>VLOOKUP(A243,Sheet3!A:K,10,0)/38</f>
        <v/>
      </c>
      <c r="H243" s="32">
        <f>F243-G243</f>
        <v/>
      </c>
      <c r="I243" s="29" t="n"/>
    </row>
    <row r="244">
      <c r="A244" s="29" t="n">
        <v>1263</v>
      </c>
      <c r="B244" s="30" t="inlineStr">
        <is>
          <t>VIC-TAS</t>
        </is>
      </c>
      <c r="C244" s="30" t="inlineStr">
        <is>
          <t>MIVFS2022</t>
        </is>
      </c>
      <c r="D244" s="30" t="inlineStr">
        <is>
          <t>Part time</t>
        </is>
      </c>
      <c r="E244" s="42">
        <f>VLOOKUP(A244,'[1]Virtus SAMPLE PositionHistorySa'!$A:$L,12,0)</f>
        <v/>
      </c>
      <c r="F244" s="31" t="inlineStr">
        <is>
          <t>3.92</t>
        </is>
      </c>
      <c r="G244" s="32" t="n"/>
      <c r="H244" s="32" t="n"/>
      <c r="I244" s="29" t="n"/>
    </row>
    <row r="245">
      <c r="A245" s="29" t="n">
        <v>20869</v>
      </c>
      <c r="B245" s="30" t="inlineStr">
        <is>
          <t>NSW-QLD</t>
        </is>
      </c>
      <c r="C245" s="30" t="inlineStr">
        <is>
          <t>NSW</t>
        </is>
      </c>
      <c r="D245" s="30" t="inlineStr">
        <is>
          <t>Full time</t>
        </is>
      </c>
      <c r="E245" s="42">
        <f>VLOOKUP(A245,'[1]Virtus SAMPLE PositionHistorySa'!$A:$L,12,0)</f>
        <v/>
      </c>
      <c r="F245" s="31" t="inlineStr">
        <is>
          <t>3.70</t>
        </is>
      </c>
      <c r="G245" s="32">
        <f>VLOOKUP(A245,Sheet3!A:K,10,0)/38</f>
        <v/>
      </c>
      <c r="H245" s="32">
        <f>F245-G245</f>
        <v/>
      </c>
      <c r="I245" s="29" t="n"/>
    </row>
    <row r="246">
      <c r="A246" s="29" t="n">
        <v>20867</v>
      </c>
      <c r="B246" s="30" t="inlineStr">
        <is>
          <t>NSW-QLD</t>
        </is>
      </c>
      <c r="C246" s="30" t="inlineStr">
        <is>
          <t>IVFT2024</t>
        </is>
      </c>
      <c r="D246" s="30" t="inlineStr">
        <is>
          <t>Full time</t>
        </is>
      </c>
      <c r="E246" s="42">
        <f>VLOOKUP(A246,'[1]Virtus SAMPLE PositionHistorySa'!$A:$L,12,0)</f>
        <v/>
      </c>
      <c r="F246" s="31" t="inlineStr">
        <is>
          <t>3.70</t>
        </is>
      </c>
      <c r="G246" s="32">
        <f>VLOOKUP(A246,Sheet3!A:K,10,0)/38</f>
        <v/>
      </c>
      <c r="H246" s="32">
        <f>F246-G246</f>
        <v/>
      </c>
      <c r="I246" s="29" t="n"/>
    </row>
    <row r="247">
      <c r="A247" s="29" t="n">
        <v>1286</v>
      </c>
      <c r="B247" s="30" t="inlineStr">
        <is>
          <t>VIC-TAS</t>
        </is>
      </c>
      <c r="C247" s="30" t="inlineStr">
        <is>
          <t>VIC</t>
        </is>
      </c>
      <c r="D247" s="30" t="inlineStr">
        <is>
          <t>Part time</t>
        </is>
      </c>
      <c r="E247" s="42">
        <f>VLOOKUP(A247,'[1]Virtus SAMPLE PositionHistorySa'!$A:$L,12,0)</f>
        <v/>
      </c>
      <c r="F247" s="31" t="inlineStr">
        <is>
          <t>3.70</t>
        </is>
      </c>
      <c r="G247" s="32" t="n"/>
      <c r="H247" s="32" t="n"/>
      <c r="I247" s="29" t="n"/>
    </row>
    <row r="248">
      <c r="A248" s="29" t="inlineStr">
        <is>
          <t>AU22490</t>
        </is>
      </c>
      <c r="B248" s="30" t="inlineStr">
        <is>
          <t>NSW-QLD</t>
        </is>
      </c>
      <c r="C248" s="30" t="inlineStr">
        <is>
          <t>IVFS2023</t>
        </is>
      </c>
      <c r="D248" s="30" t="inlineStr">
        <is>
          <t>Casual</t>
        </is>
      </c>
      <c r="E248" s="42">
        <f>VLOOKUP(A248,'[1]Virtus SAMPLE PositionHistorySa'!$A:$L,12,0)</f>
        <v/>
      </c>
      <c r="F248" s="31" t="inlineStr">
        <is>
          <t>2.79</t>
        </is>
      </c>
      <c r="G248" s="32" t="n"/>
      <c r="H248" s="32" t="n"/>
      <c r="I248" s="29" t="n"/>
    </row>
    <row r="249">
      <c r="A249" s="29" t="inlineStr">
        <is>
          <t>AU22520</t>
        </is>
      </c>
      <c r="B249" s="30" t="inlineStr">
        <is>
          <t>NSW-QLD</t>
        </is>
      </c>
      <c r="C249" s="30" t="inlineStr">
        <is>
          <t>IVFS2023</t>
        </is>
      </c>
      <c r="D249" s="30" t="inlineStr">
        <is>
          <t>Part time</t>
        </is>
      </c>
      <c r="E249" s="42">
        <f>VLOOKUP(A249,'[1]Virtus SAMPLE PositionHistorySa'!$A:$L,12,0)</f>
        <v/>
      </c>
      <c r="F249" s="31" t="inlineStr">
        <is>
          <t>2.79</t>
        </is>
      </c>
      <c r="G249" s="32" t="n"/>
      <c r="H249" s="32" t="n"/>
      <c r="I249" s="29" t="n"/>
    </row>
    <row r="250">
      <c r="A250" s="29" t="inlineStr">
        <is>
          <t>AU22547</t>
        </is>
      </c>
      <c r="B250" s="30" t="inlineStr">
        <is>
          <t>NSW-QLD</t>
        </is>
      </c>
      <c r="C250" s="30" t="inlineStr">
        <is>
          <t>QS2024</t>
        </is>
      </c>
      <c r="D250" s="30" t="inlineStr">
        <is>
          <t>Part time</t>
        </is>
      </c>
      <c r="E250" s="42">
        <f>VLOOKUP(A250,'[1]Virtus SAMPLE PositionHistorySa'!$A:$L,12,0)</f>
        <v/>
      </c>
      <c r="F250" s="31" t="inlineStr">
        <is>
          <t>2.79</t>
        </is>
      </c>
      <c r="G250" s="32" t="n"/>
      <c r="H250" s="32" t="n"/>
      <c r="I250" s="29" t="n"/>
    </row>
    <row r="251">
      <c r="A251" s="29" t="inlineStr">
        <is>
          <t>AU22615</t>
        </is>
      </c>
      <c r="B251" s="30" t="inlineStr">
        <is>
          <t>NSW-QLD</t>
        </is>
      </c>
      <c r="C251" s="30" t="inlineStr">
        <is>
          <t>QLD</t>
        </is>
      </c>
      <c r="D251" s="30" t="inlineStr">
        <is>
          <t>Full time</t>
        </is>
      </c>
      <c r="E251" s="42">
        <f>VLOOKUP(A251,'[1]Virtus SAMPLE PositionHistorySa'!$A:$L,12,0)</f>
        <v/>
      </c>
      <c r="F251" s="31" t="inlineStr">
        <is>
          <t>2.57</t>
        </is>
      </c>
      <c r="G251" s="32">
        <f>VLOOKUP(A251,Sheet3!A:K,10,0)/38</f>
        <v/>
      </c>
      <c r="H251" s="32">
        <f>F251-G251</f>
        <v/>
      </c>
      <c r="I251" s="29" t="n"/>
    </row>
    <row r="252">
      <c r="A252" s="29" t="inlineStr">
        <is>
          <t>AU22626</t>
        </is>
      </c>
      <c r="B252" s="30" t="inlineStr">
        <is>
          <t>NSW-QLD</t>
        </is>
      </c>
      <c r="C252" s="30" t="inlineStr">
        <is>
          <t>IVFS2023</t>
        </is>
      </c>
      <c r="D252" s="30" t="inlineStr">
        <is>
          <t>Part time</t>
        </is>
      </c>
      <c r="E252" s="42">
        <f>VLOOKUP(A252,'[1]Virtus SAMPLE PositionHistorySa'!$A:$L,12,0)</f>
        <v/>
      </c>
      <c r="F252" s="31" t="inlineStr">
        <is>
          <t>2.57</t>
        </is>
      </c>
      <c r="G252" s="32" t="n"/>
      <c r="H252" s="32" t="n"/>
      <c r="I252" s="29" t="n"/>
    </row>
    <row r="253">
      <c r="A253" s="29" t="n">
        <v>1464</v>
      </c>
      <c r="B253" s="30" t="inlineStr">
        <is>
          <t>VIC-TAS</t>
        </is>
      </c>
      <c r="C253" s="30" t="inlineStr">
        <is>
          <t>MIVFN2023</t>
        </is>
      </c>
      <c r="D253" s="30" t="inlineStr">
        <is>
          <t>Part time</t>
        </is>
      </c>
      <c r="E253" s="42">
        <f>VLOOKUP(A253,'[1]Virtus SAMPLE PositionHistorySa'!$A:$L,12,0)</f>
        <v/>
      </c>
      <c r="F253" s="31" t="inlineStr">
        <is>
          <t>3.00</t>
        </is>
      </c>
      <c r="G253" s="32" t="n"/>
      <c r="H253" s="32" t="n"/>
      <c r="I253" s="29" t="n"/>
    </row>
    <row r="254">
      <c r="A254" s="29" t="n">
        <v>50216</v>
      </c>
      <c r="B254" s="30" t="inlineStr">
        <is>
          <t>NSW-QLD</t>
        </is>
      </c>
      <c r="C254" s="30" t="inlineStr">
        <is>
          <t>IVFN2021</t>
        </is>
      </c>
      <c r="D254" s="30" t="inlineStr">
        <is>
          <t>Part time</t>
        </is>
      </c>
      <c r="E254" s="42">
        <f>VLOOKUP(A254,'[1]Virtus SAMPLE PositionHistorySa'!$A:$L,12,0)</f>
        <v/>
      </c>
      <c r="F254" s="31" t="inlineStr">
        <is>
          <t>3.00</t>
        </is>
      </c>
      <c r="G254" s="32" t="n"/>
      <c r="H254" s="32" t="n"/>
      <c r="I254" s="29" t="n"/>
    </row>
    <row r="255">
      <c r="A255" s="29" t="n">
        <v>20892</v>
      </c>
      <c r="B255" s="30" t="inlineStr">
        <is>
          <t>NSW-QLD</t>
        </is>
      </c>
      <c r="C255" s="30" t="inlineStr">
        <is>
          <t>IVFN2021</t>
        </is>
      </c>
      <c r="D255" s="30" t="inlineStr">
        <is>
          <t>Full time</t>
        </is>
      </c>
      <c r="E255" s="42">
        <f>VLOOKUP(A255,'[1]Virtus SAMPLE PositionHistorySa'!$A:$L,12,0)</f>
        <v/>
      </c>
      <c r="F255" s="31" t="inlineStr">
        <is>
          <t>3.29</t>
        </is>
      </c>
      <c r="G255" s="32">
        <f>VLOOKUP(A255,Sheet3!A:K,10,0)/38</f>
        <v/>
      </c>
      <c r="H255" s="32">
        <f>F255-G255</f>
        <v/>
      </c>
      <c r="I255" s="29" t="n"/>
    </row>
    <row r="256">
      <c r="A256" s="29" t="inlineStr">
        <is>
          <t>AU22562</t>
        </is>
      </c>
      <c r="B256" s="30" t="inlineStr">
        <is>
          <t>NSW-QLD</t>
        </is>
      </c>
      <c r="C256" s="30" t="inlineStr">
        <is>
          <t>IVFN2021</t>
        </is>
      </c>
      <c r="D256" s="30" t="inlineStr">
        <is>
          <t>Casual</t>
        </is>
      </c>
      <c r="E256" s="42">
        <f>VLOOKUP(A256,'[1]Virtus SAMPLE PositionHistorySa'!$A:$L,12,0)</f>
        <v/>
      </c>
      <c r="F256" s="31" t="inlineStr">
        <is>
          <t>2.71</t>
        </is>
      </c>
      <c r="G256" s="32" t="n"/>
      <c r="H256" s="32" t="n"/>
      <c r="I256" s="29" t="n"/>
    </row>
    <row r="257">
      <c r="A257" s="29" t="inlineStr">
        <is>
          <t>AU22590</t>
        </is>
      </c>
      <c r="B257" s="30" t="inlineStr">
        <is>
          <t>VIC-TAS</t>
        </is>
      </c>
      <c r="C257" s="30" t="inlineStr">
        <is>
          <t>MIVFN2023</t>
        </is>
      </c>
      <c r="D257" s="30" t="inlineStr">
        <is>
          <t>Full time</t>
        </is>
      </c>
      <c r="E257" s="42">
        <f>VLOOKUP(A257,'[1]Virtus SAMPLE PositionHistorySa'!$A:$L,12,0)</f>
        <v/>
      </c>
      <c r="F257" s="31" t="inlineStr">
        <is>
          <t>2.64</t>
        </is>
      </c>
      <c r="G257" s="32">
        <f>VLOOKUP(A257,Sheet3!A:K,10,0)/38</f>
        <v/>
      </c>
      <c r="H257" s="32">
        <f>F257-G257</f>
        <v/>
      </c>
      <c r="I257" s="29" t="n"/>
    </row>
    <row r="258">
      <c r="A258" s="29" t="inlineStr">
        <is>
          <t>AU22597</t>
        </is>
      </c>
      <c r="B258" s="30" t="inlineStr">
        <is>
          <t>VIC-TAS</t>
        </is>
      </c>
      <c r="C258" s="30" t="inlineStr">
        <is>
          <t>MIVFS2022</t>
        </is>
      </c>
      <c r="D258" s="30" t="inlineStr">
        <is>
          <t>Full time</t>
        </is>
      </c>
      <c r="E258" s="42">
        <f>VLOOKUP(A258,'[1]Virtus SAMPLE PositionHistorySa'!$A:$L,12,0)</f>
        <v/>
      </c>
      <c r="F258" s="31" t="inlineStr">
        <is>
          <t>2.64</t>
        </is>
      </c>
      <c r="G258" s="32">
        <f>VLOOKUP(A258,Sheet3!A:K,10,0)/38</f>
        <v/>
      </c>
      <c r="H258" s="32">
        <f>F258-G258</f>
        <v/>
      </c>
      <c r="I258" s="29" t="n"/>
    </row>
    <row r="259">
      <c r="A259" s="29" t="inlineStr">
        <is>
          <t>AU22581</t>
        </is>
      </c>
      <c r="B259" s="30" t="inlineStr">
        <is>
          <t>NSW-QLD</t>
        </is>
      </c>
      <c r="C259" s="30" t="inlineStr">
        <is>
          <t>QS2024</t>
        </is>
      </c>
      <c r="D259" s="30" t="inlineStr">
        <is>
          <t>Full time</t>
        </is>
      </c>
      <c r="E259" s="42">
        <f>VLOOKUP(A259,'[1]Virtus SAMPLE PositionHistorySa'!$A:$L,12,0)</f>
        <v/>
      </c>
      <c r="F259" s="31" t="inlineStr">
        <is>
          <t>2.64</t>
        </is>
      </c>
      <c r="G259" s="32">
        <f>VLOOKUP(A259,Sheet3!A:K,10,0)/38</f>
        <v/>
      </c>
      <c r="H259" s="32">
        <f>F259-G259</f>
        <v/>
      </c>
      <c r="I259" s="29" t="n"/>
    </row>
    <row r="260">
      <c r="A260" s="29" t="n">
        <v>20921</v>
      </c>
      <c r="B260" s="30" t="inlineStr">
        <is>
          <t>NSW-QLD</t>
        </is>
      </c>
      <c r="C260" s="30" t="inlineStr">
        <is>
          <t>IVFN2021</t>
        </is>
      </c>
      <c r="D260" s="30" t="inlineStr">
        <is>
          <t>Full time</t>
        </is>
      </c>
      <c r="E260" s="42">
        <f>VLOOKUP(A260,'[1]Virtus SAMPLE PositionHistorySa'!$A:$L,12,0)</f>
        <v/>
      </c>
      <c r="F260" s="31" t="inlineStr">
        <is>
          <t>3.07</t>
        </is>
      </c>
      <c r="G260" s="32">
        <f>VLOOKUP(A260,Sheet3!A:K,10,0)/38</f>
        <v/>
      </c>
      <c r="H260" s="32">
        <f>F260-G260</f>
        <v/>
      </c>
      <c r="I260" s="29" t="n"/>
    </row>
    <row r="261">
      <c r="A261" s="29" t="n">
        <v>1457</v>
      </c>
      <c r="B261" s="30" t="inlineStr">
        <is>
          <t>VIC-TAS</t>
        </is>
      </c>
      <c r="C261" s="30" t="inlineStr">
        <is>
          <t>MIVFS2022</t>
        </is>
      </c>
      <c r="D261" s="30" t="inlineStr">
        <is>
          <t>Part time</t>
        </is>
      </c>
      <c r="E261" s="42">
        <f>VLOOKUP(A261,'[1]Virtus SAMPLE PositionHistorySa'!$A:$L,12,0)</f>
        <v/>
      </c>
      <c r="F261" s="31" t="inlineStr">
        <is>
          <t>3.07</t>
        </is>
      </c>
      <c r="G261" s="32" t="n"/>
      <c r="H261" s="32" t="n"/>
      <c r="I261" s="29" t="n"/>
    </row>
    <row r="262">
      <c r="A262" s="29" t="n">
        <v>80462</v>
      </c>
      <c r="B262" s="30" t="inlineStr">
        <is>
          <t>NSW-QLD</t>
        </is>
      </c>
      <c r="C262" s="30" t="inlineStr">
        <is>
          <t>IVFS2023</t>
        </is>
      </c>
      <c r="D262" s="30">
        <f>VLOOKUP(A262,Sheet3!A:E,5,0)</f>
        <v/>
      </c>
      <c r="E262" s="42">
        <f>VLOOKUP(A262,'[1]Virtus SAMPLE PositionHistorySa'!$A:$L,12,0)</f>
        <v/>
      </c>
      <c r="F262" s="31" t="inlineStr">
        <is>
          <t>3.07</t>
        </is>
      </c>
      <c r="G262" s="32" t="n"/>
      <c r="H262" s="32" t="n"/>
      <c r="I262" s="29" t="n"/>
    </row>
    <row r="263">
      <c r="A263" s="29" t="inlineStr">
        <is>
          <t>AU22496</t>
        </is>
      </c>
      <c r="B263" s="30" t="inlineStr">
        <is>
          <t>NSW-QLD</t>
        </is>
      </c>
      <c r="C263" s="30" t="inlineStr">
        <is>
          <t>IVFC2022</t>
        </is>
      </c>
      <c r="D263" s="30" t="inlineStr">
        <is>
          <t>Part time</t>
        </is>
      </c>
      <c r="E263" s="42">
        <f>VLOOKUP(A263,'[1]Virtus SAMPLE PositionHistorySa'!$A:$L,12,0)</f>
        <v/>
      </c>
      <c r="F263" s="31" t="inlineStr">
        <is>
          <t>2.85</t>
        </is>
      </c>
      <c r="G263" s="32" t="n"/>
      <c r="H263" s="32" t="n"/>
      <c r="I263" s="29" t="n"/>
    </row>
    <row r="264">
      <c r="A264" s="29" t="inlineStr">
        <is>
          <t>AU22568</t>
        </is>
      </c>
      <c r="B264" s="30" t="inlineStr">
        <is>
          <t>VIC-TAS</t>
        </is>
      </c>
      <c r="C264" s="30" t="inlineStr">
        <is>
          <t>MIVFS2022</t>
        </is>
      </c>
      <c r="D264" s="30" t="inlineStr">
        <is>
          <t>Full time</t>
        </is>
      </c>
      <c r="E264" s="42">
        <f>VLOOKUP(A264,'[1]Virtus SAMPLE PositionHistorySa'!$A:$L,12,0)</f>
        <v/>
      </c>
      <c r="F264" s="31" t="inlineStr">
        <is>
          <t>2.71</t>
        </is>
      </c>
      <c r="G264" s="32">
        <f>VLOOKUP(A264,Sheet3!A:K,10,0)/38</f>
        <v/>
      </c>
      <c r="H264" s="32">
        <f>F264-G264</f>
        <v/>
      </c>
      <c r="I264" s="29" t="n"/>
    </row>
    <row r="265">
      <c r="A265" s="29" t="inlineStr">
        <is>
          <t>AU22546</t>
        </is>
      </c>
      <c r="B265" s="30" t="inlineStr">
        <is>
          <t>VIC-TAS</t>
        </is>
      </c>
      <c r="C265" s="30" t="inlineStr">
        <is>
          <t>MIVFS2022</t>
        </is>
      </c>
      <c r="D265" s="30" t="inlineStr">
        <is>
          <t>Part time</t>
        </is>
      </c>
      <c r="E265" s="42">
        <f>VLOOKUP(A265,'[1]Virtus SAMPLE PositionHistorySa'!$A:$L,12,0)</f>
        <v/>
      </c>
      <c r="F265" s="31" t="inlineStr">
        <is>
          <t>2.71</t>
        </is>
      </c>
      <c r="G265" s="32" t="n"/>
      <c r="H265" s="32" t="n"/>
      <c r="I265" s="29" t="n"/>
    </row>
    <row r="266">
      <c r="A266" s="29" t="n">
        <v>80470</v>
      </c>
      <c r="B266" s="30" t="inlineStr">
        <is>
          <t>NSW-QLD</t>
        </is>
      </c>
      <c r="C266" s="30" t="inlineStr">
        <is>
          <t>QN2025</t>
        </is>
      </c>
      <c r="D266" s="30" t="inlineStr">
        <is>
          <t>Full time</t>
        </is>
      </c>
      <c r="E266" s="42">
        <f>VLOOKUP(A266,'[1]Virtus SAMPLE PositionHistorySa'!$A:$L,12,0)</f>
        <v/>
      </c>
      <c r="F266" s="31" t="inlineStr">
        <is>
          <t>4.38</t>
        </is>
      </c>
      <c r="G266" s="32">
        <f>VLOOKUP(A266,Sheet3!A:K,10,0)/38</f>
        <v/>
      </c>
      <c r="H266" s="32">
        <f>F266-G266</f>
        <v/>
      </c>
      <c r="I266" s="29" t="n"/>
    </row>
    <row r="267">
      <c r="A267" s="29" t="n">
        <v>1334</v>
      </c>
      <c r="B267" s="30" t="inlineStr">
        <is>
          <t>VIC-TAS</t>
        </is>
      </c>
      <c r="C267" s="30" t="inlineStr">
        <is>
          <t>MIVFS2022</t>
        </is>
      </c>
      <c r="D267" s="30" t="inlineStr">
        <is>
          <t>Full time</t>
        </is>
      </c>
      <c r="E267" s="42">
        <f>VLOOKUP(A267,'[1]Virtus SAMPLE PositionHistorySa'!$A:$L,12,0)</f>
        <v/>
      </c>
      <c r="F267" s="31" t="inlineStr">
        <is>
          <t>3.20</t>
        </is>
      </c>
      <c r="G267" s="32">
        <f>VLOOKUP(A267,Sheet3!A:K,10,0)/38</f>
        <v/>
      </c>
      <c r="H267" s="32">
        <f>F267-G267</f>
        <v/>
      </c>
      <c r="I267" s="29" t="n"/>
    </row>
    <row r="268">
      <c r="A268" s="29" t="n">
        <v>1332</v>
      </c>
      <c r="B268" s="30" t="inlineStr">
        <is>
          <t>VIC-TAS</t>
        </is>
      </c>
      <c r="C268" s="30" t="inlineStr">
        <is>
          <t>MIVFN2023</t>
        </is>
      </c>
      <c r="D268" s="30" t="inlineStr">
        <is>
          <t>Full time</t>
        </is>
      </c>
      <c r="E268" s="42">
        <f>VLOOKUP(A268,'[1]Virtus SAMPLE PositionHistorySa'!$A:$L,12,0)</f>
        <v/>
      </c>
      <c r="F268" s="31" t="inlineStr">
        <is>
          <t>3.20</t>
        </is>
      </c>
      <c r="G268" s="32">
        <f>VLOOKUP(A268,Sheet3!A:K,10,0)/38</f>
        <v/>
      </c>
      <c r="H268" s="32">
        <f>F268-G268</f>
        <v/>
      </c>
      <c r="I268" s="29" t="n"/>
    </row>
    <row r="269">
      <c r="A269" s="29" t="n">
        <v>1338</v>
      </c>
      <c r="B269" s="30" t="inlineStr">
        <is>
          <t>VIC-TAS</t>
        </is>
      </c>
      <c r="C269" s="30" t="inlineStr">
        <is>
          <t>MIVFN2023</t>
        </is>
      </c>
      <c r="D269" s="30" t="inlineStr">
        <is>
          <t>Part time</t>
        </is>
      </c>
      <c r="E269" s="42">
        <f>VLOOKUP(A269,'[1]Virtus SAMPLE PositionHistorySa'!$A:$L,12,0)</f>
        <v/>
      </c>
      <c r="F269" s="31" t="inlineStr">
        <is>
          <t>3.20</t>
        </is>
      </c>
      <c r="G269" s="32" t="n"/>
      <c r="H269" s="32" t="n"/>
      <c r="I269" s="29" t="n"/>
    </row>
    <row r="270">
      <c r="A270" s="29" t="n">
        <v>80456</v>
      </c>
      <c r="B270" s="30" t="inlineStr">
        <is>
          <t>NSW-QLD</t>
        </is>
      </c>
      <c r="C270" s="30" t="inlineStr">
        <is>
          <t>IVFS2023</t>
        </is>
      </c>
      <c r="D270" s="30" t="inlineStr">
        <is>
          <t>Casual</t>
        </is>
      </c>
      <c r="E270" s="42">
        <f>VLOOKUP(A270,'[1]Virtus SAMPLE PositionHistorySa'!$A:$L,12,0)</f>
        <v/>
      </c>
      <c r="F270" s="31" t="inlineStr">
        <is>
          <t>3.14</t>
        </is>
      </c>
      <c r="G270" s="32" t="n"/>
      <c r="H270" s="32" t="n"/>
      <c r="I270" s="29" t="n"/>
    </row>
    <row r="271">
      <c r="A271" s="29" t="inlineStr">
        <is>
          <t>AU22495</t>
        </is>
      </c>
      <c r="B271" s="30" t="inlineStr">
        <is>
          <t>NSW-QLD</t>
        </is>
      </c>
      <c r="C271" s="30" t="inlineStr">
        <is>
          <t>NSW</t>
        </is>
      </c>
      <c r="D271" s="30" t="inlineStr">
        <is>
          <t>Full time</t>
        </is>
      </c>
      <c r="E271" s="42">
        <f>VLOOKUP(A271,'[1]Virtus SAMPLE PositionHistorySa'!$A:$L,12,0)</f>
        <v/>
      </c>
      <c r="F271" s="31" t="inlineStr">
        <is>
          <t>2.85</t>
        </is>
      </c>
      <c r="G271" s="32">
        <f>VLOOKUP(A271,Sheet3!A:K,10,0)/38</f>
        <v/>
      </c>
      <c r="H271" s="32">
        <f>F271-G271</f>
        <v/>
      </c>
      <c r="I271" s="29" t="n"/>
    </row>
    <row r="272">
      <c r="A272" s="29" t="inlineStr">
        <is>
          <t>AU22634</t>
        </is>
      </c>
      <c r="B272" s="30" t="inlineStr">
        <is>
          <t>NSW-QLD</t>
        </is>
      </c>
      <c r="C272" s="30" t="inlineStr">
        <is>
          <t>IVFN2021</t>
        </is>
      </c>
      <c r="D272" s="30" t="inlineStr">
        <is>
          <t>Full time</t>
        </is>
      </c>
      <c r="E272" s="42">
        <f>VLOOKUP(A272,'[1]Virtus SAMPLE PositionHistorySa'!$A:$L,12,0)</f>
        <v/>
      </c>
      <c r="F272" s="31" t="inlineStr">
        <is>
          <t>2.56</t>
        </is>
      </c>
      <c r="G272" s="32">
        <f>VLOOKUP(A272,Sheet3!A:K,10,0)/38</f>
        <v/>
      </c>
      <c r="H272" s="32">
        <f>F272-G272</f>
        <v/>
      </c>
      <c r="I272" s="29" t="n"/>
    </row>
    <row r="273">
      <c r="A273" s="29" t="inlineStr">
        <is>
          <t>AU22621</t>
        </is>
      </c>
      <c r="B273" s="30" t="inlineStr">
        <is>
          <t>NSW-QLD</t>
        </is>
      </c>
      <c r="C273" s="30" t="inlineStr">
        <is>
          <t>IVFN2021</t>
        </is>
      </c>
      <c r="D273" s="30" t="inlineStr">
        <is>
          <t>Full time</t>
        </is>
      </c>
      <c r="E273" s="42">
        <f>VLOOKUP(A273,'[1]Virtus SAMPLE PositionHistorySa'!$A:$L,12,0)</f>
        <v/>
      </c>
      <c r="F273" s="31" t="inlineStr">
        <is>
          <t>2.56</t>
        </is>
      </c>
      <c r="G273" s="32">
        <f>VLOOKUP(A273,Sheet3!A:K,10,0)/38</f>
        <v/>
      </c>
      <c r="H273" s="32">
        <f>F273-G273</f>
        <v/>
      </c>
      <c r="I273" s="29" t="n"/>
    </row>
    <row r="274">
      <c r="A274" s="29" t="inlineStr">
        <is>
          <t>AU22618</t>
        </is>
      </c>
      <c r="B274" s="30" t="inlineStr">
        <is>
          <t>NSW-QLD</t>
        </is>
      </c>
      <c r="C274" s="30" t="inlineStr">
        <is>
          <t>IVFS2023</t>
        </is>
      </c>
      <c r="D274" s="30" t="inlineStr">
        <is>
          <t>Full time</t>
        </is>
      </c>
      <c r="E274" s="42">
        <f>VLOOKUP(A274,'[1]Virtus SAMPLE PositionHistorySa'!$A:$L,12,0)</f>
        <v/>
      </c>
      <c r="F274" s="31" t="inlineStr">
        <is>
          <t>2.56</t>
        </is>
      </c>
      <c r="G274" s="32">
        <f>VLOOKUP(A274,Sheet3!A:K,10,0)/38</f>
        <v/>
      </c>
      <c r="H274" s="32">
        <f>F274-G274</f>
        <v/>
      </c>
      <c r="I274" s="29" t="n"/>
    </row>
    <row r="275">
      <c r="A275" s="29" t="inlineStr">
        <is>
          <t>AU22635</t>
        </is>
      </c>
      <c r="B275" s="30" t="inlineStr">
        <is>
          <t>VIC-TAS</t>
        </is>
      </c>
      <c r="C275" s="30" t="inlineStr">
        <is>
          <t>MIVFS2022</t>
        </is>
      </c>
      <c r="D275" s="30" t="inlineStr">
        <is>
          <t>Part time</t>
        </is>
      </c>
      <c r="E275" s="42">
        <f>VLOOKUP(A275,'[1]Virtus SAMPLE PositionHistorySa'!$A:$L,12,0)</f>
        <v/>
      </c>
      <c r="F275" s="31" t="inlineStr">
        <is>
          <t>2.56</t>
        </is>
      </c>
      <c r="G275" s="32" t="n"/>
      <c r="H275" s="32" t="n"/>
      <c r="I275" s="29" t="n"/>
    </row>
    <row r="276">
      <c r="A276" s="29" t="inlineStr">
        <is>
          <t>AU22661</t>
        </is>
      </c>
      <c r="B276" s="30" t="inlineStr">
        <is>
          <t>NSW-QLD</t>
        </is>
      </c>
      <c r="C276" s="30" t="inlineStr">
        <is>
          <t>IVFS2023</t>
        </is>
      </c>
      <c r="D276" s="30" t="inlineStr">
        <is>
          <t>Casual</t>
        </is>
      </c>
      <c r="E276" s="42">
        <f>VLOOKUP(A276,'[1]Virtus SAMPLE PositionHistorySa'!$A:$L,12,0)</f>
        <v/>
      </c>
      <c r="F276" s="31" t="inlineStr">
        <is>
          <t>2.56</t>
        </is>
      </c>
      <c r="G276" s="32" t="n"/>
      <c r="H276" s="32" t="n"/>
      <c r="I276" s="29" t="n"/>
    </row>
    <row r="277">
      <c r="A277" s="29" t="inlineStr">
        <is>
          <t>AU22505</t>
        </is>
      </c>
      <c r="B277" s="30" t="inlineStr">
        <is>
          <t>VIC-TAS</t>
        </is>
      </c>
      <c r="C277" s="30" t="inlineStr">
        <is>
          <t>MIVFS2022</t>
        </is>
      </c>
      <c r="D277" s="30" t="inlineStr">
        <is>
          <t>Full time</t>
        </is>
      </c>
      <c r="E277" s="42">
        <f>VLOOKUP(A277,'[1]Virtus SAMPLE PositionHistorySa'!$A:$L,12,0)</f>
        <v/>
      </c>
      <c r="F277" s="31" t="inlineStr">
        <is>
          <t>2.77</t>
        </is>
      </c>
      <c r="G277" s="32">
        <f>VLOOKUP(A277,Sheet3!A:K,10,0)/38</f>
        <v/>
      </c>
      <c r="H277" s="32">
        <f>F277-G277</f>
        <v/>
      </c>
      <c r="I277" s="29" t="n"/>
    </row>
    <row r="278">
      <c r="A278" s="29" t="inlineStr">
        <is>
          <t>AU22529</t>
        </is>
      </c>
      <c r="B278" s="30" t="inlineStr">
        <is>
          <t>NSW-QLD</t>
        </is>
      </c>
      <c r="C278" s="30" t="inlineStr">
        <is>
          <t>VIC</t>
        </is>
      </c>
      <c r="D278" s="30" t="inlineStr">
        <is>
          <t>Full time</t>
        </is>
      </c>
      <c r="E278" s="42">
        <f>VLOOKUP(A278,'[1]Virtus SAMPLE PositionHistorySa'!$A:$L,12,0)</f>
        <v/>
      </c>
      <c r="F278" s="31" t="inlineStr">
        <is>
          <t>2.77</t>
        </is>
      </c>
      <c r="G278" s="32">
        <f>VLOOKUP(A278,Sheet3!A:K,10,0)/38</f>
        <v/>
      </c>
      <c r="H278" s="32">
        <f>F278-G278</f>
        <v/>
      </c>
      <c r="I278" s="29" t="n"/>
    </row>
    <row r="279">
      <c r="A279" s="29" t="inlineStr">
        <is>
          <t>AU22552</t>
        </is>
      </c>
      <c r="B279" s="30" t="inlineStr">
        <is>
          <t>NSW-QLD</t>
        </is>
      </c>
      <c r="C279" s="30" t="inlineStr">
        <is>
          <t>IVFN2021</t>
        </is>
      </c>
      <c r="D279" s="30" t="inlineStr">
        <is>
          <t>Casual</t>
        </is>
      </c>
      <c r="E279" s="42">
        <f>VLOOKUP(A279,'[1]Virtus SAMPLE PositionHistorySa'!$A:$L,12,0)</f>
        <v/>
      </c>
      <c r="F279" s="31" t="inlineStr">
        <is>
          <t>2.77</t>
        </is>
      </c>
      <c r="G279" s="32" t="n"/>
      <c r="H279" s="32" t="n"/>
      <c r="I279" s="29" t="n"/>
    </row>
    <row r="280">
      <c r="A280" s="29" t="n">
        <v>1468</v>
      </c>
      <c r="B280" s="30" t="inlineStr">
        <is>
          <t>VIC-TAS</t>
        </is>
      </c>
      <c r="C280" s="30" t="inlineStr">
        <is>
          <t>MIVFS2022</t>
        </is>
      </c>
      <c r="D280" s="30" t="inlineStr">
        <is>
          <t>Full time</t>
        </is>
      </c>
      <c r="E280" s="42">
        <f>VLOOKUP(A280,'[1]Virtus SAMPLE PositionHistorySa'!$A:$L,12,0)</f>
        <v/>
      </c>
      <c r="F280" s="31" t="inlineStr">
        <is>
          <t>2.99</t>
        </is>
      </c>
      <c r="G280" s="32">
        <f>VLOOKUP(A280,Sheet3!A:K,10,0)/38</f>
        <v/>
      </c>
      <c r="H280" s="32">
        <f>F280-G280</f>
        <v/>
      </c>
      <c r="I280" s="29" t="n"/>
    </row>
    <row r="281">
      <c r="A281" s="29" t="n">
        <v>1469</v>
      </c>
      <c r="B281" s="30" t="inlineStr">
        <is>
          <t>VIC-TAS</t>
        </is>
      </c>
      <c r="C281" s="30" t="inlineStr">
        <is>
          <t>MIVFS2022</t>
        </is>
      </c>
      <c r="D281" s="30" t="inlineStr">
        <is>
          <t>Full time</t>
        </is>
      </c>
      <c r="E281" s="42">
        <f>VLOOKUP(A281,'[1]Virtus SAMPLE PositionHistorySa'!$A:$L,12,0)</f>
        <v/>
      </c>
      <c r="F281" s="31" t="inlineStr">
        <is>
          <t>2.99</t>
        </is>
      </c>
      <c r="G281" s="32">
        <f>VLOOKUP(A281,Sheet3!A:K,10,0)/38</f>
        <v/>
      </c>
      <c r="H281" s="32">
        <f>F281-G281</f>
        <v/>
      </c>
      <c r="I281" s="29" t="n"/>
    </row>
    <row r="282">
      <c r="A282" s="29" t="n">
        <v>80468</v>
      </c>
      <c r="B282" s="30" t="inlineStr">
        <is>
          <t>NSW-QLD</t>
        </is>
      </c>
      <c r="C282" s="30" t="inlineStr">
        <is>
          <t>QS2024</t>
        </is>
      </c>
      <c r="D282" s="30" t="inlineStr">
        <is>
          <t>Full time</t>
        </is>
      </c>
      <c r="E282" s="42">
        <f>VLOOKUP(A282,'[1]Virtus SAMPLE PositionHistorySa'!$A:$L,12,0)</f>
        <v/>
      </c>
      <c r="F282" s="31" t="inlineStr">
        <is>
          <t>2.99</t>
        </is>
      </c>
      <c r="G282" s="32">
        <f>VLOOKUP(A282,Sheet3!A:K,10,0)/38</f>
        <v/>
      </c>
      <c r="H282" s="32">
        <f>F282-G282</f>
        <v/>
      </c>
      <c r="I282" s="29" t="n"/>
    </row>
    <row r="283">
      <c r="A283" s="29" t="n">
        <v>20933</v>
      </c>
      <c r="B283" s="30" t="inlineStr">
        <is>
          <t>NSW-QLD</t>
        </is>
      </c>
      <c r="C283" s="30" t="inlineStr">
        <is>
          <t>IVFS2023</t>
        </is>
      </c>
      <c r="D283" s="30" t="inlineStr">
        <is>
          <t>Full time</t>
        </is>
      </c>
      <c r="E283" s="42">
        <f>VLOOKUP(A283,'[1]Virtus SAMPLE PositionHistorySa'!$A:$L,12,0)</f>
        <v/>
      </c>
      <c r="F283" s="31" t="inlineStr">
        <is>
          <t>2.99</t>
        </is>
      </c>
      <c r="G283" s="32">
        <f>VLOOKUP(A283,Sheet3!A:K,10,0)/38</f>
        <v/>
      </c>
      <c r="H283" s="32">
        <f>F283-G283</f>
        <v/>
      </c>
      <c r="I283" s="29" t="n"/>
    </row>
    <row r="284">
      <c r="A284" s="29" t="n">
        <v>40159</v>
      </c>
      <c r="B284" s="30" t="inlineStr">
        <is>
          <t>NSW-QLD</t>
        </is>
      </c>
      <c r="C284" s="30" t="inlineStr">
        <is>
          <t>IVFN2021</t>
        </is>
      </c>
      <c r="D284" s="30" t="inlineStr">
        <is>
          <t>Casual</t>
        </is>
      </c>
      <c r="E284" s="42">
        <f>VLOOKUP(A284,'[1]Virtus SAMPLE PositionHistorySa'!$A:$L,12,0)</f>
        <v/>
      </c>
      <c r="F284" s="31" t="inlineStr">
        <is>
          <t>2.99</t>
        </is>
      </c>
      <c r="G284" s="32" t="n"/>
      <c r="H284" s="32" t="n"/>
      <c r="I284" s="29" t="n"/>
    </row>
    <row r="285">
      <c r="A285" s="29" t="inlineStr">
        <is>
          <t>AU22653</t>
        </is>
      </c>
      <c r="B285" s="30" t="inlineStr">
        <is>
          <t>NSW-QLD</t>
        </is>
      </c>
      <c r="C285" s="30" t="inlineStr">
        <is>
          <t>IVFN2021</t>
        </is>
      </c>
      <c r="D285" s="30" t="inlineStr">
        <is>
          <t>Full time</t>
        </is>
      </c>
      <c r="E285" s="42">
        <f>VLOOKUP(A285,'[1]Virtus SAMPLE PositionHistorySa'!$A:$L,12,0)</f>
        <v/>
      </c>
      <c r="F285" s="31" t="inlineStr">
        <is>
          <t>2.55</t>
        </is>
      </c>
      <c r="G285" s="32">
        <f>VLOOKUP(A285,Sheet3!A:K,10,0)/38</f>
        <v/>
      </c>
      <c r="H285" s="32">
        <f>F285-G285</f>
        <v/>
      </c>
      <c r="I285" s="29" t="n"/>
    </row>
    <row r="286">
      <c r="A286" s="29" t="n">
        <v>20897</v>
      </c>
      <c r="B286" s="30" t="inlineStr">
        <is>
          <t>NSW-QLD</t>
        </is>
      </c>
      <c r="C286" s="30" t="inlineStr">
        <is>
          <t>IVFN2021</t>
        </is>
      </c>
      <c r="D286" s="30" t="inlineStr">
        <is>
          <t>Full time</t>
        </is>
      </c>
      <c r="E286" s="42">
        <f>VLOOKUP(A286,'[1]Virtus SAMPLE PositionHistorySa'!$A:$L,12,0)</f>
        <v/>
      </c>
      <c r="F286" s="31" t="inlineStr">
        <is>
          <t>3.27</t>
        </is>
      </c>
      <c r="G286" s="32">
        <f>VLOOKUP(A286,Sheet3!A:K,10,0)/38</f>
        <v/>
      </c>
      <c r="H286" s="32">
        <f>F286-G286</f>
        <v/>
      </c>
      <c r="I286" s="29" t="n"/>
    </row>
    <row r="287">
      <c r="A287" s="29" t="n">
        <v>20936</v>
      </c>
      <c r="B287" s="30" t="inlineStr">
        <is>
          <t>NSW-QLD</t>
        </is>
      </c>
      <c r="C287" s="30" t="inlineStr">
        <is>
          <t>IVFC2022</t>
        </is>
      </c>
      <c r="D287" s="30" t="inlineStr">
        <is>
          <t>Full time</t>
        </is>
      </c>
      <c r="E287" s="42">
        <f>VLOOKUP(A287,'[1]Virtus SAMPLE PositionHistorySa'!$A:$L,12,0)</f>
        <v/>
      </c>
      <c r="F287" s="31" t="inlineStr">
        <is>
          <t>2.99</t>
        </is>
      </c>
      <c r="G287" s="32">
        <f>VLOOKUP(A287,Sheet3!A:K,10,0)/38</f>
        <v/>
      </c>
      <c r="H287" s="32">
        <f>F287-G287</f>
        <v/>
      </c>
      <c r="I287" s="29" t="n"/>
    </row>
    <row r="288">
      <c r="A288" s="29" t="inlineStr">
        <is>
          <t>AU22586</t>
        </is>
      </c>
      <c r="B288" s="30" t="inlineStr">
        <is>
          <t>VIC-TAS</t>
        </is>
      </c>
      <c r="C288" s="30" t="inlineStr">
        <is>
          <t>MIVFS2022</t>
        </is>
      </c>
      <c r="D288" s="30" t="inlineStr">
        <is>
          <t>Full time</t>
        </is>
      </c>
      <c r="E288" s="42">
        <f>VLOOKUP(A288,'[1]Virtus SAMPLE PositionHistorySa'!$A:$L,12,0)</f>
        <v/>
      </c>
      <c r="F288" s="31" t="inlineStr">
        <is>
          <t>2.62</t>
        </is>
      </c>
      <c r="G288" s="32">
        <f>VLOOKUP(A288,Sheet3!A:K,10,0)/38</f>
        <v/>
      </c>
      <c r="H288" s="32">
        <f>F288-G288</f>
        <v/>
      </c>
      <c r="I288" s="29" t="n"/>
    </row>
    <row r="289">
      <c r="A289" s="29" t="inlineStr">
        <is>
          <t>AU22603</t>
        </is>
      </c>
      <c r="B289" s="30" t="inlineStr">
        <is>
          <t>NSW-QLD</t>
        </is>
      </c>
      <c r="C289" s="30" t="inlineStr">
        <is>
          <t>IVFT2024</t>
        </is>
      </c>
      <c r="D289" s="30" t="inlineStr">
        <is>
          <t>Full time</t>
        </is>
      </c>
      <c r="E289" s="42">
        <f>VLOOKUP(A289,'[1]Virtus SAMPLE PositionHistorySa'!$A:$L,12,0)</f>
        <v/>
      </c>
      <c r="F289" s="31" t="inlineStr">
        <is>
          <t>2.62</t>
        </is>
      </c>
      <c r="G289" s="32">
        <f>VLOOKUP(A289,Sheet3!A:K,10,0)/38</f>
        <v/>
      </c>
      <c r="H289" s="32">
        <f>F289-G289</f>
        <v/>
      </c>
      <c r="I289" s="29" t="n"/>
    </row>
    <row r="290">
      <c r="A290" s="29" t="inlineStr">
        <is>
          <t>AU22644</t>
        </is>
      </c>
      <c r="B290" s="30" t="inlineStr">
        <is>
          <t>NSW-QLD</t>
        </is>
      </c>
      <c r="C290" s="30" t="inlineStr">
        <is>
          <t>IVFS2023</t>
        </is>
      </c>
      <c r="D290" s="30" t="inlineStr">
        <is>
          <t>Casual</t>
        </is>
      </c>
      <c r="E290" s="42">
        <f>VLOOKUP(A290,'[1]Virtus SAMPLE PositionHistorySa'!$A:$L,12,0)</f>
        <v/>
      </c>
      <c r="F290" s="31" t="inlineStr">
        <is>
          <t>2.55</t>
        </is>
      </c>
      <c r="G290" s="32" t="n"/>
      <c r="H290" s="32" t="n"/>
      <c r="I290" s="29" t="n"/>
    </row>
    <row r="291">
      <c r="A291" s="29" t="n">
        <v>143</v>
      </c>
      <c r="B291" s="30" t="inlineStr">
        <is>
          <t>VIC-TAS</t>
        </is>
      </c>
      <c r="C291" s="30" t="inlineStr">
        <is>
          <t>TIVF2024</t>
        </is>
      </c>
      <c r="D291" s="30" t="inlineStr">
        <is>
          <t>Part time</t>
        </is>
      </c>
      <c r="E291" s="42">
        <f>VLOOKUP(A291,'[1]Virtus SAMPLE PositionHistorySa'!$A:$L,12,0)</f>
        <v/>
      </c>
      <c r="F291" s="31" t="inlineStr">
        <is>
          <t>3.27</t>
        </is>
      </c>
      <c r="G291" s="32" t="n"/>
      <c r="H291" s="32" t="n"/>
      <c r="I291" s="29" t="n"/>
    </row>
    <row r="292">
      <c r="A292" s="29" t="inlineStr">
        <is>
          <t>AU22503</t>
        </is>
      </c>
      <c r="B292" s="30" t="inlineStr">
        <is>
          <t>NSW-QLD</t>
        </is>
      </c>
      <c r="C292" s="30" t="inlineStr">
        <is>
          <t>IVFC2022</t>
        </is>
      </c>
      <c r="D292" s="30" t="inlineStr">
        <is>
          <t>Part time</t>
        </is>
      </c>
      <c r="E292" s="42">
        <f>VLOOKUP(A292,'[1]Virtus SAMPLE PositionHistorySa'!$A:$L,12,0)</f>
        <v/>
      </c>
      <c r="F292" s="31" t="inlineStr">
        <is>
          <t>2.84</t>
        </is>
      </c>
      <c r="G292" s="32" t="n"/>
      <c r="H292" s="32" t="n"/>
      <c r="I292" s="29" t="n"/>
    </row>
    <row r="293">
      <c r="A293" s="29" t="inlineStr">
        <is>
          <t>AU22515</t>
        </is>
      </c>
      <c r="B293" s="30" t="inlineStr">
        <is>
          <t>NSW-QLD</t>
        </is>
      </c>
      <c r="C293" s="30" t="inlineStr">
        <is>
          <t>QLD</t>
        </is>
      </c>
      <c r="D293" s="30" t="inlineStr">
        <is>
          <t>Part time</t>
        </is>
      </c>
      <c r="E293" s="42">
        <f>VLOOKUP(A293,'[1]Virtus SAMPLE PositionHistorySa'!$A:$L,12,0)</f>
        <v/>
      </c>
      <c r="F293" s="31" t="inlineStr">
        <is>
          <t>2.84</t>
        </is>
      </c>
      <c r="G293" s="32" t="n"/>
      <c r="H293" s="32" t="n"/>
      <c r="I293" s="29" t="n"/>
    </row>
    <row r="294">
      <c r="A294" s="29" t="inlineStr">
        <is>
          <t>AU22651</t>
        </is>
      </c>
      <c r="B294" s="30" t="inlineStr">
        <is>
          <t>NSW-QLD</t>
        </is>
      </c>
      <c r="C294" s="30" t="inlineStr">
        <is>
          <t>IVFT2024</t>
        </is>
      </c>
      <c r="D294" s="30" t="inlineStr">
        <is>
          <t>Casual</t>
        </is>
      </c>
      <c r="E294" s="42">
        <f>VLOOKUP(A294,'[1]Virtus SAMPLE PositionHistorySa'!$A:$L,12,0)</f>
        <v/>
      </c>
      <c r="F294" s="31" t="inlineStr">
        <is>
          <t>2.55</t>
        </is>
      </c>
      <c r="G294" s="32" t="n"/>
      <c r="H294" s="32" t="n"/>
      <c r="I294" s="29" t="n"/>
    </row>
    <row r="295">
      <c r="A295" s="29" t="n">
        <v>40156</v>
      </c>
      <c r="B295" s="30" t="inlineStr">
        <is>
          <t>NSW-QLD</t>
        </is>
      </c>
      <c r="C295" s="30" t="inlineStr">
        <is>
          <t>IVFN2021</t>
        </is>
      </c>
      <c r="D295" s="30" t="inlineStr">
        <is>
          <t>Part time</t>
        </is>
      </c>
      <c r="E295" s="42">
        <f>VLOOKUP(A295,'[1]Virtus SAMPLE PositionHistorySa'!$A:$L,12,0)</f>
        <v/>
      </c>
      <c r="F295" s="31" t="inlineStr">
        <is>
          <t>3.05</t>
        </is>
      </c>
      <c r="G295" s="32" t="n"/>
      <c r="H295" s="32" t="n"/>
      <c r="I295" s="29" t="n"/>
    </row>
    <row r="296">
      <c r="A296" s="29" t="inlineStr">
        <is>
          <t>AU22667</t>
        </is>
      </c>
      <c r="B296" s="30" t="inlineStr">
        <is>
          <t>NSW-QLD</t>
        </is>
      </c>
      <c r="C296" s="30" t="inlineStr">
        <is>
          <t>VIC</t>
        </is>
      </c>
      <c r="D296" s="30" t="inlineStr">
        <is>
          <t>Full time</t>
        </is>
      </c>
      <c r="E296" s="42">
        <f>VLOOKUP(A296,'[1]Virtus SAMPLE PositionHistorySa'!$A:$L,12,0)</f>
        <v/>
      </c>
      <c r="F296" s="31" t="inlineStr">
        <is>
          <t>2.47</t>
        </is>
      </c>
      <c r="G296" s="32">
        <f>VLOOKUP(A296,Sheet3!A:K,10,0)/38</f>
        <v/>
      </c>
      <c r="H296" s="32">
        <f>F296-G296</f>
        <v/>
      </c>
      <c r="I296" s="29" t="n"/>
    </row>
    <row r="297">
      <c r="A297" s="29" t="inlineStr">
        <is>
          <t>AU22685</t>
        </is>
      </c>
      <c r="B297" s="30" t="inlineStr">
        <is>
          <t>NSW-QLD</t>
        </is>
      </c>
      <c r="C297" s="30" t="inlineStr">
        <is>
          <t>IVFS2023</t>
        </is>
      </c>
      <c r="D297" s="30" t="inlineStr">
        <is>
          <t>Part time</t>
        </is>
      </c>
      <c r="E297" s="42">
        <f>VLOOKUP(A297,'[1]Virtus SAMPLE PositionHistorySa'!$A:$L,12,0)</f>
        <v/>
      </c>
      <c r="F297" s="31" t="inlineStr">
        <is>
          <t>2.47</t>
        </is>
      </c>
      <c r="G297" s="32" t="n"/>
      <c r="H297" s="32" t="n"/>
      <c r="I297" s="29" t="n"/>
    </row>
    <row r="298">
      <c r="A298" s="29" t="inlineStr">
        <is>
          <t>AU22764</t>
        </is>
      </c>
      <c r="B298" s="30" t="inlineStr">
        <is>
          <t>NSW-QLD</t>
        </is>
      </c>
      <c r="C298" s="30" t="inlineStr">
        <is>
          <t>NSW</t>
        </is>
      </c>
      <c r="D298" s="30" t="inlineStr">
        <is>
          <t>Full time</t>
        </is>
      </c>
      <c r="E298" s="42">
        <f>VLOOKUP(A298,'[1]Virtus SAMPLE PositionHistorySa'!$A:$L,12,0)</f>
        <v/>
      </c>
      <c r="F298" s="31" t="inlineStr">
        <is>
          <t>2.35</t>
        </is>
      </c>
      <c r="G298" s="32">
        <f>VLOOKUP(A298,Sheet3!A:K,10,0)/38</f>
        <v/>
      </c>
      <c r="H298" s="32">
        <f>F298-G298</f>
        <v/>
      </c>
      <c r="I298" s="29" t="n"/>
    </row>
    <row r="299">
      <c r="A299" s="29" t="inlineStr">
        <is>
          <t>AU22758</t>
        </is>
      </c>
      <c r="B299" s="30" t="inlineStr">
        <is>
          <t>NSW-QLD</t>
        </is>
      </c>
      <c r="C299" s="30" t="inlineStr">
        <is>
          <t>SA</t>
        </is>
      </c>
      <c r="D299" s="30" t="inlineStr">
        <is>
          <t>Full time</t>
        </is>
      </c>
      <c r="E299" s="42">
        <f>VLOOKUP(A299,'[1]Virtus SAMPLE PositionHistorySa'!$A:$L,12,0)</f>
        <v/>
      </c>
      <c r="F299" s="31" t="inlineStr">
        <is>
          <t>3.43</t>
        </is>
      </c>
      <c r="G299" s="32">
        <f>VLOOKUP(A299,Sheet3!A:K,10,0)/38</f>
        <v/>
      </c>
      <c r="H299" s="32">
        <f>F299-G299</f>
        <v/>
      </c>
      <c r="I299" s="29" t="n"/>
    </row>
    <row r="300">
      <c r="A300" s="29" t="inlineStr">
        <is>
          <t>AU22807</t>
        </is>
      </c>
      <c r="B300" s="30" t="inlineStr">
        <is>
          <t>NSW-QLD</t>
        </is>
      </c>
      <c r="C300" s="30" t="inlineStr">
        <is>
          <t>NSW</t>
        </is>
      </c>
      <c r="D300" s="30" t="inlineStr">
        <is>
          <t>Part time</t>
        </is>
      </c>
      <c r="E300" s="42">
        <f>VLOOKUP(A300,'[1]Virtus SAMPLE PositionHistorySa'!$A:$L,12,0)</f>
        <v/>
      </c>
      <c r="F300" s="31" t="inlineStr">
        <is>
          <t>2.29</t>
        </is>
      </c>
      <c r="G300" s="32" t="n"/>
      <c r="H300" s="32" t="n"/>
      <c r="I300" s="29" t="n"/>
    </row>
    <row r="301">
      <c r="A301" s="29" t="inlineStr">
        <is>
          <t>AU22848</t>
        </is>
      </c>
      <c r="B301" s="30" t="inlineStr">
        <is>
          <t>VIC-TAS</t>
        </is>
      </c>
      <c r="C301" s="30" t="inlineStr">
        <is>
          <t>MIVFN2023</t>
        </is>
      </c>
      <c r="D301" s="30" t="inlineStr">
        <is>
          <t>Part time</t>
        </is>
      </c>
      <c r="E301" s="42">
        <f>VLOOKUP(A301,'[1]Virtus SAMPLE PositionHistorySa'!$A:$L,12,0)</f>
        <v/>
      </c>
      <c r="F301" s="31" t="inlineStr">
        <is>
          <t>2.14</t>
        </is>
      </c>
      <c r="G301" s="32" t="n"/>
      <c r="H301" s="32" t="n"/>
      <c r="I301" s="29" t="n"/>
    </row>
    <row r="302">
      <c r="A302" s="29" t="inlineStr">
        <is>
          <t>AU22900</t>
        </is>
      </c>
      <c r="B302" s="30" t="inlineStr">
        <is>
          <t>NSW-QLD</t>
        </is>
      </c>
      <c r="C302" s="30" t="inlineStr">
        <is>
          <t>NSW</t>
        </is>
      </c>
      <c r="D302" s="30" t="inlineStr">
        <is>
          <t>Part time</t>
        </is>
      </c>
      <c r="E302" s="42">
        <f>VLOOKUP(A302,'[1]Virtus SAMPLE PositionHistorySa'!$A:$L,12,0)</f>
        <v/>
      </c>
      <c r="F302" s="31" t="inlineStr">
        <is>
          <t>2.07</t>
        </is>
      </c>
      <c r="G302" s="32" t="n"/>
      <c r="H302" s="32" t="n"/>
      <c r="I302" s="29" t="n"/>
    </row>
    <row r="303">
      <c r="A303" s="29" t="inlineStr">
        <is>
          <t>AU23051</t>
        </is>
      </c>
      <c r="B303" s="30" t="inlineStr">
        <is>
          <t>NSW-QLD</t>
        </is>
      </c>
      <c r="C303" s="30" t="inlineStr">
        <is>
          <t>NSW</t>
        </is>
      </c>
      <c r="D303" s="30" t="inlineStr">
        <is>
          <t>Full time</t>
        </is>
      </c>
      <c r="E303" s="42">
        <f>VLOOKUP(A303,'[1]Virtus SAMPLE PositionHistorySa'!$A:$L,12,0)</f>
        <v/>
      </c>
      <c r="F303" s="31" t="inlineStr">
        <is>
          <t>1.63</t>
        </is>
      </c>
      <c r="G303" s="32">
        <f>VLOOKUP(A303,Sheet3!A:K,10,0)/38</f>
        <v/>
      </c>
      <c r="H303" s="32">
        <f>F303-G303</f>
        <v/>
      </c>
      <c r="I303" s="29" t="n"/>
    </row>
    <row r="304">
      <c r="A304" s="29" t="inlineStr">
        <is>
          <t>AU22958</t>
        </is>
      </c>
      <c r="B304" s="30" t="inlineStr">
        <is>
          <t>NSW-QLD</t>
        </is>
      </c>
      <c r="C304" s="30" t="inlineStr">
        <is>
          <t>IVFN2021</t>
        </is>
      </c>
      <c r="D304" s="30" t="inlineStr">
        <is>
          <t>Casual</t>
        </is>
      </c>
      <c r="E304" s="42">
        <f>VLOOKUP(A304,'[1]Virtus SAMPLE PositionHistorySa'!$A:$L,12,0)</f>
        <v/>
      </c>
      <c r="F304" s="31" t="inlineStr">
        <is>
          <t>1.92</t>
        </is>
      </c>
      <c r="G304" s="32" t="n"/>
      <c r="H304" s="32" t="n"/>
      <c r="I304" s="29" t="n"/>
    </row>
    <row r="305">
      <c r="A305" s="29" t="inlineStr">
        <is>
          <t>AU23008</t>
        </is>
      </c>
      <c r="B305" s="30" t="inlineStr">
        <is>
          <t>VIC-TAS</t>
        </is>
      </c>
      <c r="C305" s="30" t="inlineStr">
        <is>
          <t>TIVF2024</t>
        </is>
      </c>
      <c r="D305" s="30" t="inlineStr">
        <is>
          <t>Casual</t>
        </is>
      </c>
      <c r="E305" s="42">
        <f>VLOOKUP(A305,'[1]Virtus SAMPLE PositionHistorySa'!$A:$L,12,0)</f>
        <v/>
      </c>
      <c r="F305" s="31" t="inlineStr">
        <is>
          <t>1.77</t>
        </is>
      </c>
      <c r="G305" s="32" t="n"/>
      <c r="H305" s="32" t="n"/>
      <c r="I305" s="29" t="n"/>
    </row>
    <row r="306">
      <c r="A306" s="29" t="inlineStr">
        <is>
          <t>AU22703</t>
        </is>
      </c>
      <c r="B306" s="30" t="inlineStr">
        <is>
          <t>NSW-QLD</t>
        </is>
      </c>
      <c r="C306" s="30" t="inlineStr">
        <is>
          <t>QS2024</t>
        </is>
      </c>
      <c r="D306" s="30" t="inlineStr">
        <is>
          <t>Full time</t>
        </is>
      </c>
      <c r="E306" s="42">
        <f>VLOOKUP(A306,'[1]Virtus SAMPLE PositionHistorySa'!$A:$L,12,0)</f>
        <v/>
      </c>
      <c r="F306" s="31" t="inlineStr">
        <is>
          <t>2.42</t>
        </is>
      </c>
      <c r="G306" s="32">
        <f>VLOOKUP(A306,Sheet3!A:K,10,0)/38</f>
        <v/>
      </c>
      <c r="H306" s="32">
        <f>F306-G306</f>
        <v/>
      </c>
      <c r="I306" s="29" t="n"/>
    </row>
    <row r="307">
      <c r="A307" s="29" t="inlineStr">
        <is>
          <t>AU22814</t>
        </is>
      </c>
      <c r="B307" s="30" t="inlineStr">
        <is>
          <t>NSW-QLD</t>
        </is>
      </c>
      <c r="C307" s="30" t="inlineStr">
        <is>
          <t>QN2025</t>
        </is>
      </c>
      <c r="D307" s="30" t="inlineStr">
        <is>
          <t>Full time</t>
        </is>
      </c>
      <c r="E307" s="42">
        <f>VLOOKUP(A307,'[1]Virtus SAMPLE PositionHistorySa'!$A:$L,12,0)</f>
        <v/>
      </c>
      <c r="F307" s="31" t="inlineStr">
        <is>
          <t>3.31</t>
        </is>
      </c>
      <c r="G307" s="32">
        <f>VLOOKUP(A307,Sheet3!A:K,10,0)/38</f>
        <v/>
      </c>
      <c r="H307" s="32">
        <f>F307-G307</f>
        <v/>
      </c>
      <c r="I307" s="29" t="n"/>
    </row>
    <row r="308">
      <c r="A308" s="29" t="inlineStr">
        <is>
          <t>AU22829</t>
        </is>
      </c>
      <c r="B308" s="30" t="inlineStr">
        <is>
          <t>NSW-QLD</t>
        </is>
      </c>
      <c r="C308" s="30" t="inlineStr">
        <is>
          <t>IVFS2023</t>
        </is>
      </c>
      <c r="D308" s="30" t="inlineStr">
        <is>
          <t>Part time</t>
        </is>
      </c>
      <c r="E308" s="42">
        <f>VLOOKUP(A308,'[1]Virtus SAMPLE PositionHistorySa'!$A:$L,12,0)</f>
        <v/>
      </c>
      <c r="F308" s="31" t="inlineStr">
        <is>
          <t>2.21</t>
        </is>
      </c>
      <c r="G308" s="32" t="n"/>
      <c r="H308" s="32" t="n"/>
      <c r="I308" s="29" t="n"/>
    </row>
    <row r="309">
      <c r="A309" s="29" t="inlineStr">
        <is>
          <t>AU22836</t>
        </is>
      </c>
      <c r="B309" s="30" t="inlineStr">
        <is>
          <t>NSW-QLD</t>
        </is>
      </c>
      <c r="C309" s="30" t="inlineStr">
        <is>
          <t>IVFS2023</t>
        </is>
      </c>
      <c r="D309" s="30" t="inlineStr">
        <is>
          <t>Part time</t>
        </is>
      </c>
      <c r="E309" s="42">
        <f>VLOOKUP(A309,'[1]Virtus SAMPLE PositionHistorySa'!$A:$L,12,0)</f>
        <v/>
      </c>
      <c r="F309" s="31" t="inlineStr">
        <is>
          <t>2.21</t>
        </is>
      </c>
      <c r="G309" s="32" t="n"/>
      <c r="H309" s="32" t="n"/>
      <c r="I309" s="29" t="n"/>
    </row>
    <row r="310">
      <c r="A310" s="29" t="inlineStr">
        <is>
          <t>AU22898</t>
        </is>
      </c>
      <c r="B310" s="30" t="inlineStr">
        <is>
          <t>VIC-TAS</t>
        </is>
      </c>
      <c r="C310" s="30" t="inlineStr">
        <is>
          <t>TIVF2024</t>
        </is>
      </c>
      <c r="D310" s="30" t="inlineStr">
        <is>
          <t>Casual</t>
        </is>
      </c>
      <c r="E310" s="42">
        <f>VLOOKUP(A310,'[1]Virtus SAMPLE PositionHistorySa'!$A:$L,12,0)</f>
        <v/>
      </c>
      <c r="F310" s="31" t="inlineStr">
        <is>
          <t>1.99</t>
        </is>
      </c>
      <c r="G310" s="32" t="n"/>
      <c r="H310" s="32" t="n"/>
      <c r="I310" s="29" t="n"/>
    </row>
    <row r="311">
      <c r="A311" s="29" t="inlineStr">
        <is>
          <t>AU22902</t>
        </is>
      </c>
      <c r="B311" s="30" t="inlineStr">
        <is>
          <t>NSW-QLD</t>
        </is>
      </c>
      <c r="C311" s="30" t="inlineStr">
        <is>
          <t>IVFN2021</t>
        </is>
      </c>
      <c r="D311" s="30" t="inlineStr">
        <is>
          <t>Casual</t>
        </is>
      </c>
      <c r="E311" s="42">
        <f>VLOOKUP(A311,'[1]Virtus SAMPLE PositionHistorySa'!$A:$L,12,0)</f>
        <v/>
      </c>
      <c r="F311" s="31" t="inlineStr">
        <is>
          <t>1.99</t>
        </is>
      </c>
      <c r="G311" s="32" t="n"/>
      <c r="H311" s="32" t="n"/>
      <c r="I311" s="29" t="n"/>
    </row>
    <row r="312">
      <c r="A312" s="29" t="inlineStr">
        <is>
          <t>AU22909</t>
        </is>
      </c>
      <c r="B312" s="30" t="inlineStr">
        <is>
          <t>NSW-QLD</t>
        </is>
      </c>
      <c r="C312" s="30" t="inlineStr">
        <is>
          <t>IVFN2021</t>
        </is>
      </c>
      <c r="D312" s="30" t="inlineStr">
        <is>
          <t>Part time</t>
        </is>
      </c>
      <c r="E312" s="42">
        <f>VLOOKUP(A312,'[1]Virtus SAMPLE PositionHistorySa'!$A:$L,12,0)</f>
        <v/>
      </c>
      <c r="F312" s="31" t="inlineStr">
        <is>
          <t>1.99</t>
        </is>
      </c>
      <c r="G312" s="32" t="n"/>
      <c r="H312" s="32" t="n"/>
      <c r="I312" s="29" t="n"/>
    </row>
    <row r="313">
      <c r="A313" s="29" t="inlineStr">
        <is>
          <t>AU22910</t>
        </is>
      </c>
      <c r="B313" s="30" t="inlineStr">
        <is>
          <t>NSW-QLD</t>
        </is>
      </c>
      <c r="C313" s="30" t="inlineStr">
        <is>
          <t>IVFN2021</t>
        </is>
      </c>
      <c r="D313" s="30" t="inlineStr">
        <is>
          <t>Part time</t>
        </is>
      </c>
      <c r="E313" s="42">
        <f>VLOOKUP(A313,'[1]Virtus SAMPLE PositionHistorySa'!$A:$L,12,0)</f>
        <v/>
      </c>
      <c r="F313" s="31" t="inlineStr">
        <is>
          <t>1.99</t>
        </is>
      </c>
      <c r="G313" s="32" t="n"/>
      <c r="H313" s="32" t="n"/>
      <c r="I313" s="29" t="n"/>
    </row>
    <row r="314">
      <c r="A314" s="29" t="inlineStr">
        <is>
          <t>AU22934</t>
        </is>
      </c>
      <c r="B314" s="30" t="inlineStr">
        <is>
          <t>VIC-TAS</t>
        </is>
      </c>
      <c r="C314" s="30" t="inlineStr">
        <is>
          <t>TIVF2024</t>
        </is>
      </c>
      <c r="D314" s="30" t="inlineStr">
        <is>
          <t>Casual</t>
        </is>
      </c>
      <c r="E314" s="42">
        <f>VLOOKUP(A314,'[1]Virtus SAMPLE PositionHistorySa'!$A:$L,12,0)</f>
        <v/>
      </c>
      <c r="F314" s="31" t="inlineStr">
        <is>
          <t>1.92</t>
        </is>
      </c>
      <c r="G314" s="32" t="n"/>
      <c r="H314" s="32" t="n"/>
      <c r="I314" s="29" t="n"/>
    </row>
    <row r="315">
      <c r="A315" s="29" t="inlineStr">
        <is>
          <t>AU22724</t>
        </is>
      </c>
      <c r="B315" s="30" t="inlineStr">
        <is>
          <t>NSW-QLD</t>
        </is>
      </c>
      <c r="C315" s="30" t="inlineStr">
        <is>
          <t>IVFS2023</t>
        </is>
      </c>
      <c r="D315" s="30" t="inlineStr">
        <is>
          <t>Full time</t>
        </is>
      </c>
      <c r="E315" s="42">
        <f>VLOOKUP(A315,'[1]Virtus SAMPLE PositionHistorySa'!$A:$L,12,0)</f>
        <v/>
      </c>
      <c r="F315" s="31" t="inlineStr">
        <is>
          <t>2.34</t>
        </is>
      </c>
      <c r="G315" s="32">
        <f>VLOOKUP(A315,Sheet3!A:K,10,0)/38</f>
        <v/>
      </c>
      <c r="H315" s="32">
        <f>F315-G315</f>
        <v/>
      </c>
      <c r="I315" s="29" t="n"/>
    </row>
    <row r="316">
      <c r="A316" s="29" t="inlineStr">
        <is>
          <t>AU22936</t>
        </is>
      </c>
      <c r="B316" s="30" t="inlineStr">
        <is>
          <t>NSW-QLD</t>
        </is>
      </c>
      <c r="C316" s="30" t="inlineStr">
        <is>
          <t>QS2024</t>
        </is>
      </c>
      <c r="D316" s="30" t="inlineStr">
        <is>
          <t>Casual</t>
        </is>
      </c>
      <c r="E316" s="42">
        <f>VLOOKUP(A316,'[1]Virtus SAMPLE PositionHistorySa'!$A:$L,12,0)</f>
        <v/>
      </c>
      <c r="F316" s="31" t="inlineStr">
        <is>
          <t>1.91</t>
        </is>
      </c>
      <c r="G316" s="32" t="n"/>
      <c r="H316" s="32" t="n"/>
      <c r="I316" s="29" t="n"/>
    </row>
    <row r="317">
      <c r="A317" s="29" t="inlineStr">
        <is>
          <t>AU22950</t>
        </is>
      </c>
      <c r="B317" s="30" t="inlineStr">
        <is>
          <t>NSW-QLD</t>
        </is>
      </c>
      <c r="C317" s="30" t="inlineStr">
        <is>
          <t>IVFN2021</t>
        </is>
      </c>
      <c r="D317" s="30" t="inlineStr">
        <is>
          <t>Casual</t>
        </is>
      </c>
      <c r="E317" s="42">
        <f>VLOOKUP(A317,'[1]Virtus SAMPLE PositionHistorySa'!$A:$L,12,0)</f>
        <v/>
      </c>
      <c r="F317" s="31" t="inlineStr">
        <is>
          <t>1.91</t>
        </is>
      </c>
      <c r="G317" s="32" t="n"/>
      <c r="H317" s="32" t="n"/>
      <c r="I317" s="29" t="n"/>
    </row>
    <row r="318">
      <c r="A318" s="29" t="inlineStr">
        <is>
          <t>AU22974</t>
        </is>
      </c>
      <c r="B318" s="30" t="inlineStr">
        <is>
          <t>VIC-TAS</t>
        </is>
      </c>
      <c r="C318" s="30" t="inlineStr">
        <is>
          <t>MIVFN2023</t>
        </is>
      </c>
      <c r="D318" s="30" t="inlineStr">
        <is>
          <t>Full time</t>
        </is>
      </c>
      <c r="E318" s="42">
        <f>VLOOKUP(A318,'[1]Virtus SAMPLE PositionHistorySa'!$A:$L,12,0)</f>
        <v/>
      </c>
      <c r="F318" s="31" t="inlineStr">
        <is>
          <t>1.84</t>
        </is>
      </c>
      <c r="G318" s="32">
        <f>VLOOKUP(A318,Sheet3!A:K,10,0)/38</f>
        <v/>
      </c>
      <c r="H318" s="32">
        <f>F318-G318</f>
        <v/>
      </c>
      <c r="I318" s="29" t="n"/>
    </row>
    <row r="319">
      <c r="A319" s="29" t="inlineStr">
        <is>
          <t>AU22968</t>
        </is>
      </c>
      <c r="B319" s="30" t="inlineStr">
        <is>
          <t>VIC-TAS</t>
        </is>
      </c>
      <c r="C319" s="30" t="inlineStr">
        <is>
          <t>MIVFN2023</t>
        </is>
      </c>
      <c r="D319" s="30" t="inlineStr">
        <is>
          <t>Full time</t>
        </is>
      </c>
      <c r="E319" s="42">
        <f>VLOOKUP(A319,'[1]Virtus SAMPLE PositionHistorySa'!$A:$L,12,0)</f>
        <v/>
      </c>
      <c r="F319" s="31" t="inlineStr">
        <is>
          <t>1.84</t>
        </is>
      </c>
      <c r="G319" s="32">
        <f>VLOOKUP(A319,Sheet3!A:K,10,0)/38</f>
        <v/>
      </c>
      <c r="H319" s="32">
        <f>F319-G319</f>
        <v/>
      </c>
      <c r="I319" s="29" t="n"/>
    </row>
    <row r="320">
      <c r="A320" s="29" t="inlineStr">
        <is>
          <t>AU23042</t>
        </is>
      </c>
      <c r="B320" s="30" t="inlineStr">
        <is>
          <t>NSW-QLD</t>
        </is>
      </c>
      <c r="C320" s="30" t="inlineStr">
        <is>
          <t>IVFS2023</t>
        </is>
      </c>
      <c r="D320" s="30" t="inlineStr">
        <is>
          <t>Full time</t>
        </is>
      </c>
      <c r="E320" s="42">
        <f>VLOOKUP(A320,'[1]Virtus SAMPLE PositionHistorySa'!$A:$L,12,0)</f>
        <v/>
      </c>
      <c r="F320" s="31" t="inlineStr">
        <is>
          <t>1.63</t>
        </is>
      </c>
      <c r="G320" s="32">
        <f>VLOOKUP(A320,Sheet3!A:K,10,0)/38</f>
        <v/>
      </c>
      <c r="H320" s="32">
        <f>F320-G320</f>
        <v/>
      </c>
      <c r="I320" s="29" t="n"/>
    </row>
    <row r="321">
      <c r="A321" s="29" t="inlineStr">
        <is>
          <t>AU23035</t>
        </is>
      </c>
      <c r="B321" s="30" t="inlineStr">
        <is>
          <t>NSW-QLD</t>
        </is>
      </c>
      <c r="C321" s="30" t="inlineStr">
        <is>
          <t>VIC</t>
        </is>
      </c>
      <c r="D321" s="30" t="inlineStr">
        <is>
          <t>Full time</t>
        </is>
      </c>
      <c r="E321" s="42">
        <f>VLOOKUP(A321,'[1]Virtus SAMPLE PositionHistorySa'!$A:$L,12,0)</f>
        <v/>
      </c>
      <c r="F321" s="31" t="inlineStr">
        <is>
          <t>1.63</t>
        </is>
      </c>
      <c r="G321" s="32">
        <f>VLOOKUP(A321,Sheet3!A:K,10,0)/38</f>
        <v/>
      </c>
      <c r="H321" s="32">
        <f>F321-G321</f>
        <v/>
      </c>
      <c r="I321" s="29" t="n"/>
    </row>
    <row r="322">
      <c r="A322" s="29" t="inlineStr">
        <is>
          <t>AU22859</t>
        </is>
      </c>
      <c r="B322" s="30" t="inlineStr">
        <is>
          <t>NSW-QLD</t>
        </is>
      </c>
      <c r="C322" s="30" t="inlineStr">
        <is>
          <t>QLD</t>
        </is>
      </c>
      <c r="D322" s="30" t="inlineStr">
        <is>
          <t>Full time</t>
        </is>
      </c>
      <c r="E322" s="42">
        <f>VLOOKUP(A322,'[1]Virtus SAMPLE PositionHistorySa'!$A:$L,12,0)</f>
        <v/>
      </c>
      <c r="F322" s="31" t="inlineStr">
        <is>
          <t>2.06</t>
        </is>
      </c>
      <c r="G322" s="32">
        <f>VLOOKUP(A322,Sheet3!A:K,10,0)/38</f>
        <v/>
      </c>
      <c r="H322" s="32">
        <f>F322-G322</f>
        <v/>
      </c>
      <c r="I322" s="29" t="n"/>
    </row>
    <row r="323">
      <c r="A323" s="29" t="inlineStr">
        <is>
          <t>AU22870</t>
        </is>
      </c>
      <c r="B323" s="30" t="inlineStr">
        <is>
          <t>NSW-QLD</t>
        </is>
      </c>
      <c r="C323" s="30" t="inlineStr">
        <is>
          <t>QS2024</t>
        </is>
      </c>
      <c r="D323" s="30" t="inlineStr">
        <is>
          <t>Full time</t>
        </is>
      </c>
      <c r="E323" s="42">
        <f>VLOOKUP(A323,'[1]Virtus SAMPLE PositionHistorySa'!$A:$L,12,0)</f>
        <v/>
      </c>
      <c r="F323" s="31" t="inlineStr">
        <is>
          <t>2.06</t>
        </is>
      </c>
      <c r="G323" s="32">
        <f>VLOOKUP(A323,Sheet3!A:K,10,0)/38</f>
        <v/>
      </c>
      <c r="H323" s="32">
        <f>F323-G323</f>
        <v/>
      </c>
      <c r="I323" s="29" t="n"/>
    </row>
    <row r="324">
      <c r="A324" s="29" t="inlineStr">
        <is>
          <t>AU22887</t>
        </is>
      </c>
      <c r="B324" s="30" t="inlineStr">
        <is>
          <t>NSW-QLD</t>
        </is>
      </c>
      <c r="C324" s="30" t="inlineStr">
        <is>
          <t>QS2024</t>
        </is>
      </c>
      <c r="D324" s="30" t="inlineStr">
        <is>
          <t>Full time</t>
        </is>
      </c>
      <c r="E324" s="42">
        <f>VLOOKUP(A324,'[1]Virtus SAMPLE PositionHistorySa'!$A:$L,12,0)</f>
        <v/>
      </c>
      <c r="F324" s="31" t="inlineStr">
        <is>
          <t>2.06</t>
        </is>
      </c>
      <c r="G324" s="32">
        <f>VLOOKUP(A324,Sheet3!A:K,10,0)/38</f>
        <v/>
      </c>
      <c r="H324" s="32">
        <f>F324-G324</f>
        <v/>
      </c>
      <c r="I324" s="29" t="n"/>
    </row>
    <row r="325">
      <c r="A325" s="29" t="inlineStr">
        <is>
          <t>AU22877</t>
        </is>
      </c>
      <c r="B325" s="30" t="inlineStr">
        <is>
          <t>NSW-QLD</t>
        </is>
      </c>
      <c r="C325" s="30" t="inlineStr">
        <is>
          <t>IVFS2023</t>
        </is>
      </c>
      <c r="D325" s="30" t="inlineStr">
        <is>
          <t>Part time</t>
        </is>
      </c>
      <c r="E325" s="42">
        <f>VLOOKUP(A325,'[1]Virtus SAMPLE PositionHistorySa'!$A:$L,12,0)</f>
        <v/>
      </c>
      <c r="F325" s="31" t="inlineStr">
        <is>
          <t>2.06</t>
        </is>
      </c>
      <c r="G325" s="32" t="n"/>
      <c r="H325" s="32" t="n"/>
      <c r="I325" s="29" t="n"/>
    </row>
    <row r="326">
      <c r="A326" s="29" t="inlineStr">
        <is>
          <t>AU22880</t>
        </is>
      </c>
      <c r="B326" s="30" t="inlineStr">
        <is>
          <t>NSW-QLD</t>
        </is>
      </c>
      <c r="C326" s="30" t="inlineStr">
        <is>
          <t>IVFN2021</t>
        </is>
      </c>
      <c r="D326" s="30" t="inlineStr">
        <is>
          <t>Casual</t>
        </is>
      </c>
      <c r="E326" s="42">
        <f>VLOOKUP(A326,'[1]Virtus SAMPLE PositionHistorySa'!$A:$L,12,0)</f>
        <v/>
      </c>
      <c r="F326" s="31" t="inlineStr">
        <is>
          <t>2.06</t>
        </is>
      </c>
      <c r="G326" s="32" t="n"/>
      <c r="H326" s="32" t="n"/>
      <c r="I326" s="29" t="n"/>
    </row>
    <row r="327">
      <c r="A327" s="29" t="inlineStr">
        <is>
          <t>AU22993</t>
        </is>
      </c>
      <c r="B327" s="30" t="inlineStr">
        <is>
          <t>NSW-QLD</t>
        </is>
      </c>
      <c r="C327" s="30" t="inlineStr">
        <is>
          <t>IVFN2021</t>
        </is>
      </c>
      <c r="D327" s="30" t="inlineStr">
        <is>
          <t>Casual</t>
        </is>
      </c>
      <c r="E327" s="42">
        <f>VLOOKUP(A327,'[1]Virtus SAMPLE PositionHistorySa'!$A:$L,12,0)</f>
        <v/>
      </c>
      <c r="F327" s="31" t="inlineStr">
        <is>
          <t>1.77</t>
        </is>
      </c>
      <c r="G327" s="32" t="n"/>
      <c r="H327" s="32" t="n"/>
      <c r="I327" s="29" t="n"/>
    </row>
    <row r="328">
      <c r="A328" s="29" t="inlineStr">
        <is>
          <t>AU22741</t>
        </is>
      </c>
      <c r="B328" s="30" t="inlineStr">
        <is>
          <t>NSW-QLD</t>
        </is>
      </c>
      <c r="C328" s="30" t="inlineStr">
        <is>
          <t>QS2024</t>
        </is>
      </c>
      <c r="D328" s="30" t="inlineStr">
        <is>
          <t>Full time</t>
        </is>
      </c>
      <c r="E328" s="42">
        <f>VLOOKUP(A328,'[1]Virtus SAMPLE PositionHistorySa'!$A:$L,12,0)</f>
        <v/>
      </c>
      <c r="F328" s="31" t="inlineStr">
        <is>
          <t>2.34</t>
        </is>
      </c>
      <c r="G328" s="32">
        <f>VLOOKUP(A328,Sheet3!A:K,10,0)/38</f>
        <v/>
      </c>
      <c r="H328" s="32">
        <f>F328-G328</f>
        <v/>
      </c>
      <c r="I328" s="29" t="n"/>
    </row>
    <row r="329">
      <c r="A329" s="29" t="inlineStr">
        <is>
          <t>AU22728</t>
        </is>
      </c>
      <c r="B329" s="30" t="inlineStr">
        <is>
          <t>NSW-QLD</t>
        </is>
      </c>
      <c r="C329" s="30" t="inlineStr">
        <is>
          <t>IVFN2021</t>
        </is>
      </c>
      <c r="D329" s="30" t="inlineStr">
        <is>
          <t>Casual</t>
        </is>
      </c>
      <c r="E329" s="42">
        <f>VLOOKUP(A329,'[1]Virtus SAMPLE PositionHistorySa'!$A:$L,12,0)</f>
        <v/>
      </c>
      <c r="F329" s="31" t="inlineStr">
        <is>
          <t>2.34</t>
        </is>
      </c>
      <c r="G329" s="32" t="n"/>
      <c r="H329" s="32" t="n"/>
      <c r="I329" s="29" t="n"/>
    </row>
    <row r="330">
      <c r="A330" s="29" t="inlineStr">
        <is>
          <t>AU22735</t>
        </is>
      </c>
      <c r="B330" s="30" t="inlineStr">
        <is>
          <t>NSW-QLD</t>
        </is>
      </c>
      <c r="C330" s="30" t="inlineStr">
        <is>
          <t>QN2025</t>
        </is>
      </c>
      <c r="D330" s="30" t="inlineStr">
        <is>
          <t>Casual</t>
        </is>
      </c>
      <c r="E330" s="42">
        <f>VLOOKUP(A330,'[1]Virtus SAMPLE PositionHistorySa'!$A:$L,12,0)</f>
        <v/>
      </c>
      <c r="F330" s="31" t="inlineStr">
        <is>
          <t>3.51</t>
        </is>
      </c>
      <c r="G330" s="32" t="n"/>
      <c r="H330" s="32" t="n"/>
      <c r="I330" s="29" t="n"/>
    </row>
    <row r="331">
      <c r="A331" s="29" t="inlineStr">
        <is>
          <t>AU22772</t>
        </is>
      </c>
      <c r="B331" s="30" t="inlineStr">
        <is>
          <t>VIC-TAS</t>
        </is>
      </c>
      <c r="C331" s="30" t="inlineStr">
        <is>
          <t>MIVFS2022</t>
        </is>
      </c>
      <c r="D331" s="30" t="inlineStr">
        <is>
          <t>Full time</t>
        </is>
      </c>
      <c r="E331" s="42">
        <f>VLOOKUP(A331,'[1]Virtus SAMPLE PositionHistorySa'!$A:$L,12,0)</f>
        <v/>
      </c>
      <c r="F331" s="31" t="inlineStr">
        <is>
          <t>2.27</t>
        </is>
      </c>
      <c r="G331" s="32">
        <f>VLOOKUP(A331,Sheet3!A:K,10,0)/38</f>
        <v/>
      </c>
      <c r="H331" s="32">
        <f>F331-G331</f>
        <v/>
      </c>
      <c r="I331" s="29" t="n"/>
    </row>
    <row r="332">
      <c r="A332" s="29" t="inlineStr">
        <is>
          <t>AU22990</t>
        </is>
      </c>
      <c r="B332" s="30" t="inlineStr">
        <is>
          <t>NSW-QLD</t>
        </is>
      </c>
      <c r="C332" s="30" t="inlineStr">
        <is>
          <t>IVFN2021</t>
        </is>
      </c>
      <c r="D332" s="30" t="inlineStr">
        <is>
          <t>Casual</t>
        </is>
      </c>
      <c r="E332" s="42">
        <f>VLOOKUP(A332,'[1]Virtus SAMPLE PositionHistorySa'!$A:$L,12,0)</f>
        <v/>
      </c>
      <c r="F332" s="31" t="inlineStr">
        <is>
          <t>1.77</t>
        </is>
      </c>
      <c r="G332" s="32" t="n"/>
      <c r="H332" s="32" t="n"/>
      <c r="I332" s="29" t="n"/>
    </row>
    <row r="333">
      <c r="A333" s="29" t="inlineStr">
        <is>
          <t>AU23094</t>
        </is>
      </c>
      <c r="B333" s="30" t="inlineStr">
        <is>
          <t>NSW-QLD</t>
        </is>
      </c>
      <c r="C333" s="30" t="inlineStr">
        <is>
          <t>NSW</t>
        </is>
      </c>
      <c r="D333" s="30" t="inlineStr">
        <is>
          <t>Part time</t>
        </is>
      </c>
      <c r="E333" s="42">
        <f>VLOOKUP(A333,'[1]Virtus SAMPLE PositionHistorySa'!$A:$L,12,0)</f>
        <v/>
      </c>
      <c r="F333" s="31" t="inlineStr">
        <is>
          <t>1.69</t>
        </is>
      </c>
      <c r="G333" s="32" t="n"/>
      <c r="H333" s="32" t="n"/>
      <c r="I333" s="29" t="n"/>
    </row>
    <row r="334">
      <c r="A334" s="29" t="inlineStr">
        <is>
          <t>AU22727</t>
        </is>
      </c>
      <c r="B334" s="30" t="inlineStr">
        <is>
          <t>NSW-QLD</t>
        </is>
      </c>
      <c r="C334" s="30" t="inlineStr">
        <is>
          <t>IVFN2021</t>
        </is>
      </c>
      <c r="D334" s="30" t="inlineStr">
        <is>
          <t>Casual</t>
        </is>
      </c>
      <c r="E334" s="42">
        <f>VLOOKUP(A334,'[1]Virtus SAMPLE PositionHistorySa'!$A:$L,12,0)</f>
        <v/>
      </c>
      <c r="F334" s="31" t="inlineStr">
        <is>
          <t>2.34</t>
        </is>
      </c>
      <c r="G334" s="32" t="n"/>
      <c r="H334" s="32" t="n"/>
      <c r="I334" s="29" t="n"/>
    </row>
    <row r="335">
      <c r="A335" s="29" t="inlineStr">
        <is>
          <t>AU22947</t>
        </is>
      </c>
      <c r="B335" s="30" t="inlineStr">
        <is>
          <t>NSW-QLD</t>
        </is>
      </c>
      <c r="C335" s="30" t="inlineStr">
        <is>
          <t>QS2024</t>
        </is>
      </c>
      <c r="D335" s="30" t="inlineStr">
        <is>
          <t>Full time</t>
        </is>
      </c>
      <c r="E335" s="42">
        <f>VLOOKUP(A335,'[1]Virtus SAMPLE PositionHistorySa'!$A:$L,12,0)</f>
        <v/>
      </c>
      <c r="F335" s="31" t="inlineStr">
        <is>
          <t>1.91</t>
        </is>
      </c>
      <c r="G335" s="32">
        <f>VLOOKUP(A335,Sheet3!A:K,10,0)/38</f>
        <v/>
      </c>
      <c r="H335" s="32">
        <f>F335-G335</f>
        <v/>
      </c>
      <c r="I335" s="29" t="n"/>
    </row>
    <row r="336">
      <c r="A336" s="29" t="inlineStr">
        <is>
          <t>AU22937</t>
        </is>
      </c>
      <c r="B336" s="30" t="inlineStr">
        <is>
          <t>NSW-QLD</t>
        </is>
      </c>
      <c r="C336" s="30" t="inlineStr">
        <is>
          <t>QS2024</t>
        </is>
      </c>
      <c r="D336" s="30" t="inlineStr">
        <is>
          <t>Casual</t>
        </is>
      </c>
      <c r="E336" s="42">
        <f>VLOOKUP(A336,'[1]Virtus SAMPLE PositionHistorySa'!$A:$L,12,0)</f>
        <v/>
      </c>
      <c r="F336" s="31" t="inlineStr">
        <is>
          <t>1.91</t>
        </is>
      </c>
      <c r="G336" s="32" t="n"/>
      <c r="H336" s="32" t="n"/>
      <c r="I336" s="29" t="n"/>
    </row>
    <row r="337">
      <c r="A337" s="29" t="inlineStr">
        <is>
          <t>AU22939</t>
        </is>
      </c>
      <c r="B337" s="30" t="inlineStr">
        <is>
          <t>NSW-QLD</t>
        </is>
      </c>
      <c r="C337" s="30" t="inlineStr">
        <is>
          <t>QS2024</t>
        </is>
      </c>
      <c r="D337" s="30" t="inlineStr">
        <is>
          <t>Part time</t>
        </is>
      </c>
      <c r="E337" s="42">
        <f>VLOOKUP(A337,'[1]Virtus SAMPLE PositionHistorySa'!$A:$L,12,0)</f>
        <v/>
      </c>
      <c r="F337" s="31" t="inlineStr">
        <is>
          <t>1.91</t>
        </is>
      </c>
      <c r="G337" s="32" t="n"/>
      <c r="H337" s="32" t="n"/>
      <c r="I337" s="29" t="n"/>
    </row>
    <row r="338">
      <c r="A338" s="29" t="inlineStr">
        <is>
          <t>AU22743</t>
        </is>
      </c>
      <c r="B338" s="30" t="inlineStr">
        <is>
          <t>NSW-QLD</t>
        </is>
      </c>
      <c r="C338" s="30" t="inlineStr">
        <is>
          <t>IVFN2021</t>
        </is>
      </c>
      <c r="D338" s="30" t="inlineStr">
        <is>
          <t>Casual</t>
        </is>
      </c>
      <c r="E338" s="42">
        <f>VLOOKUP(A338,'[1]Virtus SAMPLE PositionHistorySa'!$A:$L,12,0)</f>
        <v/>
      </c>
      <c r="F338" s="31" t="inlineStr">
        <is>
          <t>2.33</t>
        </is>
      </c>
      <c r="G338" s="32" t="n"/>
      <c r="H338" s="32" t="n"/>
      <c r="I338" s="29" t="n"/>
    </row>
    <row r="339">
      <c r="A339" s="29" t="inlineStr">
        <is>
          <t>AU22776</t>
        </is>
      </c>
      <c r="B339" s="30" t="inlineStr">
        <is>
          <t>NSW-QLD</t>
        </is>
      </c>
      <c r="C339" s="30" t="inlineStr">
        <is>
          <t>QN2025</t>
        </is>
      </c>
      <c r="D339" s="30">
        <f>VLOOKUP(A339,Sheet3!A:E,5,0)</f>
        <v/>
      </c>
      <c r="E339" s="42">
        <f>VLOOKUP(A339,'[1]Virtus SAMPLE PositionHistorySa'!$A:$L,12,0)</f>
        <v/>
      </c>
      <c r="F339" s="31" t="inlineStr">
        <is>
          <t>3.40</t>
        </is>
      </c>
      <c r="G339" s="32" t="n"/>
      <c r="H339" s="32" t="n"/>
      <c r="I339" s="29" t="n"/>
    </row>
    <row r="340">
      <c r="A340" s="29" t="inlineStr">
        <is>
          <t>AU22861</t>
        </is>
      </c>
      <c r="B340" s="30" t="inlineStr">
        <is>
          <t>NSW-QLD</t>
        </is>
      </c>
      <c r="C340" s="30" t="inlineStr">
        <is>
          <t>IVFT2024</t>
        </is>
      </c>
      <c r="D340" s="30" t="inlineStr">
        <is>
          <t>Full time</t>
        </is>
      </c>
      <c r="E340" s="42">
        <f>VLOOKUP(A340,'[1]Virtus SAMPLE PositionHistorySa'!$A:$L,12,0)</f>
        <v/>
      </c>
      <c r="F340" s="31" t="inlineStr">
        <is>
          <t>2.12</t>
        </is>
      </c>
      <c r="G340" s="32">
        <f>VLOOKUP(A340,Sheet3!A:K,10,0)/38</f>
        <v/>
      </c>
      <c r="H340" s="32">
        <f>F340-G340</f>
        <v/>
      </c>
      <c r="I340" s="29" t="n"/>
    </row>
    <row r="341">
      <c r="A341" s="29" t="inlineStr">
        <is>
          <t>AU22702</t>
        </is>
      </c>
      <c r="B341" s="30" t="inlineStr">
        <is>
          <t>NSW-QLD</t>
        </is>
      </c>
      <c r="C341" s="30" t="inlineStr">
        <is>
          <t>IVFT2024</t>
        </is>
      </c>
      <c r="D341" s="30" t="inlineStr">
        <is>
          <t>Full time</t>
        </is>
      </c>
      <c r="E341" s="42">
        <f>VLOOKUP(A341,'[1]Virtus SAMPLE PositionHistorySa'!$A:$L,12,0)</f>
        <v/>
      </c>
      <c r="F341" s="31" t="inlineStr">
        <is>
          <t>2.41</t>
        </is>
      </c>
      <c r="G341" s="32">
        <f>VLOOKUP(A341,Sheet3!A:K,10,0)/38</f>
        <v/>
      </c>
      <c r="H341" s="32">
        <f>F341-G341</f>
        <v/>
      </c>
      <c r="I341" s="29" t="n"/>
    </row>
    <row r="342">
      <c r="A342" s="29" t="inlineStr">
        <is>
          <t>AU22693</t>
        </is>
      </c>
      <c r="B342" s="30" t="inlineStr">
        <is>
          <t>NSW-QLD</t>
        </is>
      </c>
      <c r="C342" s="30" t="inlineStr">
        <is>
          <t>IVFS2023</t>
        </is>
      </c>
      <c r="D342" s="30" t="inlineStr">
        <is>
          <t>Part time</t>
        </is>
      </c>
      <c r="E342" s="42">
        <f>VLOOKUP(A342,'[1]Virtus SAMPLE PositionHistorySa'!$A:$L,12,0)</f>
        <v/>
      </c>
      <c r="F342" s="31" t="inlineStr">
        <is>
          <t>2.41</t>
        </is>
      </c>
      <c r="G342" s="32" t="n"/>
      <c r="H342" s="32" t="n"/>
      <c r="I342" s="29" t="n"/>
    </row>
    <row r="343">
      <c r="A343" s="29" t="inlineStr">
        <is>
          <t>AU22704</t>
        </is>
      </c>
      <c r="B343" s="30" t="inlineStr">
        <is>
          <t>VIC-TAS</t>
        </is>
      </c>
      <c r="C343" s="30" t="inlineStr">
        <is>
          <t>MIVFS2022</t>
        </is>
      </c>
      <c r="D343" s="30" t="inlineStr">
        <is>
          <t>Casual</t>
        </is>
      </c>
      <c r="E343" s="42">
        <f>VLOOKUP(A343,'[1]Virtus SAMPLE PositionHistorySa'!$A:$L,12,0)</f>
        <v/>
      </c>
      <c r="F343" s="31" t="inlineStr">
        <is>
          <t>2.41</t>
        </is>
      </c>
      <c r="G343" s="32" t="n"/>
      <c r="H343" s="32" t="n"/>
      <c r="I343" s="29" t="n"/>
    </row>
    <row r="344">
      <c r="A344" s="29" t="inlineStr">
        <is>
          <t>AU22783</t>
        </is>
      </c>
      <c r="B344" s="30" t="inlineStr">
        <is>
          <t>NSW-QLD</t>
        </is>
      </c>
      <c r="C344" s="30" t="inlineStr">
        <is>
          <t>IVFS2023</t>
        </is>
      </c>
      <c r="D344" s="30" t="inlineStr">
        <is>
          <t>Part time</t>
        </is>
      </c>
      <c r="E344" s="42">
        <f>VLOOKUP(A344,'[1]Virtus SAMPLE PositionHistorySa'!$A:$L,12,0)</f>
        <v/>
      </c>
      <c r="F344" s="31" t="inlineStr">
        <is>
          <t>2.27</t>
        </is>
      </c>
      <c r="G344" s="32" t="n"/>
      <c r="H344" s="32" t="n"/>
      <c r="I344" s="29" t="n"/>
    </row>
    <row r="345">
      <c r="A345" s="29" t="inlineStr">
        <is>
          <t>AU22997</t>
        </is>
      </c>
      <c r="B345" s="30" t="inlineStr">
        <is>
          <t>NSW-QLD</t>
        </is>
      </c>
      <c r="C345" s="30" t="inlineStr">
        <is>
          <t>IVFS2023</t>
        </is>
      </c>
      <c r="D345" s="30" t="inlineStr">
        <is>
          <t>Full time</t>
        </is>
      </c>
      <c r="E345" s="42">
        <f>VLOOKUP(A345,'[1]Virtus SAMPLE PositionHistorySa'!$A:$L,12,0)</f>
        <v/>
      </c>
      <c r="F345" s="31" t="inlineStr">
        <is>
          <t>1.76</t>
        </is>
      </c>
      <c r="G345" s="32">
        <f>VLOOKUP(A345,Sheet3!A:K,10,0)/38</f>
        <v/>
      </c>
      <c r="H345" s="32">
        <f>F345-G345</f>
        <v/>
      </c>
      <c r="I345" s="29" t="n"/>
    </row>
    <row r="346">
      <c r="A346" s="29" t="inlineStr">
        <is>
          <t>AU22987</t>
        </is>
      </c>
      <c r="B346" s="30" t="inlineStr">
        <is>
          <t>VIC-TAS</t>
        </is>
      </c>
      <c r="C346" s="30" t="inlineStr">
        <is>
          <t>MIVFS2022</t>
        </is>
      </c>
      <c r="D346" s="30" t="inlineStr">
        <is>
          <t>Part time</t>
        </is>
      </c>
      <c r="E346" s="42">
        <f>VLOOKUP(A346,'[1]Virtus SAMPLE PositionHistorySa'!$A:$L,12,0)</f>
        <v/>
      </c>
      <c r="F346" s="31" t="inlineStr">
        <is>
          <t>1.76</t>
        </is>
      </c>
      <c r="G346" s="32" t="n"/>
      <c r="H346" s="32" t="n"/>
      <c r="I346" s="29" t="n"/>
    </row>
    <row r="347">
      <c r="A347" s="29" t="inlineStr">
        <is>
          <t>AU22995</t>
        </is>
      </c>
      <c r="B347" s="30" t="inlineStr">
        <is>
          <t>NSW-QLD</t>
        </is>
      </c>
      <c r="C347" s="30" t="inlineStr">
        <is>
          <t>IVFN2021</t>
        </is>
      </c>
      <c r="D347" s="30" t="inlineStr">
        <is>
          <t>Casual</t>
        </is>
      </c>
      <c r="E347" s="42">
        <f>VLOOKUP(A347,'[1]Virtus SAMPLE PositionHistorySa'!$A:$L,12,0)</f>
        <v/>
      </c>
      <c r="F347" s="31" t="inlineStr">
        <is>
          <t>1.76</t>
        </is>
      </c>
      <c r="G347" s="32" t="n"/>
      <c r="H347" s="32" t="n"/>
      <c r="I347" s="29" t="n"/>
    </row>
    <row r="348">
      <c r="A348" s="29" t="inlineStr">
        <is>
          <t>AU22815</t>
        </is>
      </c>
      <c r="B348" s="30" t="inlineStr">
        <is>
          <t>NSW-QLD</t>
        </is>
      </c>
      <c r="C348" s="30" t="inlineStr">
        <is>
          <t>QN2025</t>
        </is>
      </c>
      <c r="D348" s="30" t="inlineStr">
        <is>
          <t>Casual</t>
        </is>
      </c>
      <c r="E348" s="42">
        <f>VLOOKUP(A348,'[1]Virtus SAMPLE PositionHistorySa'!$A:$L,12,0)</f>
        <v/>
      </c>
      <c r="F348" s="31" t="inlineStr">
        <is>
          <t>3.29</t>
        </is>
      </c>
      <c r="G348" s="32" t="n"/>
      <c r="H348" s="32" t="n"/>
      <c r="I348" s="29" t="n"/>
    </row>
    <row r="349">
      <c r="A349" s="29" t="inlineStr">
        <is>
          <t>AU22916</t>
        </is>
      </c>
      <c r="B349" s="30" t="inlineStr">
        <is>
          <t>VIC-TAS</t>
        </is>
      </c>
      <c r="C349" s="30" t="inlineStr">
        <is>
          <t>MIVFN2023</t>
        </is>
      </c>
      <c r="D349" s="30" t="inlineStr">
        <is>
          <t>Full time</t>
        </is>
      </c>
      <c r="E349" s="42">
        <f>VLOOKUP(A349,'[1]Virtus SAMPLE PositionHistorySa'!$A:$L,12,0)</f>
        <v/>
      </c>
      <c r="F349" s="31" t="inlineStr">
        <is>
          <t>1.97</t>
        </is>
      </c>
      <c r="G349" s="32">
        <f>VLOOKUP(A349,Sheet3!A:K,10,0)/38</f>
        <v/>
      </c>
      <c r="H349" s="32">
        <f>F349-G349</f>
        <v/>
      </c>
      <c r="I349" s="29" t="n"/>
    </row>
    <row r="350">
      <c r="A350" s="29" t="inlineStr">
        <is>
          <t>AU22894</t>
        </is>
      </c>
      <c r="B350" s="30" t="inlineStr">
        <is>
          <t>NSW-QLD</t>
        </is>
      </c>
      <c r="C350" s="30" t="inlineStr">
        <is>
          <t>VIC</t>
        </is>
      </c>
      <c r="D350" s="30" t="inlineStr">
        <is>
          <t>Full time</t>
        </is>
      </c>
      <c r="E350" s="42">
        <f>VLOOKUP(A350,'[1]Virtus SAMPLE PositionHistorySa'!$A:$L,12,0)</f>
        <v/>
      </c>
      <c r="F350" s="31" t="inlineStr">
        <is>
          <t>1.97</t>
        </is>
      </c>
      <c r="G350" s="32">
        <f>VLOOKUP(A350,Sheet3!A:K,10,0)/38</f>
        <v/>
      </c>
      <c r="H350" s="32">
        <f>F350-G350</f>
        <v/>
      </c>
      <c r="I350" s="29" t="n"/>
    </row>
    <row r="351">
      <c r="A351" s="29" t="inlineStr">
        <is>
          <t>AU22899</t>
        </is>
      </c>
      <c r="B351" s="30" t="inlineStr">
        <is>
          <t>VIC-TAS</t>
        </is>
      </c>
      <c r="C351" s="30" t="inlineStr">
        <is>
          <t>MIVFN2023</t>
        </is>
      </c>
      <c r="D351" s="30" t="inlineStr">
        <is>
          <t>Part time</t>
        </is>
      </c>
      <c r="E351" s="42">
        <f>VLOOKUP(A351,'[1]Virtus SAMPLE PositionHistorySa'!$A:$L,12,0)</f>
        <v/>
      </c>
      <c r="F351" s="31" t="inlineStr">
        <is>
          <t>1.97</t>
        </is>
      </c>
      <c r="G351" s="32" t="n"/>
      <c r="H351" s="32" t="n"/>
      <c r="I351" s="29" t="n"/>
    </row>
    <row r="352">
      <c r="A352" s="29" t="inlineStr">
        <is>
          <t>AU22905</t>
        </is>
      </c>
      <c r="B352" s="30" t="inlineStr">
        <is>
          <t>NSW-QLD</t>
        </is>
      </c>
      <c r="C352" s="30" t="inlineStr">
        <is>
          <t>IVFN2021</t>
        </is>
      </c>
      <c r="D352" s="30" t="inlineStr">
        <is>
          <t>Casual</t>
        </is>
      </c>
      <c r="E352" s="42">
        <f>VLOOKUP(A352,'[1]Virtus SAMPLE PositionHistorySa'!$A:$L,12,0)</f>
        <v/>
      </c>
      <c r="F352" s="31" t="inlineStr">
        <is>
          <t>1.97</t>
        </is>
      </c>
      <c r="G352" s="32" t="n"/>
      <c r="H352" s="32" t="n"/>
      <c r="I352" s="29" t="n"/>
    </row>
    <row r="353">
      <c r="A353" s="29" t="inlineStr">
        <is>
          <t>AU22911</t>
        </is>
      </c>
      <c r="B353" s="30" t="inlineStr">
        <is>
          <t>VIC-TAS</t>
        </is>
      </c>
      <c r="C353" s="30" t="inlineStr">
        <is>
          <t>MIVFN2023</t>
        </is>
      </c>
      <c r="D353" s="30" t="inlineStr">
        <is>
          <t>Part time</t>
        </is>
      </c>
      <c r="E353" s="42">
        <f>VLOOKUP(A353,'[1]Virtus SAMPLE PositionHistorySa'!$A:$L,12,0)</f>
        <v/>
      </c>
      <c r="F353" s="31" t="inlineStr">
        <is>
          <t>1.97</t>
        </is>
      </c>
      <c r="G353" s="32" t="n"/>
      <c r="H353" s="32" t="n"/>
      <c r="I353" s="29" t="n"/>
    </row>
    <row r="354">
      <c r="A354" s="29" t="inlineStr">
        <is>
          <t>AU22931</t>
        </is>
      </c>
      <c r="B354" s="30" t="inlineStr">
        <is>
          <t>VIC-TAS</t>
        </is>
      </c>
      <c r="C354" s="30" t="inlineStr">
        <is>
          <t>TIVF2024</t>
        </is>
      </c>
      <c r="D354" s="30" t="inlineStr">
        <is>
          <t>Full time</t>
        </is>
      </c>
      <c r="E354" s="42">
        <f>VLOOKUP(A354,'[1]Virtus SAMPLE PositionHistorySa'!$A:$L,12,0)</f>
        <v/>
      </c>
      <c r="F354" s="31" t="inlineStr">
        <is>
          <t>1.90</t>
        </is>
      </c>
      <c r="G354" s="32">
        <f>VLOOKUP(A354,Sheet3!A:K,10,0)/38</f>
        <v/>
      </c>
      <c r="H354" s="32">
        <f>F354-G354</f>
        <v/>
      </c>
      <c r="I354" s="29" t="n"/>
    </row>
    <row r="355">
      <c r="A355" s="29" t="inlineStr">
        <is>
          <t>AU22960</t>
        </is>
      </c>
      <c r="B355" s="30" t="inlineStr">
        <is>
          <t>VIC-TAS</t>
        </is>
      </c>
      <c r="C355" s="30" t="inlineStr">
        <is>
          <t>TIVF2024</t>
        </is>
      </c>
      <c r="D355" s="30" t="inlineStr">
        <is>
          <t>Casual</t>
        </is>
      </c>
      <c r="E355" s="42">
        <f>VLOOKUP(A355,'[1]Virtus SAMPLE PositionHistorySa'!$A:$L,12,0)</f>
        <v/>
      </c>
      <c r="F355" s="31" t="inlineStr">
        <is>
          <t>1.90</t>
        </is>
      </c>
      <c r="G355" s="32" t="n"/>
      <c r="H355" s="32" t="n"/>
      <c r="I355" s="29" t="n"/>
    </row>
    <row r="356">
      <c r="A356" s="29" t="inlineStr">
        <is>
          <t>AU22696</t>
        </is>
      </c>
      <c r="B356" s="30" t="inlineStr">
        <is>
          <t>NSW-QLD</t>
        </is>
      </c>
      <c r="C356" s="30" t="inlineStr">
        <is>
          <t>VIC</t>
        </is>
      </c>
      <c r="D356" s="30" t="inlineStr">
        <is>
          <t>Full time</t>
        </is>
      </c>
      <c r="E356" s="42">
        <f>VLOOKUP(A356,'[1]Virtus SAMPLE PositionHistorySa'!$A:$L,12,0)</f>
        <v/>
      </c>
      <c r="F356" s="31" t="inlineStr">
        <is>
          <t>2.40</t>
        </is>
      </c>
      <c r="G356" s="32">
        <f>VLOOKUP(A356,Sheet3!A:K,10,0)/38</f>
        <v/>
      </c>
      <c r="H356" s="32">
        <f>F356-G356</f>
        <v/>
      </c>
      <c r="I356" s="29" t="n"/>
    </row>
    <row r="357">
      <c r="A357" s="29" t="inlineStr">
        <is>
          <t>AU22804</t>
        </is>
      </c>
      <c r="B357" s="30" t="inlineStr">
        <is>
          <t>VIC-TAS</t>
        </is>
      </c>
      <c r="C357" s="30" t="inlineStr">
        <is>
          <t>MIVFS2022</t>
        </is>
      </c>
      <c r="D357" s="30" t="inlineStr">
        <is>
          <t>Full time</t>
        </is>
      </c>
      <c r="E357" s="42">
        <f>VLOOKUP(A357,'[1]Virtus SAMPLE PositionHistorySa'!$A:$L,12,0)</f>
        <v/>
      </c>
      <c r="F357" s="31" t="inlineStr">
        <is>
          <t>2.19</t>
        </is>
      </c>
      <c r="G357" s="32">
        <f>VLOOKUP(A357,Sheet3!A:K,10,0)/38</f>
        <v/>
      </c>
      <c r="H357" s="32">
        <f>F357-G357</f>
        <v/>
      </c>
      <c r="I357" s="29" t="n"/>
    </row>
    <row r="358">
      <c r="A358" s="29" t="inlineStr">
        <is>
          <t>AU22856</t>
        </is>
      </c>
      <c r="B358" s="30" t="inlineStr">
        <is>
          <t>NSW-QLD</t>
        </is>
      </c>
      <c r="C358" s="30" t="inlineStr">
        <is>
          <t>IVFS2023</t>
        </is>
      </c>
      <c r="D358" s="30" t="inlineStr">
        <is>
          <t>Casual</t>
        </is>
      </c>
      <c r="E358" s="42">
        <f>VLOOKUP(A358,'[1]Virtus SAMPLE PositionHistorySa'!$A:$L,12,0)</f>
        <v/>
      </c>
      <c r="F358" s="31" t="inlineStr">
        <is>
          <t>2.12</t>
        </is>
      </c>
      <c r="G358" s="32" t="n"/>
      <c r="H358" s="32" t="n"/>
      <c r="I358" s="29" t="n"/>
    </row>
    <row r="359">
      <c r="A359" s="29" t="inlineStr">
        <is>
          <t>AU22970</t>
        </is>
      </c>
      <c r="B359" s="30" t="inlineStr">
        <is>
          <t>NSW-QLD</t>
        </is>
      </c>
      <c r="C359" s="30" t="inlineStr">
        <is>
          <t>QLD</t>
        </is>
      </c>
      <c r="D359" s="30" t="inlineStr">
        <is>
          <t>Full time</t>
        </is>
      </c>
      <c r="E359" s="42">
        <f>VLOOKUP(A359,'[1]Virtus SAMPLE PositionHistorySa'!$A:$L,12,0)</f>
        <v/>
      </c>
      <c r="F359" s="31" t="inlineStr">
        <is>
          <t>1.82</t>
        </is>
      </c>
      <c r="G359" s="32">
        <f>VLOOKUP(A359,Sheet3!A:K,10,0)/38</f>
        <v/>
      </c>
      <c r="H359" s="32">
        <f>F359-G359</f>
        <v/>
      </c>
      <c r="I359" s="29" t="n"/>
    </row>
    <row r="360">
      <c r="A360" s="29" t="inlineStr">
        <is>
          <t>AU22952</t>
        </is>
      </c>
      <c r="B360" s="30" t="inlineStr">
        <is>
          <t>NSW-QLD</t>
        </is>
      </c>
      <c r="C360" s="30" t="inlineStr">
        <is>
          <t>IVFS2023</t>
        </is>
      </c>
      <c r="D360" s="30" t="inlineStr">
        <is>
          <t>Full time</t>
        </is>
      </c>
      <c r="E360" s="42">
        <f>VLOOKUP(A360,'[1]Virtus SAMPLE PositionHistorySa'!$A:$L,12,0)</f>
        <v/>
      </c>
      <c r="F360" s="31" t="inlineStr">
        <is>
          <t>1.82</t>
        </is>
      </c>
      <c r="G360" s="32">
        <f>VLOOKUP(A360,Sheet3!A:K,10,0)/38</f>
        <v/>
      </c>
      <c r="H360" s="32">
        <f>F360-G360</f>
        <v/>
      </c>
      <c r="I360" s="29" t="n"/>
    </row>
    <row r="361">
      <c r="A361" s="29" t="inlineStr">
        <is>
          <t>AU23006</t>
        </is>
      </c>
      <c r="B361" s="30" t="inlineStr">
        <is>
          <t>VIC-TAS</t>
        </is>
      </c>
      <c r="C361" s="30" t="inlineStr">
        <is>
          <t>MIVFS2022</t>
        </is>
      </c>
      <c r="D361" s="30" t="inlineStr">
        <is>
          <t>Part time</t>
        </is>
      </c>
      <c r="E361" s="42">
        <f>VLOOKUP(A361,'[1]Virtus SAMPLE PositionHistorySa'!$A:$L,12,0)</f>
        <v/>
      </c>
      <c r="F361" s="31" t="inlineStr">
        <is>
          <t>1.82</t>
        </is>
      </c>
      <c r="G361" s="32" t="n"/>
      <c r="H361" s="32" t="n"/>
      <c r="I361" s="29" t="n"/>
    </row>
    <row r="362">
      <c r="A362" s="29" t="inlineStr">
        <is>
          <t>AU22998</t>
        </is>
      </c>
      <c r="B362" s="30" t="inlineStr">
        <is>
          <t>NSW-QLD</t>
        </is>
      </c>
      <c r="C362" s="30" t="inlineStr">
        <is>
          <t>IVFS2023</t>
        </is>
      </c>
      <c r="D362" s="30" t="inlineStr">
        <is>
          <t>Full time</t>
        </is>
      </c>
      <c r="E362" s="42">
        <f>VLOOKUP(A362,'[1]Virtus SAMPLE PositionHistorySa'!$A:$L,12,0)</f>
        <v/>
      </c>
      <c r="F362" s="31" t="inlineStr">
        <is>
          <t>1.75</t>
        </is>
      </c>
      <c r="G362" s="32">
        <f>VLOOKUP(A362,Sheet3!A:K,10,0)/38</f>
        <v/>
      </c>
      <c r="H362" s="32">
        <f>F362-G362</f>
        <v/>
      </c>
      <c r="I362" s="29" t="n"/>
    </row>
    <row r="363">
      <c r="A363" s="29" t="inlineStr">
        <is>
          <t>AU23044</t>
        </is>
      </c>
      <c r="B363" s="30" t="inlineStr">
        <is>
          <t>VIC-TAS</t>
        </is>
      </c>
      <c r="C363" s="30" t="inlineStr">
        <is>
          <t>MIVFS2022</t>
        </is>
      </c>
      <c r="D363" s="30" t="inlineStr">
        <is>
          <t>Full time</t>
        </is>
      </c>
      <c r="E363" s="42">
        <f>VLOOKUP(A363,'[1]Virtus SAMPLE PositionHistorySa'!$A:$L,12,0)</f>
        <v/>
      </c>
      <c r="F363" s="31" t="inlineStr">
        <is>
          <t>1.61</t>
        </is>
      </c>
      <c r="G363" s="32">
        <f>VLOOKUP(A363,Sheet3!A:K,10,0)/38</f>
        <v/>
      </c>
      <c r="H363" s="32">
        <f>F363-G363</f>
        <v/>
      </c>
      <c r="I363" s="29" t="n"/>
    </row>
    <row r="364">
      <c r="A364" s="29" t="inlineStr">
        <is>
          <t>AU23020</t>
        </is>
      </c>
      <c r="B364" s="30" t="inlineStr">
        <is>
          <t>NSW-QLD</t>
        </is>
      </c>
      <c r="C364" s="30" t="inlineStr">
        <is>
          <t>NSW</t>
        </is>
      </c>
      <c r="D364" s="30" t="inlineStr">
        <is>
          <t>Full time</t>
        </is>
      </c>
      <c r="E364" s="42">
        <f>VLOOKUP(A364,'[1]Virtus SAMPLE PositionHistorySa'!$A:$L,12,0)</f>
        <v/>
      </c>
      <c r="F364" s="31" t="inlineStr">
        <is>
          <t>1.61</t>
        </is>
      </c>
      <c r="G364" s="32">
        <f>VLOOKUP(A364,Sheet3!A:K,10,0)/38</f>
        <v/>
      </c>
      <c r="H364" s="32">
        <f>F364-G364</f>
        <v/>
      </c>
      <c r="I364" s="29" t="n"/>
    </row>
    <row r="365">
      <c r="A365" s="29" t="inlineStr">
        <is>
          <t>AU22826</t>
        </is>
      </c>
      <c r="B365" s="30" t="inlineStr">
        <is>
          <t>VIC-TAS</t>
        </is>
      </c>
      <c r="C365" s="30" t="inlineStr">
        <is>
          <t>MIVFS2022</t>
        </is>
      </c>
      <c r="D365" s="30" t="inlineStr">
        <is>
          <t>Part time</t>
        </is>
      </c>
      <c r="E365" s="42">
        <f>VLOOKUP(A365,'[1]Virtus SAMPLE PositionHistorySa'!$A:$L,12,0)</f>
        <v/>
      </c>
      <c r="F365" s="31" t="inlineStr">
        <is>
          <t>2.19</t>
        </is>
      </c>
      <c r="G365" s="32" t="n"/>
      <c r="H365" s="32" t="n"/>
      <c r="I365" s="29" t="n"/>
    </row>
    <row r="366">
      <c r="A366" s="29" t="inlineStr">
        <is>
          <t>AU22868</t>
        </is>
      </c>
      <c r="B366" s="30" t="inlineStr">
        <is>
          <t>NSW-QLD</t>
        </is>
      </c>
      <c r="C366" s="30" t="inlineStr">
        <is>
          <t>IVFS2023</t>
        </is>
      </c>
      <c r="D366" s="30" t="inlineStr">
        <is>
          <t>Casual</t>
        </is>
      </c>
      <c r="E366" s="42">
        <f>VLOOKUP(A366,'[1]Virtus SAMPLE PositionHistorySa'!$A:$L,12,0)</f>
        <v/>
      </c>
      <c r="F366" s="31" t="inlineStr">
        <is>
          <t>2.11</t>
        </is>
      </c>
      <c r="G366" s="32" t="n"/>
      <c r="H366" s="32" t="n"/>
      <c r="I366" s="29" t="n"/>
    </row>
    <row r="367">
      <c r="A367" s="29" t="inlineStr">
        <is>
          <t>AU22884</t>
        </is>
      </c>
      <c r="B367" s="30" t="inlineStr">
        <is>
          <t>NSW-QLD</t>
        </is>
      </c>
      <c r="C367" s="30" t="inlineStr">
        <is>
          <t>IVFN2021</t>
        </is>
      </c>
      <c r="D367" s="30" t="inlineStr">
        <is>
          <t>Casual</t>
        </is>
      </c>
      <c r="E367" s="42">
        <f>VLOOKUP(A367,'[1]Virtus SAMPLE PositionHistorySa'!$A:$L,12,0)</f>
        <v/>
      </c>
      <c r="F367" s="31" t="inlineStr">
        <is>
          <t>2.04</t>
        </is>
      </c>
      <c r="G367" s="32" t="n"/>
      <c r="H367" s="32" t="n"/>
      <c r="I367" s="29" t="n"/>
    </row>
    <row r="368">
      <c r="A368" s="29" t="inlineStr">
        <is>
          <t>AU22885</t>
        </is>
      </c>
      <c r="B368" s="30" t="inlineStr">
        <is>
          <t>NSW-QLD</t>
        </is>
      </c>
      <c r="C368" s="30" t="inlineStr">
        <is>
          <t>IVFN2021</t>
        </is>
      </c>
      <c r="D368" s="30" t="inlineStr">
        <is>
          <t>Casual</t>
        </is>
      </c>
      <c r="E368" s="42">
        <f>VLOOKUP(A368,'[1]Virtus SAMPLE PositionHistorySa'!$A:$L,12,0)</f>
        <v/>
      </c>
      <c r="F368" s="31" t="inlineStr">
        <is>
          <t>2.04</t>
        </is>
      </c>
      <c r="G368" s="32" t="n"/>
      <c r="H368" s="32" t="n"/>
      <c r="I368" s="29" t="n"/>
    </row>
    <row r="369">
      <c r="A369" s="29" t="inlineStr">
        <is>
          <t>AU22886</t>
        </is>
      </c>
      <c r="B369" s="30" t="inlineStr">
        <is>
          <t>NSW-QLD</t>
        </is>
      </c>
      <c r="C369" s="30" t="inlineStr">
        <is>
          <t>QS2024</t>
        </is>
      </c>
      <c r="D369" s="30" t="inlineStr">
        <is>
          <t>Part time</t>
        </is>
      </c>
      <c r="E369" s="42">
        <f>VLOOKUP(A369,'[1]Virtus SAMPLE PositionHistorySa'!$A:$L,12,0)</f>
        <v/>
      </c>
      <c r="F369" s="31" t="inlineStr">
        <is>
          <t>2.04</t>
        </is>
      </c>
      <c r="G369" s="32" t="n"/>
      <c r="H369" s="32" t="n"/>
      <c r="I369" s="29" t="n"/>
    </row>
    <row r="370">
      <c r="A370" s="29" t="inlineStr">
        <is>
          <t>AU22912</t>
        </is>
      </c>
      <c r="B370" s="30" t="inlineStr">
        <is>
          <t>VIC-TAS</t>
        </is>
      </c>
      <c r="C370" s="30" t="inlineStr">
        <is>
          <t>MIVFS2022</t>
        </is>
      </c>
      <c r="D370" s="30" t="inlineStr">
        <is>
          <t>Casual</t>
        </is>
      </c>
      <c r="E370" s="42">
        <f>VLOOKUP(A370,'[1]Virtus SAMPLE PositionHistorySa'!$A:$L,12,0)</f>
        <v/>
      </c>
      <c r="F370" s="31" t="inlineStr">
        <is>
          <t>1.97</t>
        </is>
      </c>
      <c r="G370" s="32" t="n"/>
      <c r="H370" s="32" t="n"/>
      <c r="I370" s="29" t="n"/>
    </row>
    <row r="371">
      <c r="A371" s="29" t="inlineStr">
        <is>
          <t>AU22975</t>
        </is>
      </c>
      <c r="B371" s="30" t="inlineStr">
        <is>
          <t>VIC-TAS</t>
        </is>
      </c>
      <c r="C371" s="30" t="inlineStr">
        <is>
          <t>TIVF2024</t>
        </is>
      </c>
      <c r="D371" s="30" t="inlineStr">
        <is>
          <t>Casual</t>
        </is>
      </c>
      <c r="E371" s="42">
        <f>VLOOKUP(A371,'[1]Virtus SAMPLE PositionHistorySa'!$A:$L,12,0)</f>
        <v/>
      </c>
      <c r="F371" s="31" t="inlineStr">
        <is>
          <t>1.82</t>
        </is>
      </c>
      <c r="G371" s="32" t="n"/>
      <c r="H371" s="32" t="n"/>
      <c r="I371" s="29" t="n"/>
    </row>
    <row r="372">
      <c r="A372" s="29" t="inlineStr">
        <is>
          <t>AU23205</t>
        </is>
      </c>
      <c r="B372" s="30" t="inlineStr">
        <is>
          <t>NSW-QLD</t>
        </is>
      </c>
      <c r="C372" s="30" t="inlineStr">
        <is>
          <t>IVFN2021</t>
        </is>
      </c>
      <c r="D372" s="30" t="inlineStr">
        <is>
          <t>Casual</t>
        </is>
      </c>
      <c r="E372" s="42">
        <f>VLOOKUP(A372,'[1]Virtus SAMPLE PositionHistorySa'!$A:$L,12,0)</f>
        <v/>
      </c>
      <c r="F372" s="31" t="inlineStr">
        <is>
          <t>1.27</t>
        </is>
      </c>
      <c r="G372" s="32" t="n"/>
      <c r="H372" s="32" t="n"/>
      <c r="I372" s="29" t="n"/>
    </row>
    <row r="373">
      <c r="A373" s="29" t="inlineStr">
        <is>
          <t>AU23217</t>
        </is>
      </c>
      <c r="B373" s="30" t="inlineStr">
        <is>
          <t>NSW-QLD</t>
        </is>
      </c>
      <c r="C373" s="30" t="inlineStr">
        <is>
          <t>IVFN2021</t>
        </is>
      </c>
      <c r="D373" s="30" t="inlineStr">
        <is>
          <t>Part time</t>
        </is>
      </c>
      <c r="E373" s="42">
        <f>VLOOKUP(A373,'[1]Virtus SAMPLE PositionHistorySa'!$A:$L,12,0)</f>
        <v/>
      </c>
      <c r="F373" s="31" t="inlineStr">
        <is>
          <t>1.27</t>
        </is>
      </c>
      <c r="G373" s="32" t="n"/>
      <c r="H373" s="32" t="n"/>
      <c r="I373" s="29" t="n"/>
    </row>
    <row r="374">
      <c r="A374" s="29" t="inlineStr">
        <is>
          <t>AU23244</t>
        </is>
      </c>
      <c r="B374" s="30" t="inlineStr">
        <is>
          <t>VIC-TAS</t>
        </is>
      </c>
      <c r="C374" s="30" t="inlineStr">
        <is>
          <t>MIVFS2022</t>
        </is>
      </c>
      <c r="D374" s="30" t="inlineStr">
        <is>
          <t>Full time</t>
        </is>
      </c>
      <c r="E374" s="42">
        <f>VLOOKUP(A374,'[1]Virtus SAMPLE PositionHistorySa'!$A:$L,12,0)</f>
        <v/>
      </c>
      <c r="F374" s="31" t="inlineStr">
        <is>
          <t>1.13</t>
        </is>
      </c>
      <c r="G374" s="32">
        <f>VLOOKUP(A374,Sheet3!A:K,10,0)/38</f>
        <v/>
      </c>
      <c r="H374" s="32">
        <f>F374-G374</f>
        <v/>
      </c>
      <c r="I374" s="29" t="n"/>
    </row>
    <row r="375">
      <c r="A375" s="29" t="inlineStr">
        <is>
          <t>AU23255</t>
        </is>
      </c>
      <c r="B375" s="30" t="inlineStr">
        <is>
          <t>VIC-TAS</t>
        </is>
      </c>
      <c r="C375" s="30" t="inlineStr">
        <is>
          <t>MIVFN2023</t>
        </is>
      </c>
      <c r="D375" s="30" t="inlineStr">
        <is>
          <t>Full time</t>
        </is>
      </c>
      <c r="E375" s="42">
        <f>VLOOKUP(A375,'[1]Virtus SAMPLE PositionHistorySa'!$A:$L,12,0)</f>
        <v/>
      </c>
      <c r="F375" s="31" t="inlineStr">
        <is>
          <t>1.13</t>
        </is>
      </c>
      <c r="G375" s="32">
        <f>VLOOKUP(A375,Sheet3!A:K,10,0)/38</f>
        <v/>
      </c>
      <c r="H375" s="32">
        <f>F375-G375</f>
        <v/>
      </c>
      <c r="I375" s="29" t="n"/>
    </row>
    <row r="376">
      <c r="A376" s="29" t="inlineStr">
        <is>
          <t>AU23262</t>
        </is>
      </c>
      <c r="B376" s="30" t="inlineStr">
        <is>
          <t>VIC-TAS</t>
        </is>
      </c>
      <c r="C376" s="30" t="inlineStr">
        <is>
          <t>MIVFN2023</t>
        </is>
      </c>
      <c r="D376" s="30" t="inlineStr">
        <is>
          <t>Full time</t>
        </is>
      </c>
      <c r="E376" s="42">
        <f>VLOOKUP(A376,'[1]Virtus SAMPLE PositionHistorySa'!$A:$L,12,0)</f>
        <v/>
      </c>
      <c r="F376" s="31" t="inlineStr">
        <is>
          <t>1.13</t>
        </is>
      </c>
      <c r="G376" s="32">
        <f>VLOOKUP(A376,Sheet3!A:K,10,0)/38</f>
        <v/>
      </c>
      <c r="H376" s="32">
        <f>F376-G376</f>
        <v/>
      </c>
      <c r="I376" s="29" t="n"/>
    </row>
    <row r="377">
      <c r="A377" s="29" t="inlineStr">
        <is>
          <t>AU23274</t>
        </is>
      </c>
      <c r="B377" s="30" t="inlineStr">
        <is>
          <t>VIC-TAS</t>
        </is>
      </c>
      <c r="C377" s="30" t="inlineStr">
        <is>
          <t>MIVFN2023</t>
        </is>
      </c>
      <c r="D377" s="30" t="inlineStr">
        <is>
          <t>Full time</t>
        </is>
      </c>
      <c r="E377" s="42">
        <f>VLOOKUP(A377,'[1]Virtus SAMPLE PositionHistorySa'!$A:$L,12,0)</f>
        <v/>
      </c>
      <c r="F377" s="31" t="inlineStr">
        <is>
          <t>1.13</t>
        </is>
      </c>
      <c r="G377" s="32">
        <f>VLOOKUP(A377,Sheet3!A:K,10,0)/38</f>
        <v/>
      </c>
      <c r="H377" s="32">
        <f>F377-G377</f>
        <v/>
      </c>
      <c r="I377" s="29" t="n"/>
    </row>
    <row r="378">
      <c r="A378" s="29" t="inlineStr">
        <is>
          <t>AU23301</t>
        </is>
      </c>
      <c r="B378" s="30" t="inlineStr">
        <is>
          <t>NSW-QLD</t>
        </is>
      </c>
      <c r="C378" s="30" t="inlineStr">
        <is>
          <t>VIC</t>
        </is>
      </c>
      <c r="D378" s="30" t="inlineStr">
        <is>
          <t>Full time</t>
        </is>
      </c>
      <c r="E378" s="42">
        <f>VLOOKUP(A378,'[1]Virtus SAMPLE PositionHistorySa'!$A:$L,12,0)</f>
        <v/>
      </c>
      <c r="F378" s="31" t="inlineStr">
        <is>
          <t>1.13</t>
        </is>
      </c>
      <c r="G378" s="32">
        <f>VLOOKUP(A378,Sheet3!A:K,10,0)/38</f>
        <v/>
      </c>
      <c r="H378" s="32">
        <f>F378-G378</f>
        <v/>
      </c>
      <c r="I378" s="29" t="n"/>
    </row>
    <row r="379">
      <c r="A379" s="29" t="inlineStr">
        <is>
          <t>AU23267</t>
        </is>
      </c>
      <c r="B379" s="30" t="inlineStr">
        <is>
          <t>VIC-TAS</t>
        </is>
      </c>
      <c r="C379" s="30" t="inlineStr">
        <is>
          <t>VIC</t>
        </is>
      </c>
      <c r="D379" s="30" t="inlineStr">
        <is>
          <t>Part time</t>
        </is>
      </c>
      <c r="E379" s="42">
        <f>VLOOKUP(A379,'[1]Virtus SAMPLE PositionHistorySa'!$A:$L,12,0)</f>
        <v/>
      </c>
      <c r="F379" s="31" t="inlineStr">
        <is>
          <t>1.13</t>
        </is>
      </c>
      <c r="G379" s="32" t="n"/>
      <c r="H379" s="32" t="n"/>
      <c r="I379" s="29" t="n"/>
    </row>
    <row r="380">
      <c r="A380" s="29" t="inlineStr">
        <is>
          <t>AU23270</t>
        </is>
      </c>
      <c r="B380" s="30" t="inlineStr">
        <is>
          <t>NSW-QLD</t>
        </is>
      </c>
      <c r="C380" s="30" t="inlineStr">
        <is>
          <t>IVFS2023</t>
        </is>
      </c>
      <c r="D380" s="30" t="inlineStr">
        <is>
          <t>Casual</t>
        </is>
      </c>
      <c r="E380" s="42">
        <f>VLOOKUP(A380,'[1]Virtus SAMPLE PositionHistorySa'!$A:$L,12,0)</f>
        <v/>
      </c>
      <c r="F380" s="31" t="inlineStr">
        <is>
          <t>1.13</t>
        </is>
      </c>
      <c r="G380" s="32" t="n"/>
      <c r="H380" s="32" t="n"/>
      <c r="I380" s="29" t="n"/>
    </row>
    <row r="381">
      <c r="A381" s="29" t="inlineStr">
        <is>
          <t>AU23271</t>
        </is>
      </c>
      <c r="B381" s="30" t="inlineStr">
        <is>
          <t>NSW-QLD</t>
        </is>
      </c>
      <c r="C381" s="30" t="inlineStr">
        <is>
          <t>IVFS2023</t>
        </is>
      </c>
      <c r="D381" s="30" t="inlineStr">
        <is>
          <t>Casual</t>
        </is>
      </c>
      <c r="E381" s="42">
        <f>VLOOKUP(A381,'[1]Virtus SAMPLE PositionHistorySa'!$A:$L,12,0)</f>
        <v/>
      </c>
      <c r="F381" s="31" t="inlineStr">
        <is>
          <t>1.13</t>
        </is>
      </c>
      <c r="G381" s="32" t="n"/>
      <c r="H381" s="32" t="n"/>
      <c r="I381" s="29" t="n"/>
    </row>
    <row r="382">
      <c r="A382" s="29" t="inlineStr">
        <is>
          <t>AU23295</t>
        </is>
      </c>
      <c r="B382" s="30" t="inlineStr">
        <is>
          <t>NSW-QLD</t>
        </is>
      </c>
      <c r="C382" s="30" t="inlineStr">
        <is>
          <t>IVFS2023</t>
        </is>
      </c>
      <c r="D382" s="30" t="inlineStr">
        <is>
          <t>Part time</t>
        </is>
      </c>
      <c r="E382" s="42">
        <f>VLOOKUP(A382,'[1]Virtus SAMPLE PositionHistorySa'!$A:$L,12,0)</f>
        <v/>
      </c>
      <c r="F382" s="31" t="inlineStr">
        <is>
          <t>1.13</t>
        </is>
      </c>
      <c r="G382" s="32" t="n"/>
      <c r="H382" s="32" t="n"/>
      <c r="I382" s="29" t="n"/>
    </row>
    <row r="383">
      <c r="A383" s="29" t="inlineStr">
        <is>
          <t>AU23279</t>
        </is>
      </c>
      <c r="B383" s="30" t="inlineStr">
        <is>
          <t>NSW-QLD</t>
        </is>
      </c>
      <c r="C383" s="30" t="inlineStr">
        <is>
          <t>IVFT2024</t>
        </is>
      </c>
      <c r="D383" s="30" t="inlineStr">
        <is>
          <t>Full time</t>
        </is>
      </c>
      <c r="E383" s="42">
        <f>VLOOKUP(A383,'[1]Virtus SAMPLE PositionHistorySa'!$A:$L,12,0)</f>
        <v/>
      </c>
      <c r="F383" s="31" t="inlineStr">
        <is>
          <t>1.05</t>
        </is>
      </c>
      <c r="G383" s="32">
        <f>VLOOKUP(A383,Sheet3!A:K,10,0)/38</f>
        <v/>
      </c>
      <c r="H383" s="32">
        <f>F383-G383</f>
        <v/>
      </c>
      <c r="I383" s="29" t="n"/>
    </row>
    <row r="384">
      <c r="A384" s="29" t="inlineStr">
        <is>
          <t>AU23407</t>
        </is>
      </c>
      <c r="B384" s="30" t="inlineStr">
        <is>
          <t>NSW-QLD</t>
        </is>
      </c>
      <c r="C384" s="30" t="inlineStr">
        <is>
          <t>VIC</t>
        </is>
      </c>
      <c r="D384" s="30" t="inlineStr">
        <is>
          <t>Full time</t>
        </is>
      </c>
      <c r="E384" s="42">
        <f>VLOOKUP(A384,'[1]Virtus SAMPLE PositionHistorySa'!$A:$L,12,0)</f>
        <v/>
      </c>
      <c r="F384" s="31" t="inlineStr">
        <is>
          <t>0.84</t>
        </is>
      </c>
      <c r="G384" s="32">
        <f>VLOOKUP(A384,Sheet3!A:K,10,0)/38</f>
        <v/>
      </c>
      <c r="H384" s="32">
        <f>F384-G384</f>
        <v/>
      </c>
      <c r="I384" s="29" t="n"/>
    </row>
    <row r="385">
      <c r="A385" s="29" t="inlineStr">
        <is>
          <t>AU23139</t>
        </is>
      </c>
      <c r="B385" s="30" t="inlineStr">
        <is>
          <t>NSW-QLD</t>
        </is>
      </c>
      <c r="C385" s="30" t="inlineStr">
        <is>
          <t>IVFS2023</t>
        </is>
      </c>
      <c r="D385" s="30" t="inlineStr">
        <is>
          <t>Full time</t>
        </is>
      </c>
      <c r="E385" s="42">
        <f>VLOOKUP(A385,'[1]Virtus SAMPLE PositionHistorySa'!$A:$L,12,0)</f>
        <v/>
      </c>
      <c r="F385" s="31" t="inlineStr">
        <is>
          <t>1.34</t>
        </is>
      </c>
      <c r="G385" s="32">
        <f>VLOOKUP(A385,Sheet3!A:K,10,0)/38</f>
        <v/>
      </c>
      <c r="H385" s="32">
        <f>F385-G385</f>
        <v/>
      </c>
      <c r="I385" s="29" t="n"/>
    </row>
    <row r="386">
      <c r="A386" s="29" t="inlineStr">
        <is>
          <t>AU23131</t>
        </is>
      </c>
      <c r="B386" s="30" t="inlineStr">
        <is>
          <t>NSW-QLD</t>
        </is>
      </c>
      <c r="C386" s="30" t="inlineStr">
        <is>
          <t>NSW</t>
        </is>
      </c>
      <c r="D386" s="30" t="inlineStr">
        <is>
          <t>Full time</t>
        </is>
      </c>
      <c r="E386" s="42">
        <f>VLOOKUP(A386,'[1]Virtus SAMPLE PositionHistorySa'!$A:$L,12,0)</f>
        <v/>
      </c>
      <c r="F386" s="31" t="inlineStr">
        <is>
          <t>1.34</t>
        </is>
      </c>
      <c r="G386" s="32">
        <f>VLOOKUP(A386,Sheet3!A:K,10,0)/38</f>
        <v/>
      </c>
      <c r="H386" s="32">
        <f>F386-G386</f>
        <v/>
      </c>
      <c r="I386" s="29" t="n"/>
    </row>
    <row r="387">
      <c r="A387" s="29" t="inlineStr">
        <is>
          <t>AU23146</t>
        </is>
      </c>
      <c r="B387" s="30" t="inlineStr">
        <is>
          <t>NSW-QLD</t>
        </is>
      </c>
      <c r="C387" s="30" t="inlineStr">
        <is>
          <t>VIC</t>
        </is>
      </c>
      <c r="D387" s="30" t="inlineStr">
        <is>
          <t>Full time</t>
        </is>
      </c>
      <c r="E387" s="42">
        <f>VLOOKUP(A387,'[1]Virtus SAMPLE PositionHistorySa'!$A:$L,12,0)</f>
        <v/>
      </c>
      <c r="F387" s="31" t="inlineStr">
        <is>
          <t>1.34</t>
        </is>
      </c>
      <c r="G387" s="32">
        <f>VLOOKUP(A387,Sheet3!A:K,10,0)/38</f>
        <v/>
      </c>
      <c r="H387" s="32">
        <f>F387-G387</f>
        <v/>
      </c>
      <c r="I387" s="29" t="n"/>
    </row>
    <row r="388">
      <c r="A388" s="29" t="inlineStr">
        <is>
          <t>AU23200</t>
        </is>
      </c>
      <c r="B388" s="30" t="inlineStr">
        <is>
          <t>NSW-QLD</t>
        </is>
      </c>
      <c r="C388" s="30" t="inlineStr">
        <is>
          <t>IVFN2021</t>
        </is>
      </c>
      <c r="D388" s="30" t="inlineStr">
        <is>
          <t>Full time</t>
        </is>
      </c>
      <c r="E388" s="42">
        <f>VLOOKUP(A388,'[1]Virtus SAMPLE PositionHistorySa'!$A:$L,12,0)</f>
        <v/>
      </c>
      <c r="F388" s="31" t="inlineStr">
        <is>
          <t>1.34</t>
        </is>
      </c>
      <c r="G388" s="32">
        <f>VLOOKUP(A388,Sheet3!A:K,10,0)/38</f>
        <v/>
      </c>
      <c r="H388" s="32">
        <f>F388-G388</f>
        <v/>
      </c>
      <c r="I388" s="29" t="n"/>
    </row>
    <row r="389">
      <c r="A389" s="29" t="inlineStr">
        <is>
          <t>AU23147</t>
        </is>
      </c>
      <c r="B389" s="30" t="inlineStr">
        <is>
          <t>NSW-QLD</t>
        </is>
      </c>
      <c r="C389" s="30" t="inlineStr">
        <is>
          <t>IVFN2021</t>
        </is>
      </c>
      <c r="D389" s="30" t="inlineStr">
        <is>
          <t>Part time</t>
        </is>
      </c>
      <c r="E389" s="42">
        <f>VLOOKUP(A389,'[1]Virtus SAMPLE PositionHistorySa'!$A:$L,12,0)</f>
        <v/>
      </c>
      <c r="F389" s="31" t="inlineStr">
        <is>
          <t>1.34</t>
        </is>
      </c>
      <c r="G389" s="32" t="n"/>
      <c r="H389" s="32" t="n"/>
      <c r="I389" s="29" t="n"/>
    </row>
    <row r="390">
      <c r="A390" s="29" t="inlineStr">
        <is>
          <t>AU23299</t>
        </is>
      </c>
      <c r="B390" s="30" t="inlineStr">
        <is>
          <t>VIC-TAS</t>
        </is>
      </c>
      <c r="C390" s="30" t="inlineStr">
        <is>
          <t>TIVF2024</t>
        </is>
      </c>
      <c r="D390" s="30" t="inlineStr">
        <is>
          <t>Part time</t>
        </is>
      </c>
      <c r="E390" s="42">
        <f>VLOOKUP(A390,'[1]Virtus SAMPLE PositionHistorySa'!$A:$L,12,0)</f>
        <v/>
      </c>
      <c r="F390" s="31" t="inlineStr">
        <is>
          <t>1.05</t>
        </is>
      </c>
      <c r="G390" s="32" t="n"/>
      <c r="H390" s="32" t="n"/>
      <c r="I390" s="29" t="n"/>
    </row>
    <row r="391">
      <c r="A391" s="29" t="inlineStr">
        <is>
          <t>AU23258</t>
        </is>
      </c>
      <c r="B391" s="30" t="inlineStr">
        <is>
          <t>NSW-QLD</t>
        </is>
      </c>
      <c r="C391" s="30" t="inlineStr">
        <is>
          <t>NSW</t>
        </is>
      </c>
      <c r="D391" s="30" t="inlineStr">
        <is>
          <t>Full time</t>
        </is>
      </c>
      <c r="E391" s="42">
        <f>VLOOKUP(A391,'[1]Virtus SAMPLE PositionHistorySa'!$A:$L,12,0)</f>
        <v/>
      </c>
      <c r="F391" s="31" t="inlineStr">
        <is>
          <t>0.98</t>
        </is>
      </c>
      <c r="G391" s="32">
        <f>VLOOKUP(A391,Sheet3!A:K,10,0)/38</f>
        <v/>
      </c>
      <c r="H391" s="32">
        <f>F391-G391</f>
        <v/>
      </c>
      <c r="I391" s="29" t="n"/>
    </row>
    <row r="392">
      <c r="A392" s="29" t="inlineStr">
        <is>
          <t>AU23333</t>
        </is>
      </c>
      <c r="B392" s="30" t="inlineStr">
        <is>
          <t>NSW-QLD</t>
        </is>
      </c>
      <c r="C392" s="30" t="inlineStr">
        <is>
          <t>NSW</t>
        </is>
      </c>
      <c r="D392" s="30" t="inlineStr">
        <is>
          <t>Full time</t>
        </is>
      </c>
      <c r="E392" s="42">
        <f>VLOOKUP(A392,'[1]Virtus SAMPLE PositionHistorySa'!$A:$L,12,0)</f>
        <v/>
      </c>
      <c r="F392" s="31" t="inlineStr">
        <is>
          <t>0.98</t>
        </is>
      </c>
      <c r="G392" s="32">
        <f>VLOOKUP(A392,Sheet3!A:K,10,0)/38</f>
        <v/>
      </c>
      <c r="H392" s="32">
        <f>F392-G392</f>
        <v/>
      </c>
      <c r="I392" s="29" t="n"/>
    </row>
    <row r="393">
      <c r="A393" s="29" t="inlineStr">
        <is>
          <t>AU23419</t>
        </is>
      </c>
      <c r="B393" s="30" t="inlineStr">
        <is>
          <t>NSW-QLD</t>
        </is>
      </c>
      <c r="C393" s="30" t="inlineStr">
        <is>
          <t>IVFN2021</t>
        </is>
      </c>
      <c r="D393" s="30">
        <f>VLOOKUP(A393,Sheet3!A:E,5,0)</f>
        <v/>
      </c>
      <c r="E393" s="42">
        <f>VLOOKUP(A393,'[1]Virtus SAMPLE PositionHistorySa'!$A:$L,12,0)</f>
        <v/>
      </c>
      <c r="F393" s="31" t="inlineStr">
        <is>
          <t>0.76</t>
        </is>
      </c>
      <c r="G393" s="32" t="n"/>
      <c r="H393" s="32" t="n"/>
      <c r="I393" s="29" t="n"/>
    </row>
    <row r="394">
      <c r="A394" s="29" t="inlineStr">
        <is>
          <t>AU23426</t>
        </is>
      </c>
      <c r="B394" s="30" t="inlineStr">
        <is>
          <t>VIC-TAS</t>
        </is>
      </c>
      <c r="C394" s="30" t="inlineStr">
        <is>
          <t>MIVFS2022</t>
        </is>
      </c>
      <c r="D394" s="30">
        <f>VLOOKUP(A394,Sheet3!A:E,5,0)</f>
        <v/>
      </c>
      <c r="E394" s="42">
        <f>VLOOKUP(A394,'[1]Virtus SAMPLE PositionHistorySa'!$A:$L,12,0)</f>
        <v/>
      </c>
      <c r="F394" s="31" t="inlineStr">
        <is>
          <t>0.76</t>
        </is>
      </c>
      <c r="G394" s="32" t="n"/>
      <c r="H394" s="32" t="n"/>
      <c r="I394" s="29" t="n"/>
    </row>
    <row r="395">
      <c r="A395" s="29" t="inlineStr">
        <is>
          <t>AU23448</t>
        </is>
      </c>
      <c r="B395" s="30" t="inlineStr">
        <is>
          <t>NSW-QLD</t>
        </is>
      </c>
      <c r="C395" s="30" t="inlineStr">
        <is>
          <t>QN2025</t>
        </is>
      </c>
      <c r="D395" s="30" t="inlineStr">
        <is>
          <t>Casual</t>
        </is>
      </c>
      <c r="E395" s="42">
        <f>VLOOKUP(A395,'[1]Virtus SAMPLE PositionHistorySa'!$A:$L,12,0)</f>
        <v/>
      </c>
      <c r="F395" s="31" t="inlineStr">
        <is>
          <t>1.14</t>
        </is>
      </c>
      <c r="G395" s="32" t="n"/>
      <c r="H395" s="32" t="n"/>
      <c r="I395" s="29" t="n"/>
    </row>
    <row r="396">
      <c r="A396" s="29" t="inlineStr">
        <is>
          <t>AU23459</t>
        </is>
      </c>
      <c r="B396" s="30" t="inlineStr">
        <is>
          <t>NSW-QLD</t>
        </is>
      </c>
      <c r="C396" s="30" t="inlineStr">
        <is>
          <t>IVFN2021</t>
        </is>
      </c>
      <c r="D396" s="30" t="inlineStr">
        <is>
          <t>Casual</t>
        </is>
      </c>
      <c r="E396" s="42">
        <f>VLOOKUP(A396,'[1]Virtus SAMPLE PositionHistorySa'!$A:$L,12,0)</f>
        <v/>
      </c>
      <c r="F396" s="31" t="inlineStr">
        <is>
          <t>0.76</t>
        </is>
      </c>
      <c r="G396" s="32" t="n"/>
      <c r="H396" s="32" t="n"/>
      <c r="I396" s="29" t="n"/>
    </row>
    <row r="397">
      <c r="A397" s="29" t="inlineStr">
        <is>
          <t>AU23225</t>
        </is>
      </c>
      <c r="B397" s="30" t="inlineStr">
        <is>
          <t>VIC-TAS</t>
        </is>
      </c>
      <c r="C397" s="30" t="inlineStr">
        <is>
          <t>MIVFS2022</t>
        </is>
      </c>
      <c r="D397" s="30" t="inlineStr">
        <is>
          <t>Part time</t>
        </is>
      </c>
      <c r="E397" s="42">
        <f>VLOOKUP(A397,'[1]Virtus SAMPLE PositionHistorySa'!$A:$L,12,0)</f>
        <v/>
      </c>
      <c r="F397" s="31" t="inlineStr">
        <is>
          <t>1.19</t>
        </is>
      </c>
      <c r="G397" s="32" t="n"/>
      <c r="H397" s="32" t="n"/>
      <c r="I397" s="29" t="n"/>
    </row>
    <row r="398">
      <c r="A398" s="29" t="inlineStr">
        <is>
          <t>AU23232</t>
        </is>
      </c>
      <c r="B398" s="30" t="inlineStr">
        <is>
          <t>NSW-QLD</t>
        </is>
      </c>
      <c r="C398" s="30" t="inlineStr">
        <is>
          <t>IVFN2021</t>
        </is>
      </c>
      <c r="D398" s="30" t="inlineStr">
        <is>
          <t>Part time</t>
        </is>
      </c>
      <c r="E398" s="42">
        <f>VLOOKUP(A398,'[1]Virtus SAMPLE PositionHistorySa'!$A:$L,12,0)</f>
        <v/>
      </c>
      <c r="F398" s="31" t="inlineStr">
        <is>
          <t>1.19</t>
        </is>
      </c>
      <c r="G398" s="32" t="n"/>
      <c r="H398" s="32" t="n"/>
      <c r="I398" s="29" t="n"/>
    </row>
    <row r="399">
      <c r="A399" s="29" t="inlineStr">
        <is>
          <t>AU23239</t>
        </is>
      </c>
      <c r="B399" s="30" t="inlineStr">
        <is>
          <t>NSW-QLD</t>
        </is>
      </c>
      <c r="C399" s="30" t="inlineStr">
        <is>
          <t>IVFS2023</t>
        </is>
      </c>
      <c r="D399" s="30" t="inlineStr">
        <is>
          <t>Part time</t>
        </is>
      </c>
      <c r="E399" s="42">
        <f>VLOOKUP(A399,'[1]Virtus SAMPLE PositionHistorySa'!$A:$L,12,0)</f>
        <v/>
      </c>
      <c r="F399" s="31" t="inlineStr">
        <is>
          <t>1.19</t>
        </is>
      </c>
      <c r="G399" s="32" t="n"/>
      <c r="H399" s="32" t="n"/>
      <c r="I399" s="29" t="n"/>
    </row>
    <row r="400">
      <c r="A400" s="29" t="inlineStr">
        <is>
          <t>AU23245</t>
        </is>
      </c>
      <c r="B400" s="30" t="inlineStr">
        <is>
          <t>NSW-QLD</t>
        </is>
      </c>
      <c r="C400" s="30" t="inlineStr">
        <is>
          <t>IVFS2023</t>
        </is>
      </c>
      <c r="D400" s="30" t="inlineStr">
        <is>
          <t>Part time</t>
        </is>
      </c>
      <c r="E400" s="42">
        <f>VLOOKUP(A400,'[1]Virtus SAMPLE PositionHistorySa'!$A:$L,12,0)</f>
        <v/>
      </c>
      <c r="F400" s="31" t="inlineStr">
        <is>
          <t>1.19</t>
        </is>
      </c>
      <c r="G400" s="32" t="n"/>
      <c r="H400" s="32" t="n"/>
      <c r="I400" s="29" t="n"/>
    </row>
    <row r="401">
      <c r="A401" s="29" t="inlineStr">
        <is>
          <t>AU23344</t>
        </is>
      </c>
      <c r="B401" s="30" t="inlineStr">
        <is>
          <t>VIC-TAS</t>
        </is>
      </c>
      <c r="C401" s="30" t="inlineStr">
        <is>
          <t>VIC</t>
        </is>
      </c>
      <c r="D401" s="30" t="inlineStr">
        <is>
          <t>Casual</t>
        </is>
      </c>
      <c r="E401" s="42">
        <f>VLOOKUP(A401,'[1]Virtus SAMPLE PositionHistorySa'!$A:$L,12,0)</f>
        <v/>
      </c>
      <c r="F401" s="31" t="inlineStr">
        <is>
          <t>0.98</t>
        </is>
      </c>
      <c r="G401" s="32" t="n"/>
      <c r="H401" s="32" t="n"/>
      <c r="I401" s="29" t="n"/>
    </row>
    <row r="402">
      <c r="A402" s="29" t="inlineStr">
        <is>
          <t>AU23103</t>
        </is>
      </c>
      <c r="B402" s="30" t="inlineStr">
        <is>
          <t>VIC-TAS</t>
        </is>
      </c>
      <c r="C402" s="30" t="inlineStr">
        <is>
          <t>VIC</t>
        </is>
      </c>
      <c r="D402" s="30" t="inlineStr">
        <is>
          <t>Full time</t>
        </is>
      </c>
      <c r="E402" s="42">
        <f>VLOOKUP(A402,'[1]Virtus SAMPLE PositionHistorySa'!$A:$L,12,0)</f>
        <v/>
      </c>
      <c r="F402" s="31" t="inlineStr">
        <is>
          <t>1.41</t>
        </is>
      </c>
      <c r="G402" s="32">
        <f>VLOOKUP(A402,Sheet3!A:K,10,0)/38</f>
        <v/>
      </c>
      <c r="H402" s="32">
        <f>F402-G402</f>
        <v/>
      </c>
      <c r="I402" s="29" t="n"/>
    </row>
    <row r="403">
      <c r="A403" s="29" t="inlineStr">
        <is>
          <t>AU23114</t>
        </is>
      </c>
      <c r="B403" s="30" t="inlineStr">
        <is>
          <t>NSW-QLD</t>
        </is>
      </c>
      <c r="C403" s="30" t="inlineStr">
        <is>
          <t>IVFN2021</t>
        </is>
      </c>
      <c r="D403" s="30" t="inlineStr">
        <is>
          <t>Full time</t>
        </is>
      </c>
      <c r="E403" s="42">
        <f>VLOOKUP(A403,'[1]Virtus SAMPLE PositionHistorySa'!$A:$L,12,0)</f>
        <v/>
      </c>
      <c r="F403" s="31" t="inlineStr">
        <is>
          <t>1.41</t>
        </is>
      </c>
      <c r="G403" s="32">
        <f>VLOOKUP(A403,Sheet3!A:K,10,0)/38</f>
        <v/>
      </c>
      <c r="H403" s="32">
        <f>F403-G403</f>
        <v/>
      </c>
      <c r="I403" s="29" t="n"/>
    </row>
    <row r="404">
      <c r="A404" s="29" t="inlineStr">
        <is>
          <t>AU23109</t>
        </is>
      </c>
      <c r="B404" s="30" t="inlineStr">
        <is>
          <t>NSW-QLD</t>
        </is>
      </c>
      <c r="C404" s="30" t="inlineStr">
        <is>
          <t>QS2024</t>
        </is>
      </c>
      <c r="D404" s="30" t="inlineStr">
        <is>
          <t>Casual</t>
        </is>
      </c>
      <c r="E404" s="42">
        <f>VLOOKUP(A404,'[1]Virtus SAMPLE PositionHistorySa'!$A:$L,12,0)</f>
        <v/>
      </c>
      <c r="F404" s="31" t="inlineStr">
        <is>
          <t>1.41</t>
        </is>
      </c>
      <c r="G404" s="32" t="n"/>
      <c r="H404" s="32" t="n"/>
      <c r="I404" s="29" t="n"/>
    </row>
    <row r="405">
      <c r="A405" s="29" t="inlineStr">
        <is>
          <t>AU23115</t>
        </is>
      </c>
      <c r="B405" s="30" t="inlineStr">
        <is>
          <t>VIC-TAS</t>
        </is>
      </c>
      <c r="C405" s="30" t="inlineStr">
        <is>
          <t>MIVFN2023</t>
        </is>
      </c>
      <c r="D405" s="30" t="inlineStr">
        <is>
          <t>Part time</t>
        </is>
      </c>
      <c r="E405" s="42">
        <f>VLOOKUP(A405,'[1]Virtus SAMPLE PositionHistorySa'!$A:$L,12,0)</f>
        <v/>
      </c>
      <c r="F405" s="31" t="inlineStr">
        <is>
          <t>1.41</t>
        </is>
      </c>
      <c r="G405" s="32" t="n"/>
      <c r="H405" s="32" t="n"/>
      <c r="I405" s="29" t="n"/>
    </row>
    <row r="406">
      <c r="A406" s="29" t="inlineStr">
        <is>
          <t>AU23116</t>
        </is>
      </c>
      <c r="B406" s="30" t="inlineStr">
        <is>
          <t>NSW-QLD</t>
        </is>
      </c>
      <c r="C406" s="30" t="inlineStr">
        <is>
          <t>IVFN2021</t>
        </is>
      </c>
      <c r="D406" s="30" t="inlineStr">
        <is>
          <t>Casual</t>
        </is>
      </c>
      <c r="E406" s="42">
        <f>VLOOKUP(A406,'[1]Virtus SAMPLE PositionHistorySa'!$A:$L,12,0)</f>
        <v/>
      </c>
      <c r="F406" s="31" t="inlineStr">
        <is>
          <t>1.41</t>
        </is>
      </c>
      <c r="G406" s="32" t="n"/>
      <c r="H406" s="32" t="n"/>
      <c r="I406" s="29" t="n"/>
    </row>
    <row r="407">
      <c r="A407" s="29" t="inlineStr">
        <is>
          <t>AU23117</t>
        </is>
      </c>
      <c r="B407" s="30" t="inlineStr">
        <is>
          <t>NSW-QLD</t>
        </is>
      </c>
      <c r="C407" s="30" t="inlineStr">
        <is>
          <t>IVFS2023</t>
        </is>
      </c>
      <c r="D407" s="30" t="inlineStr">
        <is>
          <t>Casual</t>
        </is>
      </c>
      <c r="E407" s="42">
        <f>VLOOKUP(A407,'[1]Virtus SAMPLE PositionHistorySa'!$A:$L,12,0)</f>
        <v/>
      </c>
      <c r="F407" s="31" t="inlineStr">
        <is>
          <t>1.41</t>
        </is>
      </c>
      <c r="G407" s="32" t="n"/>
      <c r="H407" s="32" t="n"/>
      <c r="I407" s="29" t="n"/>
    </row>
    <row r="408">
      <c r="A408" s="29" t="inlineStr">
        <is>
          <t>AU23148</t>
        </is>
      </c>
      <c r="B408" s="30" t="inlineStr">
        <is>
          <t>VIC-TAS</t>
        </is>
      </c>
      <c r="C408" s="30" t="inlineStr">
        <is>
          <t>MIVFS2022</t>
        </is>
      </c>
      <c r="D408" s="30" t="inlineStr">
        <is>
          <t>Full time</t>
        </is>
      </c>
      <c r="E408" s="42">
        <f>VLOOKUP(A408,'[1]Virtus SAMPLE PositionHistorySa'!$A:$L,12,0)</f>
        <v/>
      </c>
      <c r="F408" s="31" t="inlineStr">
        <is>
          <t>1.34</t>
        </is>
      </c>
      <c r="G408" s="32">
        <f>VLOOKUP(A408,Sheet3!A:K,10,0)/38</f>
        <v/>
      </c>
      <c r="H408" s="32">
        <f>F408-G408</f>
        <v/>
      </c>
      <c r="I408" s="29" t="n"/>
    </row>
    <row r="409">
      <c r="A409" s="29" t="inlineStr">
        <is>
          <t>AU23153</t>
        </is>
      </c>
      <c r="B409" s="30" t="inlineStr">
        <is>
          <t>NSW-QLD</t>
        </is>
      </c>
      <c r="C409" s="30" t="inlineStr">
        <is>
          <t>IVFS2023</t>
        </is>
      </c>
      <c r="D409" s="30" t="inlineStr">
        <is>
          <t>Casual</t>
        </is>
      </c>
      <c r="E409" s="42">
        <f>VLOOKUP(A409,'[1]Virtus SAMPLE PositionHistorySa'!$A:$L,12,0)</f>
        <v/>
      </c>
      <c r="F409" s="31" t="inlineStr">
        <is>
          <t>1.34</t>
        </is>
      </c>
      <c r="G409" s="32" t="n"/>
      <c r="H409" s="32" t="n"/>
      <c r="I409" s="29" t="n"/>
    </row>
    <row r="410">
      <c r="A410" s="29" t="inlineStr">
        <is>
          <t>AU23414</t>
        </is>
      </c>
      <c r="B410" s="30" t="inlineStr">
        <is>
          <t>VIC-TAS</t>
        </is>
      </c>
      <c r="C410" s="30" t="inlineStr">
        <is>
          <t>MIVFS2022</t>
        </is>
      </c>
      <c r="D410" s="30" t="inlineStr">
        <is>
          <t>Full time</t>
        </is>
      </c>
      <c r="E410" s="42">
        <f>VLOOKUP(A410,'[1]Virtus SAMPLE PositionHistorySa'!$A:$L,12,0)</f>
        <v/>
      </c>
      <c r="F410" s="31" t="inlineStr">
        <is>
          <t>0.83</t>
        </is>
      </c>
      <c r="G410" s="32">
        <f>VLOOKUP(A410,Sheet3!A:K,10,0)/38</f>
        <v/>
      </c>
      <c r="H410" s="32">
        <f>F410-G410</f>
        <v/>
      </c>
      <c r="I410" s="29" t="n"/>
    </row>
    <row r="411">
      <c r="A411" s="29" t="inlineStr">
        <is>
          <t>AU23423</t>
        </is>
      </c>
      <c r="B411" s="30" t="inlineStr">
        <is>
          <t>VIC-TAS</t>
        </is>
      </c>
      <c r="C411" s="30" t="inlineStr">
        <is>
          <t>MIVFS2022</t>
        </is>
      </c>
      <c r="D411" s="30" t="inlineStr">
        <is>
          <t>Full time</t>
        </is>
      </c>
      <c r="E411" s="42">
        <f>VLOOKUP(A411,'[1]Virtus SAMPLE PositionHistorySa'!$A:$L,12,0)</f>
        <v/>
      </c>
      <c r="F411" s="31" t="inlineStr">
        <is>
          <t>0.83</t>
        </is>
      </c>
      <c r="G411" s="32">
        <f>VLOOKUP(A411,Sheet3!A:K,10,0)/38</f>
        <v/>
      </c>
      <c r="H411" s="32">
        <f>F411-G411</f>
        <v/>
      </c>
      <c r="I411" s="29" t="n"/>
    </row>
    <row r="412">
      <c r="A412" s="29" t="inlineStr">
        <is>
          <t>AU23415</t>
        </is>
      </c>
      <c r="B412" s="30" t="inlineStr">
        <is>
          <t>NSW-QLD</t>
        </is>
      </c>
      <c r="C412" s="30" t="inlineStr">
        <is>
          <t>QN2025</t>
        </is>
      </c>
      <c r="D412" s="30" t="inlineStr">
        <is>
          <t>Part time</t>
        </is>
      </c>
      <c r="E412" s="42">
        <f>VLOOKUP(A412,'[1]Virtus SAMPLE PositionHistorySa'!$A:$L,12,0)</f>
        <v/>
      </c>
      <c r="F412" s="31" t="inlineStr">
        <is>
          <t>1.24</t>
        </is>
      </c>
      <c r="G412" s="32" t="n"/>
      <c r="H412" s="32" t="n"/>
      <c r="I412" s="29" t="n"/>
    </row>
    <row r="413">
      <c r="A413" s="29" t="inlineStr">
        <is>
          <t>AU23421</t>
        </is>
      </c>
      <c r="B413" s="30" t="inlineStr">
        <is>
          <t>NSW-QLD</t>
        </is>
      </c>
      <c r="C413" s="30" t="inlineStr">
        <is>
          <t>IVFS2023</t>
        </is>
      </c>
      <c r="D413" s="30" t="inlineStr">
        <is>
          <t>Part time</t>
        </is>
      </c>
      <c r="E413" s="42">
        <f>VLOOKUP(A413,'[1]Virtus SAMPLE PositionHistorySa'!$A:$L,12,0)</f>
        <v/>
      </c>
      <c r="F413" s="31" t="inlineStr">
        <is>
          <t>0.83</t>
        </is>
      </c>
      <c r="G413" s="32" t="n"/>
      <c r="H413" s="32" t="n"/>
      <c r="I413" s="29" t="n"/>
    </row>
    <row r="414">
      <c r="A414" s="29" t="inlineStr">
        <is>
          <t>AU23449</t>
        </is>
      </c>
      <c r="B414" s="30" t="inlineStr">
        <is>
          <t>NSW-QLD</t>
        </is>
      </c>
      <c r="C414" s="30" t="inlineStr">
        <is>
          <t>IVFS2023</t>
        </is>
      </c>
      <c r="D414" s="30" t="inlineStr">
        <is>
          <t>Casual</t>
        </is>
      </c>
      <c r="E414" s="42">
        <f>VLOOKUP(A414,'[1]Virtus SAMPLE PositionHistorySa'!$A:$L,12,0)</f>
        <v/>
      </c>
      <c r="F414" s="31" t="inlineStr">
        <is>
          <t>0.83</t>
        </is>
      </c>
      <c r="G414" s="32" t="n"/>
      <c r="H414" s="32" t="n"/>
      <c r="I414" s="29" t="n"/>
    </row>
    <row r="415">
      <c r="A415" s="29" t="inlineStr">
        <is>
          <t>AU23458</t>
        </is>
      </c>
      <c r="B415" s="30" t="inlineStr">
        <is>
          <t>NSW-QLD</t>
        </is>
      </c>
      <c r="C415" s="30" t="inlineStr">
        <is>
          <t>VIC</t>
        </is>
      </c>
      <c r="D415" s="30" t="inlineStr">
        <is>
          <t>Casual</t>
        </is>
      </c>
      <c r="E415" s="42">
        <f>VLOOKUP(A415,'[1]Virtus SAMPLE PositionHistorySa'!$A:$L,12,0)</f>
        <v/>
      </c>
      <c r="F415" s="31" t="inlineStr">
        <is>
          <t>0.76</t>
        </is>
      </c>
      <c r="G415" s="32" t="n"/>
      <c r="H415" s="32" t="n"/>
      <c r="I415" s="29" t="n"/>
    </row>
    <row r="416">
      <c r="A416" s="29" t="inlineStr">
        <is>
          <t>AU23463</t>
        </is>
      </c>
      <c r="B416" s="30" t="inlineStr">
        <is>
          <t>VIC-TAS</t>
        </is>
      </c>
      <c r="C416" s="30" t="inlineStr">
        <is>
          <t>MIVFS2022</t>
        </is>
      </c>
      <c r="D416" s="30" t="inlineStr">
        <is>
          <t>Casual</t>
        </is>
      </c>
      <c r="E416" s="42">
        <f>VLOOKUP(A416,'[1]Virtus SAMPLE PositionHistorySa'!$A:$L,12,0)</f>
        <v/>
      </c>
      <c r="F416" s="31" t="inlineStr">
        <is>
          <t>0.76</t>
        </is>
      </c>
      <c r="G416" s="32" t="n"/>
      <c r="H416" s="32" t="n"/>
      <c r="I416" s="29" t="n"/>
    </row>
    <row r="417">
      <c r="A417" s="29" t="inlineStr">
        <is>
          <t>AU23074</t>
        </is>
      </c>
      <c r="B417" s="30" t="inlineStr">
        <is>
          <t>NSW-QLD</t>
        </is>
      </c>
      <c r="C417" s="30" t="inlineStr">
        <is>
          <t>QN2025</t>
        </is>
      </c>
      <c r="D417" s="30" t="inlineStr">
        <is>
          <t>Casual</t>
        </is>
      </c>
      <c r="E417" s="42">
        <f>VLOOKUP(A417,'[1]Virtus SAMPLE PositionHistorySa'!$A:$L,12,0)</f>
        <v/>
      </c>
      <c r="F417" s="31" t="inlineStr">
        <is>
          <t>2.21</t>
        </is>
      </c>
      <c r="G417" s="32" t="n"/>
      <c r="H417" s="32" t="n"/>
      <c r="I417" s="29" t="n"/>
    </row>
    <row r="418">
      <c r="A418" s="29" t="inlineStr">
        <is>
          <t>AU23289</t>
        </is>
      </c>
      <c r="B418" s="30" t="inlineStr">
        <is>
          <t>VIC-TAS</t>
        </is>
      </c>
      <c r="C418" s="30" t="inlineStr">
        <is>
          <t>TIVF2024</t>
        </is>
      </c>
      <c r="D418" s="30" t="inlineStr">
        <is>
          <t>Casual</t>
        </is>
      </c>
      <c r="E418" s="42">
        <f>VLOOKUP(A418,'[1]Virtus SAMPLE PositionHistorySa'!$A:$L,12,0)</f>
        <v/>
      </c>
      <c r="F418" s="31" t="inlineStr">
        <is>
          <t>1.04</t>
        </is>
      </c>
      <c r="G418" s="32" t="n"/>
      <c r="H418" s="32" t="n"/>
      <c r="I418" s="29" t="n"/>
    </row>
    <row r="419">
      <c r="A419" s="29" t="inlineStr">
        <is>
          <t>AU23416</t>
        </is>
      </c>
      <c r="B419" s="30" t="inlineStr">
        <is>
          <t>VIC-TAS</t>
        </is>
      </c>
      <c r="C419" s="30" t="inlineStr">
        <is>
          <t>MIVFS2022</t>
        </is>
      </c>
      <c r="D419" s="30" t="inlineStr">
        <is>
          <t>Casual</t>
        </is>
      </c>
      <c r="E419" s="42">
        <f>VLOOKUP(A419,'[1]Virtus SAMPLE PositionHistorySa'!$A:$L,12,0)</f>
        <v/>
      </c>
      <c r="F419" s="31" t="inlineStr">
        <is>
          <t>0.83</t>
        </is>
      </c>
      <c r="G419" s="32" t="n"/>
      <c r="H419" s="32" t="n"/>
      <c r="I419" s="29" t="n"/>
    </row>
    <row r="420">
      <c r="A420" s="29" t="inlineStr">
        <is>
          <t>AU23209</t>
        </is>
      </c>
      <c r="B420" s="30" t="inlineStr">
        <is>
          <t>VIC-TAS</t>
        </is>
      </c>
      <c r="C420" s="30" t="inlineStr">
        <is>
          <t>MIVFS2022</t>
        </is>
      </c>
      <c r="D420" s="30" t="inlineStr">
        <is>
          <t>Full time</t>
        </is>
      </c>
      <c r="E420" s="42">
        <f>VLOOKUP(A420,'[1]Virtus SAMPLE PositionHistorySa'!$A:$L,12,0)</f>
        <v/>
      </c>
      <c r="F420" s="31" t="inlineStr">
        <is>
          <t>1.26</t>
        </is>
      </c>
      <c r="G420" s="32">
        <f>VLOOKUP(A420,Sheet3!A:K,10,0)/38</f>
        <v/>
      </c>
      <c r="H420" s="32">
        <f>F420-G420</f>
        <v/>
      </c>
      <c r="I420" s="29" t="n"/>
    </row>
    <row r="421">
      <c r="A421" s="29" t="inlineStr">
        <is>
          <t>AU23197</t>
        </is>
      </c>
      <c r="B421" s="30" t="inlineStr">
        <is>
          <t>NSW-QLD</t>
        </is>
      </c>
      <c r="C421" s="30" t="inlineStr">
        <is>
          <t>IVFN2021</t>
        </is>
      </c>
      <c r="D421" s="30" t="inlineStr">
        <is>
          <t>Full time</t>
        </is>
      </c>
      <c r="E421" s="42">
        <f>VLOOKUP(A421,'[1]Virtus SAMPLE PositionHistorySa'!$A:$L,12,0)</f>
        <v/>
      </c>
      <c r="F421" s="31" t="inlineStr">
        <is>
          <t>1.26</t>
        </is>
      </c>
      <c r="G421" s="32">
        <f>VLOOKUP(A421,Sheet3!A:K,10,0)/38</f>
        <v/>
      </c>
      <c r="H421" s="32">
        <f>F421-G421</f>
        <v/>
      </c>
      <c r="I421" s="29" t="n"/>
    </row>
    <row r="422">
      <c r="A422" s="29" t="inlineStr">
        <is>
          <t>AU23213</t>
        </is>
      </c>
      <c r="B422" s="30" t="inlineStr">
        <is>
          <t>NSW-QLD</t>
        </is>
      </c>
      <c r="C422" s="30" t="inlineStr">
        <is>
          <t>IVFS2023</t>
        </is>
      </c>
      <c r="D422" s="30" t="inlineStr">
        <is>
          <t>Part time</t>
        </is>
      </c>
      <c r="E422" s="42">
        <f>VLOOKUP(A422,'[1]Virtus SAMPLE PositionHistorySa'!$A:$L,12,0)</f>
        <v/>
      </c>
      <c r="F422" s="31" t="inlineStr">
        <is>
          <t>1.26</t>
        </is>
      </c>
      <c r="G422" s="32" t="n"/>
      <c r="H422" s="32" t="n"/>
      <c r="I422" s="29" t="n"/>
    </row>
    <row r="423">
      <c r="A423" s="29" t="inlineStr">
        <is>
          <t>AU23251</t>
        </is>
      </c>
      <c r="B423" s="30" t="inlineStr">
        <is>
          <t>NSW-QLD</t>
        </is>
      </c>
      <c r="C423" s="30" t="inlineStr">
        <is>
          <t>QS2024</t>
        </is>
      </c>
      <c r="D423" s="30" t="inlineStr">
        <is>
          <t>Full time</t>
        </is>
      </c>
      <c r="E423" s="42">
        <f>VLOOKUP(A423,'[1]Virtus SAMPLE PositionHistorySa'!$A:$L,12,0)</f>
        <v/>
      </c>
      <c r="F423" s="31" t="inlineStr">
        <is>
          <t>1.19</t>
        </is>
      </c>
      <c r="G423" s="32">
        <f>VLOOKUP(A423,Sheet3!A:K,10,0)/38</f>
        <v/>
      </c>
      <c r="H423" s="32">
        <f>F423-G423</f>
        <v/>
      </c>
      <c r="I423" s="29" t="n"/>
    </row>
    <row r="424">
      <c r="A424" s="29" t="inlineStr">
        <is>
          <t>AU23430</t>
        </is>
      </c>
      <c r="B424" s="30" t="inlineStr">
        <is>
          <t>VIC-TAS</t>
        </is>
      </c>
      <c r="C424" s="30" t="inlineStr">
        <is>
          <t>MIVFS2022</t>
        </is>
      </c>
      <c r="D424" s="30" t="inlineStr">
        <is>
          <t>Part time</t>
        </is>
      </c>
      <c r="E424" s="42">
        <f>VLOOKUP(A424,'[1]Virtus SAMPLE PositionHistorySa'!$A:$L,12,0)</f>
        <v/>
      </c>
      <c r="F424" s="31" t="inlineStr">
        <is>
          <t>0.82</t>
        </is>
      </c>
      <c r="G424" s="32" t="n"/>
      <c r="H424" s="32" t="n"/>
      <c r="I424" s="29" t="n"/>
    </row>
    <row r="425">
      <c r="A425" s="29" t="inlineStr">
        <is>
          <t>AU23176</t>
        </is>
      </c>
      <c r="B425" s="30" t="inlineStr">
        <is>
          <t>NSW-QLD</t>
        </is>
      </c>
      <c r="C425" s="30" t="inlineStr">
        <is>
          <t>QS2024</t>
        </is>
      </c>
      <c r="D425" s="30" t="inlineStr">
        <is>
          <t>Full time</t>
        </is>
      </c>
      <c r="E425" s="42">
        <f>VLOOKUP(A425,'[1]Virtus SAMPLE PositionHistorySa'!$A:$L,12,0)</f>
        <v/>
      </c>
      <c r="F425" s="31" t="inlineStr">
        <is>
          <t>1.26</t>
        </is>
      </c>
      <c r="G425" s="32">
        <f>VLOOKUP(A425,Sheet3!A:K,10,0)/38</f>
        <v/>
      </c>
      <c r="H425" s="32">
        <f>F425-G425</f>
        <v/>
      </c>
      <c r="I425" s="29" t="n"/>
    </row>
    <row r="426">
      <c r="A426" s="29" t="inlineStr">
        <is>
          <t>AU23313</t>
        </is>
      </c>
      <c r="B426" s="30" t="inlineStr">
        <is>
          <t>NSW-QLD</t>
        </is>
      </c>
      <c r="C426" s="30" t="inlineStr">
        <is>
          <t>NSW</t>
        </is>
      </c>
      <c r="D426" s="30" t="inlineStr">
        <is>
          <t>Full time</t>
        </is>
      </c>
      <c r="E426" s="42">
        <f>VLOOKUP(A426,'[1]Virtus SAMPLE PositionHistorySa'!$A:$L,12,0)</f>
        <v/>
      </c>
      <c r="F426" s="31" t="inlineStr">
        <is>
          <t>1.04</t>
        </is>
      </c>
      <c r="G426" s="32">
        <f>VLOOKUP(A426,Sheet3!A:K,10,0)/38</f>
        <v/>
      </c>
      <c r="H426" s="32">
        <f>F426-G426</f>
        <v/>
      </c>
      <c r="I426" s="29" t="n"/>
    </row>
    <row r="427">
      <c r="A427" s="29" t="inlineStr">
        <is>
          <t>AU23280</t>
        </is>
      </c>
      <c r="B427" s="30" t="inlineStr">
        <is>
          <t>NSW-QLD</t>
        </is>
      </c>
      <c r="C427" s="30" t="inlineStr">
        <is>
          <t>IVFT2024</t>
        </is>
      </c>
      <c r="D427" s="30" t="inlineStr">
        <is>
          <t>Part time</t>
        </is>
      </c>
      <c r="E427" s="42">
        <f>VLOOKUP(A427,'[1]Virtus SAMPLE PositionHistorySa'!$A:$L,12,0)</f>
        <v/>
      </c>
      <c r="F427" s="31" t="inlineStr">
        <is>
          <t>1.04</t>
        </is>
      </c>
      <c r="G427" s="32" t="n"/>
      <c r="H427" s="32" t="n"/>
      <c r="I427" s="29" t="n"/>
    </row>
    <row r="428">
      <c r="A428" s="29" t="inlineStr">
        <is>
          <t>AU23382</t>
        </is>
      </c>
      <c r="B428" s="30" t="inlineStr">
        <is>
          <t>NSW-QLD</t>
        </is>
      </c>
      <c r="C428" s="30" t="inlineStr">
        <is>
          <t>IVFS2023</t>
        </is>
      </c>
      <c r="D428" s="30" t="inlineStr">
        <is>
          <t>Full time</t>
        </is>
      </c>
      <c r="E428" s="42">
        <f>VLOOKUP(A428,'[1]Virtus SAMPLE PositionHistorySa'!$A:$L,12,0)</f>
        <v/>
      </c>
      <c r="F428" s="31" t="inlineStr">
        <is>
          <t>0.89</t>
        </is>
      </c>
      <c r="G428" s="32">
        <f>VLOOKUP(A428,Sheet3!A:K,10,0)/38</f>
        <v/>
      </c>
      <c r="H428" s="32">
        <f>F428-G428</f>
        <v/>
      </c>
      <c r="I428" s="29" t="n"/>
    </row>
    <row r="429">
      <c r="A429" s="29" t="inlineStr">
        <is>
          <t>AU23054</t>
        </is>
      </c>
      <c r="B429" s="30" t="inlineStr">
        <is>
          <t>NSW-QLD</t>
        </is>
      </c>
      <c r="C429" s="30" t="inlineStr">
        <is>
          <t>IVFS2023</t>
        </is>
      </c>
      <c r="D429" s="30" t="inlineStr">
        <is>
          <t>Full time</t>
        </is>
      </c>
      <c r="E429" s="42">
        <f>VLOOKUP(A429,'[1]Virtus SAMPLE PositionHistorySa'!$A:$L,12,0)</f>
        <v/>
      </c>
      <c r="F429" s="31" t="inlineStr">
        <is>
          <t>1.54</t>
        </is>
      </c>
      <c r="G429" s="32">
        <f>VLOOKUP(A429,Sheet3!A:K,10,0)/38</f>
        <v/>
      </c>
      <c r="H429" s="32">
        <f>F429-G429</f>
        <v/>
      </c>
      <c r="I429" s="29" t="n"/>
    </row>
    <row r="430">
      <c r="A430" s="29" t="inlineStr">
        <is>
          <t>AU23034</t>
        </is>
      </c>
      <c r="B430" s="30" t="inlineStr">
        <is>
          <t>NSW-QLD</t>
        </is>
      </c>
      <c r="C430" s="30" t="inlineStr">
        <is>
          <t>QLD</t>
        </is>
      </c>
      <c r="D430" s="30" t="inlineStr">
        <is>
          <t>Full time</t>
        </is>
      </c>
      <c r="E430" s="42">
        <f>VLOOKUP(A430,'[1]Virtus SAMPLE PositionHistorySa'!$A:$L,12,0)</f>
        <v/>
      </c>
      <c r="F430" s="31" t="inlineStr">
        <is>
          <t>1.54</t>
        </is>
      </c>
      <c r="G430" s="32">
        <f>VLOOKUP(A430,Sheet3!A:K,10,0)/38</f>
        <v/>
      </c>
      <c r="H430" s="32">
        <f>F430-G430</f>
        <v/>
      </c>
      <c r="I430" s="29" t="n"/>
    </row>
    <row r="431">
      <c r="A431" s="29" t="inlineStr">
        <is>
          <t>AU23155</t>
        </is>
      </c>
      <c r="B431" s="30" t="inlineStr">
        <is>
          <t>NSW-QLD</t>
        </is>
      </c>
      <c r="C431" s="30" t="inlineStr">
        <is>
          <t>QN2025</t>
        </is>
      </c>
      <c r="D431" s="30" t="inlineStr">
        <is>
          <t>Full time</t>
        </is>
      </c>
      <c r="E431" s="42">
        <f>VLOOKUP(A431,'[1]Virtus SAMPLE PositionHistorySa'!$A:$L,12,0)</f>
        <v/>
      </c>
      <c r="F431" s="31" t="inlineStr">
        <is>
          <t>1.99</t>
        </is>
      </c>
      <c r="G431" s="32">
        <f>VLOOKUP(A431,Sheet3!A:K,10,0)/38</f>
        <v/>
      </c>
      <c r="H431" s="32">
        <f>F431-G431</f>
        <v/>
      </c>
      <c r="I431" s="29" t="n"/>
    </row>
    <row r="432">
      <c r="A432" s="29" t="inlineStr">
        <is>
          <t>AU23216</t>
        </is>
      </c>
      <c r="B432" s="30" t="inlineStr">
        <is>
          <t>NSW-QLD</t>
        </is>
      </c>
      <c r="C432" s="30" t="inlineStr">
        <is>
          <t>IVFN2021</t>
        </is>
      </c>
      <c r="D432" s="30" t="inlineStr">
        <is>
          <t>Casual</t>
        </is>
      </c>
      <c r="E432" s="42">
        <f>VLOOKUP(A432,'[1]Virtus SAMPLE PositionHistorySa'!$A:$L,12,0)</f>
        <v/>
      </c>
      <c r="F432" s="31" t="inlineStr">
        <is>
          <t>1.26</t>
        </is>
      </c>
      <c r="G432" s="32" t="n"/>
      <c r="H432" s="32" t="n"/>
      <c r="I432" s="29" t="n"/>
    </row>
    <row r="433">
      <c r="A433" s="29" t="inlineStr">
        <is>
          <t>AU23253</t>
        </is>
      </c>
      <c r="B433" s="30" t="inlineStr">
        <is>
          <t>NSW-QLD</t>
        </is>
      </c>
      <c r="C433" s="30" t="inlineStr">
        <is>
          <t>NSW</t>
        </is>
      </c>
      <c r="D433" s="30" t="inlineStr">
        <is>
          <t>Full time</t>
        </is>
      </c>
      <c r="E433" s="42">
        <f>VLOOKUP(A433,'[1]Virtus SAMPLE PositionHistorySa'!$A:$L,12,0)</f>
        <v/>
      </c>
      <c r="F433" s="31" t="inlineStr">
        <is>
          <t>1.11</t>
        </is>
      </c>
      <c r="G433" s="32">
        <f>VLOOKUP(A433,Sheet3!A:K,10,0)/38</f>
        <v/>
      </c>
      <c r="H433" s="32">
        <f>F433-G433</f>
        <v/>
      </c>
      <c r="I433" s="29" t="n"/>
    </row>
    <row r="434">
      <c r="A434" s="29" t="inlineStr">
        <is>
          <t>AU23282</t>
        </is>
      </c>
      <c r="B434" s="30" t="inlineStr">
        <is>
          <t>NSW-QLD</t>
        </is>
      </c>
      <c r="C434" s="30" t="inlineStr">
        <is>
          <t>IVFS2023</t>
        </is>
      </c>
      <c r="D434" s="30" t="inlineStr">
        <is>
          <t>Full time</t>
        </is>
      </c>
      <c r="E434" s="42">
        <f>VLOOKUP(A434,'[1]Virtus SAMPLE PositionHistorySa'!$A:$L,12,0)</f>
        <v/>
      </c>
      <c r="F434" s="31" t="inlineStr">
        <is>
          <t>1.11</t>
        </is>
      </c>
      <c r="G434" s="32">
        <f>VLOOKUP(A434,Sheet3!A:K,10,0)/38</f>
        <v/>
      </c>
      <c r="H434" s="32">
        <f>F434-G434</f>
        <v/>
      </c>
      <c r="I434" s="29" t="n"/>
    </row>
    <row r="435">
      <c r="A435" s="29" t="inlineStr">
        <is>
          <t>AU23284</t>
        </is>
      </c>
      <c r="B435" s="30" t="inlineStr">
        <is>
          <t>VIC-TAS</t>
        </is>
      </c>
      <c r="C435" s="30" t="inlineStr">
        <is>
          <t>MIVFS2022</t>
        </is>
      </c>
      <c r="D435" s="30" t="inlineStr">
        <is>
          <t>Part time</t>
        </is>
      </c>
      <c r="E435" s="42">
        <f>VLOOKUP(A435,'[1]Virtus SAMPLE PositionHistorySa'!$A:$L,12,0)</f>
        <v/>
      </c>
      <c r="F435" s="31" t="inlineStr">
        <is>
          <t>1.11</t>
        </is>
      </c>
      <c r="G435" s="32" t="n"/>
      <c r="H435" s="32" t="n"/>
      <c r="I435" s="29" t="n"/>
    </row>
    <row r="436">
      <c r="A436" s="29" t="inlineStr">
        <is>
          <t>AU23384</t>
        </is>
      </c>
      <c r="B436" s="30" t="inlineStr">
        <is>
          <t>NSW-QLD</t>
        </is>
      </c>
      <c r="C436" s="30" t="inlineStr">
        <is>
          <t>IVFS2023</t>
        </is>
      </c>
      <c r="D436" s="30" t="inlineStr">
        <is>
          <t>Full time</t>
        </is>
      </c>
      <c r="E436" s="42">
        <f>VLOOKUP(A436,'[1]Virtus SAMPLE PositionHistorySa'!$A:$L,12,0)</f>
        <v/>
      </c>
      <c r="F436" s="31" t="inlineStr">
        <is>
          <t>0.89</t>
        </is>
      </c>
      <c r="G436" s="32">
        <f>VLOOKUP(A436,Sheet3!A:K,10,0)/38</f>
        <v/>
      </c>
      <c r="H436" s="32">
        <f>F436-G436</f>
        <v/>
      </c>
      <c r="I436" s="29" t="n"/>
    </row>
    <row r="437">
      <c r="A437" s="29" t="inlineStr">
        <is>
          <t>AU23399</t>
        </is>
      </c>
      <c r="B437" s="30" t="inlineStr">
        <is>
          <t>NSW-QLD</t>
        </is>
      </c>
      <c r="C437" s="30" t="inlineStr">
        <is>
          <t>VIC</t>
        </is>
      </c>
      <c r="D437" s="30" t="inlineStr">
        <is>
          <t>Full time</t>
        </is>
      </c>
      <c r="E437" s="42">
        <f>VLOOKUP(A437,'[1]Virtus SAMPLE PositionHistorySa'!$A:$L,12,0)</f>
        <v/>
      </c>
      <c r="F437" s="31" t="inlineStr">
        <is>
          <t>0.89</t>
        </is>
      </c>
      <c r="G437" s="32">
        <f>VLOOKUP(A437,Sheet3!A:K,10,0)/38</f>
        <v/>
      </c>
      <c r="H437" s="32">
        <f>F437-G437</f>
        <v/>
      </c>
      <c r="I437" s="29" t="n"/>
    </row>
    <row r="438">
      <c r="A438" s="29" t="inlineStr">
        <is>
          <t>AU23392</t>
        </is>
      </c>
      <c r="B438" s="30" t="inlineStr">
        <is>
          <t>NSW-QLD</t>
        </is>
      </c>
      <c r="C438" s="30" t="inlineStr">
        <is>
          <t>IVFS2023</t>
        </is>
      </c>
      <c r="D438" s="30" t="inlineStr">
        <is>
          <t>Full time</t>
        </is>
      </c>
      <c r="E438" s="42">
        <f>VLOOKUP(A438,'[1]Virtus SAMPLE PositionHistorySa'!$A:$L,12,0)</f>
        <v/>
      </c>
      <c r="F438" s="31" t="inlineStr">
        <is>
          <t>0.89</t>
        </is>
      </c>
      <c r="G438" s="32">
        <f>VLOOKUP(A438,Sheet3!A:K,10,0)/38</f>
        <v/>
      </c>
      <c r="H438" s="32">
        <f>F438-G438</f>
        <v/>
      </c>
      <c r="I438" s="29" t="n"/>
    </row>
    <row r="439">
      <c r="A439" s="29" t="inlineStr">
        <is>
          <t>AU23391</t>
        </is>
      </c>
      <c r="B439" s="30" t="inlineStr">
        <is>
          <t>NSW-QLD</t>
        </is>
      </c>
      <c r="C439" s="30" t="inlineStr">
        <is>
          <t>NSW</t>
        </is>
      </c>
      <c r="D439" s="30" t="inlineStr">
        <is>
          <t>Full time</t>
        </is>
      </c>
      <c r="E439" s="42">
        <f>VLOOKUP(A439,'[1]Virtus SAMPLE PositionHistorySa'!$A:$L,12,0)</f>
        <v/>
      </c>
      <c r="F439" s="31" t="inlineStr">
        <is>
          <t>0.89</t>
        </is>
      </c>
      <c r="G439" s="32">
        <f>VLOOKUP(A439,Sheet3!A:K,10,0)/38</f>
        <v/>
      </c>
      <c r="H439" s="32">
        <f>F439-G439</f>
        <v/>
      </c>
      <c r="I439" s="29" t="n"/>
    </row>
    <row r="440">
      <c r="A440" s="29" t="inlineStr">
        <is>
          <t>AU23367</t>
        </is>
      </c>
      <c r="B440" s="30" t="inlineStr">
        <is>
          <t>NSW-QLD</t>
        </is>
      </c>
      <c r="C440" s="30" t="inlineStr">
        <is>
          <t>IVFN2021</t>
        </is>
      </c>
      <c r="D440" s="30" t="inlineStr">
        <is>
          <t>Full time</t>
        </is>
      </c>
      <c r="E440" s="42">
        <f>VLOOKUP(A440,'[1]Virtus SAMPLE PositionHistorySa'!$A:$L,12,0)</f>
        <v/>
      </c>
      <c r="F440" s="31" t="inlineStr">
        <is>
          <t>0.89</t>
        </is>
      </c>
      <c r="G440" s="32">
        <f>VLOOKUP(A440,Sheet3!A:K,10,0)/38</f>
        <v/>
      </c>
      <c r="H440" s="32">
        <f>F440-G440</f>
        <v/>
      </c>
      <c r="I440" s="29" t="n"/>
    </row>
    <row r="441">
      <c r="A441" s="29" t="inlineStr">
        <is>
          <t>AU23172</t>
        </is>
      </c>
      <c r="B441" s="30" t="inlineStr">
        <is>
          <t>NSW-QLD</t>
        </is>
      </c>
      <c r="C441" s="30" t="inlineStr">
        <is>
          <t>IVFS2023</t>
        </is>
      </c>
      <c r="D441" s="30" t="inlineStr">
        <is>
          <t>Part time</t>
        </is>
      </c>
      <c r="E441" s="42">
        <f>VLOOKUP(A441,'[1]Virtus SAMPLE PositionHistorySa'!$A:$L,12,0)</f>
        <v/>
      </c>
      <c r="F441" s="31" t="inlineStr">
        <is>
          <t>1.32</t>
        </is>
      </c>
      <c r="G441" s="32" t="n"/>
      <c r="H441" s="32" t="n"/>
      <c r="I441" s="29" t="n"/>
    </row>
    <row r="442">
      <c r="A442" s="29" t="inlineStr">
        <is>
          <t>AU23332</t>
        </is>
      </c>
      <c r="B442" s="30" t="inlineStr">
        <is>
          <t>NSW-QLD</t>
        </is>
      </c>
      <c r="C442" s="30" t="inlineStr">
        <is>
          <t>NSW</t>
        </is>
      </c>
      <c r="D442" s="30" t="inlineStr">
        <is>
          <t>Full time</t>
        </is>
      </c>
      <c r="E442" s="42">
        <f>VLOOKUP(A442,'[1]Virtus SAMPLE PositionHistorySa'!$A:$L,12,0)</f>
        <v/>
      </c>
      <c r="F442" s="31" t="inlineStr">
        <is>
          <t>0.96</t>
        </is>
      </c>
      <c r="G442" s="32">
        <f>VLOOKUP(A442,Sheet3!A:K,10,0)/38</f>
        <v/>
      </c>
      <c r="H442" s="32">
        <f>F442-G442</f>
        <v/>
      </c>
      <c r="I442" s="29" t="n"/>
    </row>
    <row r="443">
      <c r="A443" s="29" t="inlineStr">
        <is>
          <t>AU23343</t>
        </is>
      </c>
      <c r="B443" s="30" t="inlineStr">
        <is>
          <t>NSW-QLD</t>
        </is>
      </c>
      <c r="C443" s="30" t="inlineStr">
        <is>
          <t>QN2025</t>
        </is>
      </c>
      <c r="D443" s="30" t="inlineStr">
        <is>
          <t>Part time</t>
        </is>
      </c>
      <c r="E443" s="42">
        <f>VLOOKUP(A443,'[1]Virtus SAMPLE PositionHistorySa'!$A:$L,12,0)</f>
        <v/>
      </c>
      <c r="F443" s="31" t="inlineStr">
        <is>
          <t>1.44</t>
        </is>
      </c>
      <c r="G443" s="32" t="n"/>
      <c r="H443" s="32" t="n"/>
      <c r="I443" s="29" t="n"/>
    </row>
    <row r="444">
      <c r="A444" s="29" t="inlineStr">
        <is>
          <t>AU23353</t>
        </is>
      </c>
      <c r="B444" s="30" t="inlineStr">
        <is>
          <t>VIC-TAS</t>
        </is>
      </c>
      <c r="C444" s="30" t="inlineStr">
        <is>
          <t>IVFS2023</t>
        </is>
      </c>
      <c r="D444" s="30" t="inlineStr">
        <is>
          <t>Casual</t>
        </is>
      </c>
      <c r="E444" s="42">
        <f>VLOOKUP(A444,'[1]Virtus SAMPLE PositionHistorySa'!$A:$L,12,0)</f>
        <v/>
      </c>
      <c r="F444" s="31" t="inlineStr">
        <is>
          <t>0.96</t>
        </is>
      </c>
      <c r="G444" s="32" t="n"/>
      <c r="H444" s="32" t="n"/>
      <c r="I444" s="29" t="n"/>
    </row>
    <row r="445">
      <c r="A445" s="29" t="inlineStr">
        <is>
          <t>AU23355</t>
        </is>
      </c>
      <c r="B445" s="30" t="inlineStr">
        <is>
          <t>NSW-QLD</t>
        </is>
      </c>
      <c r="C445" s="30" t="inlineStr">
        <is>
          <t>IVFS2023</t>
        </is>
      </c>
      <c r="D445" s="30" t="inlineStr">
        <is>
          <t>Part time</t>
        </is>
      </c>
      <c r="E445" s="42">
        <f>VLOOKUP(A445,'[1]Virtus SAMPLE PositionHistorySa'!$A:$L,12,0)</f>
        <v/>
      </c>
      <c r="F445" s="31" t="inlineStr">
        <is>
          <t>0.96</t>
        </is>
      </c>
      <c r="G445" s="32" t="n"/>
      <c r="H445" s="32" t="n"/>
      <c r="I445" s="29" t="n"/>
    </row>
    <row r="446">
      <c r="A446" s="29" t="inlineStr">
        <is>
          <t>AU23375</t>
        </is>
      </c>
      <c r="B446" s="30" t="inlineStr">
        <is>
          <t>VIC-TAS</t>
        </is>
      </c>
      <c r="C446" s="30" t="inlineStr">
        <is>
          <t>MIVFN2023</t>
        </is>
      </c>
      <c r="D446" s="30" t="inlineStr">
        <is>
          <t>Part time</t>
        </is>
      </c>
      <c r="E446" s="42">
        <f>VLOOKUP(A446,'[1]Virtus SAMPLE PositionHistorySa'!$A:$L,12,0)</f>
        <v/>
      </c>
      <c r="F446" s="31" t="inlineStr">
        <is>
          <t>0.96</t>
        </is>
      </c>
      <c r="G446" s="32" t="n"/>
      <c r="H446" s="32" t="n"/>
      <c r="I446" s="29" t="n"/>
    </row>
    <row r="447">
      <c r="A447" s="29" t="inlineStr">
        <is>
          <t>AU23397</t>
        </is>
      </c>
      <c r="B447" s="30" t="inlineStr">
        <is>
          <t>VIC-TAS</t>
        </is>
      </c>
      <c r="C447" s="30" t="inlineStr">
        <is>
          <t>MIVFS2022</t>
        </is>
      </c>
      <c r="D447" s="30" t="inlineStr">
        <is>
          <t>Casual</t>
        </is>
      </c>
      <c r="E447" s="42">
        <f>VLOOKUP(A447,'[1]Virtus SAMPLE PositionHistorySa'!$A:$L,12,0)</f>
        <v/>
      </c>
      <c r="F447" s="31" t="inlineStr">
        <is>
          <t>0.89</t>
        </is>
      </c>
      <c r="G447" s="32" t="n"/>
      <c r="H447" s="32" t="n"/>
      <c r="I447" s="29" t="n"/>
    </row>
    <row r="448">
      <c r="A448" s="29" t="inlineStr">
        <is>
          <t>AU23456</t>
        </is>
      </c>
      <c r="B448" s="30" t="inlineStr">
        <is>
          <t>VIC-TAS</t>
        </is>
      </c>
      <c r="C448" s="30" t="inlineStr">
        <is>
          <t>MIVFS2022</t>
        </is>
      </c>
      <c r="D448" s="30" t="inlineStr">
        <is>
          <t>Part time</t>
        </is>
      </c>
      <c r="E448" s="42">
        <f>VLOOKUP(A448,'[1]Virtus SAMPLE PositionHistorySa'!$A:$L,12,0)</f>
        <v/>
      </c>
      <c r="F448" s="31" t="inlineStr">
        <is>
          <t>0.75</t>
        </is>
      </c>
      <c r="G448" s="32" t="n"/>
      <c r="H448" s="32" t="n"/>
      <c r="I448" s="29" t="n"/>
    </row>
    <row r="449">
      <c r="A449" s="29" t="inlineStr">
        <is>
          <t>AU23461</t>
        </is>
      </c>
      <c r="B449" s="30" t="inlineStr">
        <is>
          <t>VIC-TAS</t>
        </is>
      </c>
      <c r="C449" s="30" t="inlineStr">
        <is>
          <t>VIC</t>
        </is>
      </c>
      <c r="D449" s="30" t="inlineStr">
        <is>
          <t>Casual</t>
        </is>
      </c>
      <c r="E449" s="42">
        <f>VLOOKUP(A449,'[1]Virtus SAMPLE PositionHistorySa'!$A:$L,12,0)</f>
        <v/>
      </c>
      <c r="F449" s="31" t="inlineStr">
        <is>
          <t>0.75</t>
        </is>
      </c>
      <c r="G449" s="32" t="n"/>
      <c r="H449" s="32" t="n"/>
      <c r="I449" s="29" t="n"/>
    </row>
    <row r="450">
      <c r="A450" s="29" t="inlineStr">
        <is>
          <t>AU23249</t>
        </is>
      </c>
      <c r="B450" s="30" t="inlineStr">
        <is>
          <t>NSW-QLD</t>
        </is>
      </c>
      <c r="C450" s="30" t="inlineStr">
        <is>
          <t>IVFN2021</t>
        </is>
      </c>
      <c r="D450" s="30" t="inlineStr">
        <is>
          <t>Full time</t>
        </is>
      </c>
      <c r="E450" s="42">
        <f>VLOOKUP(A450,'[1]Virtus SAMPLE PositionHistorySa'!$A:$L,12,0)</f>
        <v/>
      </c>
      <c r="F450" s="31" t="inlineStr">
        <is>
          <t>1.18</t>
        </is>
      </c>
      <c r="G450" s="32">
        <f>VLOOKUP(A450,Sheet3!A:K,10,0)/38</f>
        <v/>
      </c>
      <c r="H450" s="32">
        <f>F450-G450</f>
        <v/>
      </c>
      <c r="I450" s="29" t="n"/>
    </row>
    <row r="451">
      <c r="A451" s="29" t="inlineStr">
        <is>
          <t>AU23454</t>
        </is>
      </c>
      <c r="B451" s="30" t="inlineStr">
        <is>
          <t>NSW-QLD</t>
        </is>
      </c>
      <c r="C451" s="30" t="inlineStr">
        <is>
          <t>IVFS2023</t>
        </is>
      </c>
      <c r="D451" s="30" t="inlineStr">
        <is>
          <t>Part time</t>
        </is>
      </c>
      <c r="E451" s="42">
        <f>VLOOKUP(A451,'[1]Virtus SAMPLE PositionHistorySa'!$A:$L,12,0)</f>
        <v/>
      </c>
      <c r="F451" s="31" t="inlineStr">
        <is>
          <t>0.74</t>
        </is>
      </c>
      <c r="G451" s="32" t="n"/>
      <c r="H451" s="32" t="n"/>
      <c r="I451" s="29" t="n"/>
    </row>
    <row r="452">
      <c r="A452" s="29" t="inlineStr">
        <is>
          <t>AU23104</t>
        </is>
      </c>
      <c r="B452" s="30" t="inlineStr">
        <is>
          <t>NSW-QLD</t>
        </is>
      </c>
      <c r="C452" s="30" t="inlineStr">
        <is>
          <t>NSW</t>
        </is>
      </c>
      <c r="D452" s="30" t="inlineStr">
        <is>
          <t>Full time</t>
        </is>
      </c>
      <c r="E452" s="42">
        <f>VLOOKUP(A452,'[1]Virtus SAMPLE PositionHistorySa'!$A:$L,12,0)</f>
        <v/>
      </c>
      <c r="F452" s="31" t="inlineStr">
        <is>
          <t>1.39</t>
        </is>
      </c>
      <c r="G452" s="32">
        <f>VLOOKUP(A452,Sheet3!A:K,10,0)/38</f>
        <v/>
      </c>
      <c r="H452" s="32">
        <f>F452-G452</f>
        <v/>
      </c>
      <c r="I452" s="29" t="n"/>
    </row>
    <row r="453">
      <c r="A453" s="29" t="inlineStr">
        <is>
          <t>AU23119</t>
        </is>
      </c>
      <c r="B453" s="30" t="inlineStr">
        <is>
          <t>VIC-TAS</t>
        </is>
      </c>
      <c r="C453" s="30" t="inlineStr">
        <is>
          <t>TIVF2024</t>
        </is>
      </c>
      <c r="D453" s="30" t="inlineStr">
        <is>
          <t>Part time</t>
        </is>
      </c>
      <c r="E453" s="42">
        <f>VLOOKUP(A453,'[1]Virtus SAMPLE PositionHistorySa'!$A:$L,12,0)</f>
        <v/>
      </c>
      <c r="F453" s="31" t="inlineStr">
        <is>
          <t>1.39</t>
        </is>
      </c>
      <c r="G453" s="32" t="n"/>
      <c r="H453" s="32" t="n"/>
      <c r="I453" s="29" t="n"/>
    </row>
    <row r="454">
      <c r="A454" s="29" t="inlineStr">
        <is>
          <t>AU23135</t>
        </is>
      </c>
      <c r="B454" s="30" t="inlineStr">
        <is>
          <t>NSW-QLD</t>
        </is>
      </c>
      <c r="C454" s="30" t="inlineStr">
        <is>
          <t>IVFN2021</t>
        </is>
      </c>
      <c r="D454" s="30" t="inlineStr">
        <is>
          <t>Casual</t>
        </is>
      </c>
      <c r="E454" s="42">
        <f>VLOOKUP(A454,'[1]Virtus SAMPLE PositionHistorySa'!$A:$L,12,0)</f>
        <v/>
      </c>
      <c r="F454" s="31" t="inlineStr">
        <is>
          <t>1.39</t>
        </is>
      </c>
      <c r="G454" s="32" t="n"/>
      <c r="H454" s="32" t="n"/>
      <c r="I454" s="29" t="n"/>
    </row>
    <row r="455">
      <c r="A455" s="29" t="inlineStr">
        <is>
          <t>AU23247</t>
        </is>
      </c>
      <c r="B455" s="30" t="inlineStr">
        <is>
          <t>VIC-TAS</t>
        </is>
      </c>
      <c r="C455" s="30" t="inlineStr">
        <is>
          <t>MIVFS2022</t>
        </is>
      </c>
      <c r="D455" s="30" t="inlineStr">
        <is>
          <t>Full time</t>
        </is>
      </c>
      <c r="E455" s="42">
        <f>VLOOKUP(A455,'[1]Virtus SAMPLE PositionHistorySa'!$A:$L,12,0)</f>
        <v/>
      </c>
      <c r="F455" s="31" t="inlineStr">
        <is>
          <t>1.17</t>
        </is>
      </c>
      <c r="G455" s="32">
        <f>VLOOKUP(A455,Sheet3!A:K,10,0)/38</f>
        <v/>
      </c>
      <c r="H455" s="32">
        <f>F455-G455</f>
        <v/>
      </c>
      <c r="I455" s="29" t="n"/>
    </row>
    <row r="456">
      <c r="A456" s="29" t="inlineStr">
        <is>
          <t>AU23233</t>
        </is>
      </c>
      <c r="B456" s="30" t="inlineStr">
        <is>
          <t>NSW-QLD</t>
        </is>
      </c>
      <c r="C456" s="30" t="inlineStr">
        <is>
          <t>IVFS2023</t>
        </is>
      </c>
      <c r="D456" s="30" t="inlineStr">
        <is>
          <t>Full time</t>
        </is>
      </c>
      <c r="E456" s="42">
        <f>VLOOKUP(A456,'[1]Virtus SAMPLE PositionHistorySa'!$A:$L,12,0)</f>
        <v/>
      </c>
      <c r="F456" s="31" t="inlineStr">
        <is>
          <t>1.17</t>
        </is>
      </c>
      <c r="G456" s="32">
        <f>VLOOKUP(A456,Sheet3!A:K,10,0)/38</f>
        <v/>
      </c>
      <c r="H456" s="32">
        <f>F456-G456</f>
        <v/>
      </c>
      <c r="I456" s="29" t="n"/>
    </row>
    <row r="457">
      <c r="A457" s="29" t="inlineStr">
        <is>
          <t>AU23243</t>
        </is>
      </c>
      <c r="B457" s="30" t="inlineStr">
        <is>
          <t>NSW-QLD</t>
        </is>
      </c>
      <c r="C457" s="30" t="inlineStr">
        <is>
          <t>IVFN2021</t>
        </is>
      </c>
      <c r="D457" s="30" t="inlineStr">
        <is>
          <t>Full time</t>
        </is>
      </c>
      <c r="E457" s="42">
        <f>VLOOKUP(A457,'[1]Virtus SAMPLE PositionHistorySa'!$A:$L,12,0)</f>
        <v/>
      </c>
      <c r="F457" s="31" t="inlineStr">
        <is>
          <t>1.17</t>
        </is>
      </c>
      <c r="G457" s="32">
        <f>VLOOKUP(A457,Sheet3!A:K,10,0)/38</f>
        <v/>
      </c>
      <c r="H457" s="32">
        <f>F457-G457</f>
        <v/>
      </c>
      <c r="I457" s="29" t="n"/>
    </row>
    <row r="458">
      <c r="A458" s="29" t="inlineStr">
        <is>
          <t>AU23257</t>
        </is>
      </c>
      <c r="B458" s="30" t="inlineStr">
        <is>
          <t>NSW-QLD</t>
        </is>
      </c>
      <c r="C458" s="30" t="inlineStr">
        <is>
          <t>IVFS2023</t>
        </is>
      </c>
      <c r="D458" s="30" t="inlineStr">
        <is>
          <t>Casual</t>
        </is>
      </c>
      <c r="E458" s="42">
        <f>VLOOKUP(A458,'[1]Virtus SAMPLE PositionHistorySa'!$A:$L,12,0)</f>
        <v/>
      </c>
      <c r="F458" s="31" t="inlineStr">
        <is>
          <t>1.17</t>
        </is>
      </c>
      <c r="G458" s="32" t="n"/>
      <c r="H458" s="32" t="n"/>
      <c r="I458" s="29" t="n"/>
    </row>
    <row r="459">
      <c r="A459" s="29" t="inlineStr">
        <is>
          <t>AU23260</t>
        </is>
      </c>
      <c r="B459" s="30" t="inlineStr">
        <is>
          <t>VIC-TAS</t>
        </is>
      </c>
      <c r="C459" s="30" t="inlineStr">
        <is>
          <t>MIVFS2022</t>
        </is>
      </c>
      <c r="D459" s="30" t="inlineStr">
        <is>
          <t>Part time</t>
        </is>
      </c>
      <c r="E459" s="42">
        <f>VLOOKUP(A459,'[1]Virtus SAMPLE PositionHistorySa'!$A:$L,12,0)</f>
        <v/>
      </c>
      <c r="F459" s="31" t="inlineStr">
        <is>
          <t>1.17</t>
        </is>
      </c>
      <c r="G459" s="32" t="n"/>
      <c r="H459" s="32" t="n"/>
      <c r="I459" s="29" t="n"/>
    </row>
    <row r="460">
      <c r="A460" s="29" t="inlineStr">
        <is>
          <t>AU23281</t>
        </is>
      </c>
      <c r="B460" s="30" t="inlineStr">
        <is>
          <t>NSW-QLD</t>
        </is>
      </c>
      <c r="C460" s="30" t="inlineStr">
        <is>
          <t>QLD</t>
        </is>
      </c>
      <c r="D460" s="30" t="inlineStr">
        <is>
          <t>Part time</t>
        </is>
      </c>
      <c r="E460" s="42">
        <f>VLOOKUP(A460,'[1]Virtus SAMPLE PositionHistorySa'!$A:$L,12,0)</f>
        <v/>
      </c>
      <c r="F460" s="31" t="inlineStr">
        <is>
          <t>1.10</t>
        </is>
      </c>
      <c r="G460" s="32" t="n"/>
      <c r="H460" s="32" t="n"/>
      <c r="I460" s="29" t="n"/>
    </row>
    <row r="461">
      <c r="A461" s="29" t="inlineStr">
        <is>
          <t>AU23422</t>
        </is>
      </c>
      <c r="B461" s="30" t="inlineStr">
        <is>
          <t>NSW-QLD</t>
        </is>
      </c>
      <c r="C461" s="30" t="inlineStr">
        <is>
          <t>NSW</t>
        </is>
      </c>
      <c r="D461" s="30" t="inlineStr">
        <is>
          <t>Full time</t>
        </is>
      </c>
      <c r="E461" s="42">
        <f>VLOOKUP(A461,'[1]Virtus SAMPLE PositionHistorySa'!$A:$L,12,0)</f>
        <v/>
      </c>
      <c r="F461" s="31" t="inlineStr">
        <is>
          <t>0.81</t>
        </is>
      </c>
      <c r="G461" s="32">
        <f>VLOOKUP(A461,Sheet3!A:K,10,0)/38</f>
        <v/>
      </c>
      <c r="H461" s="32">
        <f>F461-G461</f>
        <v/>
      </c>
      <c r="I461" s="29" t="n"/>
    </row>
    <row r="462">
      <c r="A462" s="29" t="inlineStr">
        <is>
          <t>AU23361</t>
        </is>
      </c>
      <c r="B462" s="30" t="inlineStr">
        <is>
          <t>NSW-QLD</t>
        </is>
      </c>
      <c r="C462" s="30" t="inlineStr">
        <is>
          <t>IVFN2021</t>
        </is>
      </c>
      <c r="D462" s="30" t="inlineStr">
        <is>
          <t>Casual</t>
        </is>
      </c>
      <c r="E462" s="42">
        <f>VLOOKUP(A462,'[1]Virtus SAMPLE PositionHistorySa'!$A:$L,12,0)</f>
        <v/>
      </c>
      <c r="F462" s="31" t="inlineStr">
        <is>
          <t>0.81</t>
        </is>
      </c>
      <c r="G462" s="32" t="n"/>
      <c r="H462" s="32" t="n"/>
      <c r="I462" s="29" t="n"/>
    </row>
    <row r="463">
      <c r="A463" s="29" t="inlineStr">
        <is>
          <t>AU23401</t>
        </is>
      </c>
      <c r="B463" s="30" t="inlineStr">
        <is>
          <t>NSW-QLD</t>
        </is>
      </c>
      <c r="C463" s="30" t="inlineStr">
        <is>
          <t>QN2025</t>
        </is>
      </c>
      <c r="D463" s="30" t="inlineStr">
        <is>
          <t>Part time</t>
        </is>
      </c>
      <c r="E463" s="42">
        <f>VLOOKUP(A463,'[1]Virtus SAMPLE PositionHistorySa'!$A:$L,12,0)</f>
        <v/>
      </c>
      <c r="F463" s="31" t="inlineStr">
        <is>
          <t>1.22</t>
        </is>
      </c>
      <c r="G463" s="32" t="n"/>
      <c r="H463" s="32" t="n"/>
      <c r="I463" s="29" t="n"/>
    </row>
    <row r="464">
      <c r="A464" s="29" t="inlineStr">
        <is>
          <t>AU23433</t>
        </is>
      </c>
      <c r="B464" s="30" t="inlineStr">
        <is>
          <t>NSW-QLD</t>
        </is>
      </c>
      <c r="C464" s="30" t="inlineStr">
        <is>
          <t>QN2025</t>
        </is>
      </c>
      <c r="D464" s="30" t="inlineStr">
        <is>
          <t>Part time</t>
        </is>
      </c>
      <c r="E464" s="42">
        <f>VLOOKUP(A464,'[1]Virtus SAMPLE PositionHistorySa'!$A:$L,12,0)</f>
        <v/>
      </c>
      <c r="F464" s="31" t="inlineStr">
        <is>
          <t>1.22</t>
        </is>
      </c>
      <c r="G464" s="32" t="n"/>
      <c r="H464" s="32" t="n"/>
      <c r="I464" s="29" t="n"/>
    </row>
    <row r="465">
      <c r="A465" s="29" t="inlineStr">
        <is>
          <t>AU23079</t>
        </is>
      </c>
      <c r="B465" s="30" t="inlineStr">
        <is>
          <t>NSW-QLD</t>
        </is>
      </c>
      <c r="C465" s="30" t="inlineStr">
        <is>
          <t>QN2025</t>
        </is>
      </c>
      <c r="D465" s="30" t="inlineStr">
        <is>
          <t>Casual</t>
        </is>
      </c>
      <c r="E465" s="42">
        <f>VLOOKUP(A465,'[1]Virtus SAMPLE PositionHistorySa'!$A:$L,12,0)</f>
        <v/>
      </c>
      <c r="F465" s="31" t="inlineStr">
        <is>
          <t>2.19</t>
        </is>
      </c>
      <c r="G465" s="32" t="n"/>
      <c r="H465" s="32" t="n"/>
      <c r="I465" s="29" t="n"/>
    </row>
    <row r="466">
      <c r="A466" s="29" t="inlineStr">
        <is>
          <t>AU23084</t>
        </is>
      </c>
      <c r="B466" s="30" t="inlineStr">
        <is>
          <t>NSW-QLD</t>
        </is>
      </c>
      <c r="C466" s="30" t="inlineStr">
        <is>
          <t>IVFS2023</t>
        </is>
      </c>
      <c r="D466" s="30" t="inlineStr">
        <is>
          <t>Part time</t>
        </is>
      </c>
      <c r="E466" s="42">
        <f>VLOOKUP(A466,'[1]Virtus SAMPLE PositionHistorySa'!$A:$L,12,0)</f>
        <v/>
      </c>
      <c r="F466" s="31" t="inlineStr">
        <is>
          <t>1.46</t>
        </is>
      </c>
      <c r="G466" s="32" t="n"/>
      <c r="H466" s="32" t="n"/>
      <c r="I466" s="29" t="n"/>
    </row>
    <row r="467">
      <c r="A467" s="29" t="inlineStr">
        <is>
          <t>AU23246</t>
        </is>
      </c>
      <c r="B467" s="30" t="inlineStr">
        <is>
          <t>NSW-QLD</t>
        </is>
      </c>
      <c r="C467" s="30" t="inlineStr">
        <is>
          <t>IVFN2021</t>
        </is>
      </c>
      <c r="D467" s="30" t="inlineStr">
        <is>
          <t>Casual</t>
        </is>
      </c>
      <c r="E467" s="42">
        <f>VLOOKUP(A467,'[1]Virtus SAMPLE PositionHistorySa'!$A:$L,12,0)</f>
        <v/>
      </c>
      <c r="F467" s="31" t="inlineStr">
        <is>
          <t>1.17</t>
        </is>
      </c>
      <c r="G467" s="32" t="n"/>
      <c r="H467" s="32" t="n"/>
      <c r="I467" s="29" t="n"/>
    </row>
    <row r="468">
      <c r="A468" s="29" t="inlineStr">
        <is>
          <t>AU23318</t>
        </is>
      </c>
      <c r="B468" s="30" t="inlineStr">
        <is>
          <t>NSW-QLD</t>
        </is>
      </c>
      <c r="C468" s="30" t="inlineStr">
        <is>
          <t>VIC</t>
        </is>
      </c>
      <c r="D468" s="30" t="inlineStr">
        <is>
          <t>Full time</t>
        </is>
      </c>
      <c r="E468" s="42">
        <f>VLOOKUP(A468,'[1]Virtus SAMPLE PositionHistorySa'!$A:$L,12,0)</f>
        <v/>
      </c>
      <c r="F468" s="31" t="inlineStr">
        <is>
          <t>0.00</t>
        </is>
      </c>
      <c r="G468" s="32">
        <f>VLOOKUP(A468,Sheet3!A:K,10,0)/38</f>
        <v/>
      </c>
      <c r="H468" s="32">
        <f>F468-G468</f>
        <v/>
      </c>
      <c r="I468" s="29" t="n"/>
    </row>
    <row r="469">
      <c r="A469" s="29" t="inlineStr">
        <is>
          <t>AU23420</t>
        </is>
      </c>
      <c r="B469" s="30" t="inlineStr">
        <is>
          <t>NSW-QLD</t>
        </is>
      </c>
      <c r="C469" s="30" t="inlineStr">
        <is>
          <t>NSW</t>
        </is>
      </c>
      <c r="D469" s="30">
        <f>VLOOKUP(A469,Sheet3!A:E,5,0)</f>
        <v/>
      </c>
      <c r="E469" s="42">
        <f>VLOOKUP(A469,'[1]Virtus SAMPLE PositionHistorySa'!$A:$L,12,0)</f>
        <v/>
      </c>
      <c r="F469" s="31" t="inlineStr">
        <is>
          <t>0.62</t>
        </is>
      </c>
      <c r="G469" s="32" t="n"/>
      <c r="H469" s="32" t="n"/>
      <c r="I469" s="29" t="n"/>
    </row>
    <row r="470">
      <c r="A470" s="29" t="inlineStr">
        <is>
          <t>AU23631</t>
        </is>
      </c>
      <c r="B470" s="30" t="inlineStr">
        <is>
          <t>NSW-QLD</t>
        </is>
      </c>
      <c r="C470" s="30" t="inlineStr">
        <is>
          <t>IVFT2024</t>
        </is>
      </c>
      <c r="D470" s="30" t="inlineStr">
        <is>
          <t>Casual</t>
        </is>
      </c>
      <c r="E470" s="42">
        <f>VLOOKUP(A470,'[1]Virtus SAMPLE PositionHistorySa'!$A:$L,12,0)</f>
        <v/>
      </c>
      <c r="F470" s="31" t="inlineStr">
        <is>
          <t>0.48</t>
        </is>
      </c>
      <c r="G470" s="32" t="n"/>
      <c r="H470" s="32" t="n"/>
      <c r="I470" s="29" t="n"/>
    </row>
    <row r="471">
      <c r="A471" s="29" t="inlineStr">
        <is>
          <t>AU23676</t>
        </is>
      </c>
      <c r="B471" s="30" t="inlineStr">
        <is>
          <t>NSW-QLD</t>
        </is>
      </c>
      <c r="C471" s="30" t="inlineStr">
        <is>
          <t>IVFN2021</t>
        </is>
      </c>
      <c r="D471" s="30" t="inlineStr">
        <is>
          <t>Casual</t>
        </is>
      </c>
      <c r="E471" s="42">
        <f>VLOOKUP(A471,'[1]Virtus SAMPLE PositionHistorySa'!$A:$L,12,0)</f>
        <v/>
      </c>
      <c r="F471" s="31" t="inlineStr">
        <is>
          <t>0.48</t>
        </is>
      </c>
      <c r="G471" s="32" t="n"/>
      <c r="H471" s="32" t="n"/>
      <c r="I471" s="29" t="n"/>
    </row>
    <row r="472">
      <c r="A472" s="29" t="inlineStr">
        <is>
          <t>AU23694</t>
        </is>
      </c>
      <c r="B472" s="30" t="inlineStr">
        <is>
          <t>NSW-QLD</t>
        </is>
      </c>
      <c r="C472" s="30" t="inlineStr">
        <is>
          <t>VIC</t>
        </is>
      </c>
      <c r="D472" s="30" t="inlineStr">
        <is>
          <t>Part time</t>
        </is>
      </c>
      <c r="E472" s="42">
        <f>VLOOKUP(A472,'[1]Virtus SAMPLE PositionHistorySa'!$A:$L,12,0)</f>
        <v/>
      </c>
      <c r="F472" s="31" t="inlineStr">
        <is>
          <t>0.26</t>
        </is>
      </c>
      <c r="G472" s="32" t="n"/>
      <c r="H472" s="32" t="n"/>
      <c r="I472" s="29" t="n"/>
    </row>
    <row r="473">
      <c r="A473" s="29" t="inlineStr">
        <is>
          <t>AU23701</t>
        </is>
      </c>
      <c r="B473" s="30" t="inlineStr">
        <is>
          <t>NSW-QLD</t>
        </is>
      </c>
      <c r="C473" s="30" t="inlineStr">
        <is>
          <t>NSW</t>
        </is>
      </c>
      <c r="D473" s="30" t="inlineStr">
        <is>
          <t>Part time</t>
        </is>
      </c>
      <c r="E473" s="42">
        <f>VLOOKUP(A473,'[1]Virtus SAMPLE PositionHistorySa'!$A:$L,12,0)</f>
        <v/>
      </c>
      <c r="F473" s="31" t="inlineStr">
        <is>
          <t>0.26</t>
        </is>
      </c>
      <c r="G473" s="32" t="n"/>
      <c r="H473" s="32" t="n"/>
      <c r="I473" s="29" t="n"/>
    </row>
    <row r="474">
      <c r="A474" s="29" t="inlineStr">
        <is>
          <t>AU23793</t>
        </is>
      </c>
      <c r="B474" s="30" t="inlineStr">
        <is>
          <t>NSW-QLD</t>
        </is>
      </c>
      <c r="C474" s="30" t="inlineStr">
        <is>
          <t>IVFN2021</t>
        </is>
      </c>
      <c r="D474" s="30" t="inlineStr">
        <is>
          <t>Full time</t>
        </is>
      </c>
      <c r="E474" s="42">
        <f>VLOOKUP(A474,'[1]Virtus SAMPLE PositionHistorySa'!$A:$L,12,0)</f>
        <v/>
      </c>
      <c r="F474" s="31" t="inlineStr">
        <is>
          <t>0.11</t>
        </is>
      </c>
      <c r="G474" s="32">
        <f>VLOOKUP(A474,Sheet3!A:K,10,0)/38</f>
        <v/>
      </c>
      <c r="H474" s="32">
        <f>F474-G474</f>
        <v/>
      </c>
      <c r="I474" s="29" t="n"/>
    </row>
    <row r="475">
      <c r="A475" s="29" t="inlineStr">
        <is>
          <t>AU23802</t>
        </is>
      </c>
      <c r="B475" s="30" t="inlineStr">
        <is>
          <t>NSW-QLD</t>
        </is>
      </c>
      <c r="C475" s="30" t="inlineStr">
        <is>
          <t>IVFS2023</t>
        </is>
      </c>
      <c r="D475" s="30" t="inlineStr">
        <is>
          <t>Full time</t>
        </is>
      </c>
      <c r="E475" s="42">
        <f>VLOOKUP(A475,'[1]Virtus SAMPLE PositionHistorySa'!$A:$L,12,0)</f>
        <v/>
      </c>
      <c r="F475" s="31" t="inlineStr">
        <is>
          <t>0.11</t>
        </is>
      </c>
      <c r="G475" s="32">
        <f>VLOOKUP(A475,Sheet3!A:K,10,0)/38</f>
        <v/>
      </c>
      <c r="H475" s="32">
        <f>F475-G475</f>
        <v/>
      </c>
      <c r="I475" s="29" t="n"/>
    </row>
    <row r="476">
      <c r="A476" s="29" t="inlineStr">
        <is>
          <t>AU23785</t>
        </is>
      </c>
      <c r="B476" s="30" t="inlineStr">
        <is>
          <t>NSW-QLD</t>
        </is>
      </c>
      <c r="C476" s="30" t="inlineStr">
        <is>
          <t>QN2025</t>
        </is>
      </c>
      <c r="D476" s="30" t="inlineStr">
        <is>
          <t>Part time</t>
        </is>
      </c>
      <c r="E476" s="42">
        <f>VLOOKUP(A476,'[1]Virtus SAMPLE PositionHistorySa'!$A:$L,12,0)</f>
        <v/>
      </c>
      <c r="F476" s="31" t="inlineStr">
        <is>
          <t>0.17</t>
        </is>
      </c>
      <c r="G476" s="32" t="n"/>
      <c r="H476" s="32" t="n"/>
      <c r="I476" s="29" t="n"/>
    </row>
    <row r="477">
      <c r="A477" s="29" t="inlineStr">
        <is>
          <t>AU23792</t>
        </is>
      </c>
      <c r="B477" s="30" t="inlineStr">
        <is>
          <t>VIC-TAS</t>
        </is>
      </c>
      <c r="C477" s="30" t="inlineStr">
        <is>
          <t>MIVFS2022</t>
        </is>
      </c>
      <c r="D477" s="30">
        <f>VLOOKUP(A477,Sheet3!A:E,5,0)</f>
        <v/>
      </c>
      <c r="E477" s="42">
        <f>VLOOKUP(A477,'[1]Virtus SAMPLE PositionHistorySa'!$A:$L,12,0)</f>
        <v/>
      </c>
      <c r="F477" s="31" t="inlineStr">
        <is>
          <t>0.11</t>
        </is>
      </c>
      <c r="G477" s="32" t="n"/>
      <c r="H477" s="32" t="n"/>
      <c r="I477" s="29" t="n"/>
    </row>
    <row r="478">
      <c r="A478" s="29" t="inlineStr">
        <is>
          <t>AU23799</t>
        </is>
      </c>
      <c r="B478" s="30" t="inlineStr">
        <is>
          <t>VIC-TAS</t>
        </is>
      </c>
      <c r="C478" s="30" t="inlineStr">
        <is>
          <t>IVFS2023</t>
        </is>
      </c>
      <c r="D478" s="30" t="inlineStr">
        <is>
          <t>Casual</t>
        </is>
      </c>
      <c r="E478" s="42">
        <f>VLOOKUP(A478,'[1]Virtus SAMPLE PositionHistorySa'!$A:$L,12,0)</f>
        <v/>
      </c>
      <c r="F478" s="31" t="inlineStr">
        <is>
          <t>0.11</t>
        </is>
      </c>
      <c r="G478" s="32" t="n"/>
      <c r="H478" s="32" t="n"/>
      <c r="I478" s="29" t="n"/>
    </row>
    <row r="479">
      <c r="A479" s="29" t="inlineStr">
        <is>
          <t>AU23814</t>
        </is>
      </c>
      <c r="B479" s="30" t="inlineStr">
        <is>
          <t>NSW-QLD</t>
        </is>
      </c>
      <c r="C479" s="30" t="inlineStr">
        <is>
          <t>IVFT2024</t>
        </is>
      </c>
      <c r="D479" s="30" t="inlineStr">
        <is>
          <t>Part time</t>
        </is>
      </c>
      <c r="E479" s="42">
        <f>VLOOKUP(A479,'[1]Virtus SAMPLE PositionHistorySa'!$A:$L,12,0)</f>
        <v/>
      </c>
      <c r="F479" s="31" t="inlineStr">
        <is>
          <t>0.04</t>
        </is>
      </c>
      <c r="G479" s="32" t="n"/>
      <c r="H479" s="32" t="n"/>
      <c r="I479" s="29" t="n"/>
    </row>
    <row r="480">
      <c r="A480" s="29" t="inlineStr">
        <is>
          <t>AU23557</t>
        </is>
      </c>
      <c r="B480" s="30" t="inlineStr">
        <is>
          <t>VIC-TAS</t>
        </is>
      </c>
      <c r="C480" s="30" t="inlineStr">
        <is>
          <t>MIVFC2021</t>
        </is>
      </c>
      <c r="D480" s="30" t="inlineStr">
        <is>
          <t>Part time</t>
        </is>
      </c>
      <c r="E480" s="42">
        <f>VLOOKUP(A480,'[1]Virtus SAMPLE PositionHistorySa'!$A:$L,12,0)</f>
        <v/>
      </c>
      <c r="F480" s="31" t="inlineStr">
        <is>
          <t>0.95</t>
        </is>
      </c>
      <c r="G480" s="32" t="n"/>
      <c r="H480" s="32" t="n"/>
      <c r="I480" s="29" t="n"/>
    </row>
    <row r="481">
      <c r="A481" s="29" t="inlineStr">
        <is>
          <t>AU23651</t>
        </is>
      </c>
      <c r="B481" s="30" t="inlineStr">
        <is>
          <t>NSW-QLD</t>
        </is>
      </c>
      <c r="C481" s="30" t="inlineStr">
        <is>
          <t>IVFS2023</t>
        </is>
      </c>
      <c r="D481" s="30" t="inlineStr">
        <is>
          <t>Full time</t>
        </is>
      </c>
      <c r="E481" s="42">
        <f>VLOOKUP(A481,'[1]Virtus SAMPLE PositionHistorySa'!$A:$L,12,0)</f>
        <v/>
      </c>
      <c r="F481" s="31" t="inlineStr">
        <is>
          <t>0.33</t>
        </is>
      </c>
      <c r="G481" s="32">
        <f>VLOOKUP(A481,Sheet3!A:K,10,0)/38</f>
        <v/>
      </c>
      <c r="H481" s="32">
        <f>F481-G481</f>
        <v/>
      </c>
      <c r="I481" s="29" t="n"/>
    </row>
    <row r="482">
      <c r="A482" s="29" t="inlineStr">
        <is>
          <t>AU23659</t>
        </is>
      </c>
      <c r="B482" s="30" t="inlineStr">
        <is>
          <t>VIC-TAS</t>
        </is>
      </c>
      <c r="C482" s="30" t="inlineStr">
        <is>
          <t>TIVF2024</t>
        </is>
      </c>
      <c r="D482" s="30" t="inlineStr">
        <is>
          <t>Casual</t>
        </is>
      </c>
      <c r="E482" s="42">
        <f>VLOOKUP(A482,'[1]Virtus SAMPLE PositionHistorySa'!$A:$L,12,0)</f>
        <v/>
      </c>
      <c r="F482" s="31" t="inlineStr">
        <is>
          <t>0.33</t>
        </is>
      </c>
      <c r="G482" s="32" t="n"/>
      <c r="H482" s="32" t="n"/>
      <c r="I482" s="29" t="n"/>
    </row>
    <row r="483">
      <c r="A483" s="29" t="inlineStr">
        <is>
          <t>AU23663</t>
        </is>
      </c>
      <c r="B483" s="30" t="inlineStr">
        <is>
          <t>VIC-TAS</t>
        </is>
      </c>
      <c r="C483" s="30" t="inlineStr">
        <is>
          <t>MIVFS2022</t>
        </is>
      </c>
      <c r="D483" s="30">
        <f>VLOOKUP(A483,Sheet3!A:E,5,0)</f>
        <v/>
      </c>
      <c r="E483" s="42">
        <f>VLOOKUP(A483,'[1]Virtus SAMPLE PositionHistorySa'!$A:$L,12,0)</f>
        <v/>
      </c>
      <c r="F483" s="31" t="inlineStr">
        <is>
          <t>0.33</t>
        </is>
      </c>
      <c r="G483" s="32" t="n"/>
      <c r="H483" s="32" t="n"/>
      <c r="I483" s="29" t="n"/>
    </row>
    <row r="484">
      <c r="A484" s="29" t="inlineStr">
        <is>
          <t>AU23667</t>
        </is>
      </c>
      <c r="B484" s="30" t="inlineStr">
        <is>
          <t>NSW-QLD</t>
        </is>
      </c>
      <c r="C484" s="30" t="inlineStr">
        <is>
          <t>IVFN2021</t>
        </is>
      </c>
      <c r="D484" s="30">
        <f>VLOOKUP(A484,Sheet3!A:E,5,0)</f>
        <v/>
      </c>
      <c r="E484" s="42">
        <f>VLOOKUP(A484,'[1]Virtus SAMPLE PositionHistorySa'!$A:$L,12,0)</f>
        <v/>
      </c>
      <c r="F484" s="31" t="inlineStr">
        <is>
          <t>0.33</t>
        </is>
      </c>
      <c r="G484" s="32" t="n"/>
      <c r="H484" s="32" t="n"/>
      <c r="I484" s="29" t="n"/>
    </row>
    <row r="485">
      <c r="A485" s="29" t="inlineStr">
        <is>
          <t>AU23675</t>
        </is>
      </c>
      <c r="B485" s="30" t="inlineStr">
        <is>
          <t>NSW-QLD</t>
        </is>
      </c>
      <c r="C485" s="30" t="inlineStr">
        <is>
          <t>IVFS2023</t>
        </is>
      </c>
      <c r="D485" s="30" t="inlineStr">
        <is>
          <t>Casual</t>
        </is>
      </c>
      <c r="E485" s="42">
        <f>VLOOKUP(A485,'[1]Virtus SAMPLE PositionHistorySa'!$A:$L,12,0)</f>
        <v/>
      </c>
      <c r="F485" s="31" t="inlineStr">
        <is>
          <t>0.33</t>
        </is>
      </c>
      <c r="G485" s="32" t="n"/>
      <c r="H485" s="32" t="n"/>
      <c r="I485" s="29" t="n"/>
    </row>
    <row r="486">
      <c r="A486" s="29" t="inlineStr">
        <is>
          <t>AU23497</t>
        </is>
      </c>
      <c r="B486" s="30" t="inlineStr">
        <is>
          <t>NSW-QLD</t>
        </is>
      </c>
      <c r="C486" s="30" t="inlineStr">
        <is>
          <t>IVFS2023</t>
        </is>
      </c>
      <c r="D486" s="30" t="inlineStr">
        <is>
          <t>Casual</t>
        </is>
      </c>
      <c r="E486" s="42">
        <f>VLOOKUP(A486,'[1]Virtus SAMPLE PositionHistorySa'!$A:$L,12,0)</f>
        <v/>
      </c>
      <c r="F486" s="31" t="inlineStr">
        <is>
          <t>0.61</t>
        </is>
      </c>
      <c r="G486" s="32" t="n"/>
      <c r="H486" s="32" t="n"/>
      <c r="I486" s="29" t="n"/>
    </row>
    <row r="487">
      <c r="A487" s="29" t="inlineStr">
        <is>
          <t>AU23515</t>
        </is>
      </c>
      <c r="B487" s="30" t="inlineStr">
        <is>
          <t>NSW-QLD</t>
        </is>
      </c>
      <c r="C487" s="30" t="inlineStr">
        <is>
          <t>NSW</t>
        </is>
      </c>
      <c r="D487" s="30" t="inlineStr">
        <is>
          <t>Part time</t>
        </is>
      </c>
      <c r="E487" s="42">
        <f>VLOOKUP(A487,'[1]Virtus SAMPLE PositionHistorySa'!$A:$L,12,0)</f>
        <v/>
      </c>
      <c r="F487" s="31" t="inlineStr">
        <is>
          <t>0.55</t>
        </is>
      </c>
      <c r="G487" s="32" t="n"/>
      <c r="H487" s="32" t="n"/>
      <c r="I487" s="29" t="n"/>
    </row>
    <row r="488">
      <c r="A488" s="29" t="inlineStr">
        <is>
          <t>AU23528</t>
        </is>
      </c>
      <c r="B488" s="30" t="inlineStr">
        <is>
          <t>VIC-TAS</t>
        </is>
      </c>
      <c r="C488" s="30" t="inlineStr">
        <is>
          <t>VIC</t>
        </is>
      </c>
      <c r="D488" s="30" t="inlineStr">
        <is>
          <t>Casual</t>
        </is>
      </c>
      <c r="E488" s="42">
        <f>VLOOKUP(A488,'[1]Virtus SAMPLE PositionHistorySa'!$A:$L,12,0)</f>
        <v/>
      </c>
      <c r="F488" s="31" t="inlineStr">
        <is>
          <t>0.55</t>
        </is>
      </c>
      <c r="G488" s="32" t="n"/>
      <c r="H488" s="32" t="n"/>
      <c r="I488" s="29" t="n"/>
    </row>
    <row r="489">
      <c r="A489" s="29" t="inlineStr">
        <is>
          <t>AU23548</t>
        </is>
      </c>
      <c r="B489" s="30" t="inlineStr">
        <is>
          <t>NSW-QLD</t>
        </is>
      </c>
      <c r="C489" s="30" t="inlineStr">
        <is>
          <t>IVFS2023</t>
        </is>
      </c>
      <c r="D489" s="30" t="inlineStr">
        <is>
          <t>Casual</t>
        </is>
      </c>
      <c r="E489" s="42">
        <f>VLOOKUP(A489,'[1]Virtus SAMPLE PositionHistorySa'!$A:$L,12,0)</f>
        <v/>
      </c>
      <c r="F489" s="31" t="inlineStr">
        <is>
          <t>0.55</t>
        </is>
      </c>
      <c r="G489" s="32" t="n"/>
      <c r="H489" s="32" t="n"/>
      <c r="I489" s="29" t="n"/>
    </row>
    <row r="490">
      <c r="A490" s="29" t="inlineStr">
        <is>
          <t>AU23646</t>
        </is>
      </c>
      <c r="B490" s="30" t="inlineStr">
        <is>
          <t>VIC-TAS</t>
        </is>
      </c>
      <c r="C490" s="30" t="inlineStr">
        <is>
          <t>VIC</t>
        </is>
      </c>
      <c r="D490" s="30">
        <f>VLOOKUP(A490,Sheet3!A:E,5,0)</f>
        <v/>
      </c>
      <c r="E490" s="42">
        <f>VLOOKUP(A490,'[1]Virtus SAMPLE PositionHistorySa'!$A:$L,12,0)</f>
        <v/>
      </c>
      <c r="F490" s="31" t="inlineStr">
        <is>
          <t>0.47</t>
        </is>
      </c>
      <c r="G490" s="32" t="n"/>
      <c r="H490" s="32" t="n"/>
      <c r="I490" s="29" t="n"/>
    </row>
    <row r="491">
      <c r="A491" s="29" t="inlineStr">
        <is>
          <t>AU23674</t>
        </is>
      </c>
      <c r="B491" s="30" t="inlineStr">
        <is>
          <t>NSW-QLD</t>
        </is>
      </c>
      <c r="C491" s="30" t="inlineStr">
        <is>
          <t>VIC</t>
        </is>
      </c>
      <c r="D491" s="30" t="inlineStr">
        <is>
          <t>Full time</t>
        </is>
      </c>
      <c r="E491" s="42">
        <f>VLOOKUP(A491,'[1]Virtus SAMPLE PositionHistorySa'!$A:$L,12,0)</f>
        <v/>
      </c>
      <c r="F491" s="31" t="inlineStr">
        <is>
          <t>0.33</t>
        </is>
      </c>
      <c r="G491" s="32">
        <f>VLOOKUP(A491,Sheet3!A:K,10,0)/38</f>
        <v/>
      </c>
      <c r="H491" s="32">
        <f>F491-G491</f>
        <v/>
      </c>
      <c r="I491" s="29" t="n"/>
    </row>
    <row r="492">
      <c r="A492" s="29" t="inlineStr">
        <is>
          <t>AU23700</t>
        </is>
      </c>
      <c r="B492" s="30" t="inlineStr">
        <is>
          <t>NSW-QLD</t>
        </is>
      </c>
      <c r="C492" s="30" t="inlineStr">
        <is>
          <t>QN2025</t>
        </is>
      </c>
      <c r="D492" s="30" t="inlineStr">
        <is>
          <t>Casual</t>
        </is>
      </c>
      <c r="E492" s="42">
        <f>VLOOKUP(A492,'[1]Virtus SAMPLE PositionHistorySa'!$A:$L,12,0)</f>
        <v/>
      </c>
      <c r="F492" s="31" t="inlineStr">
        <is>
          <t>0.38</t>
        </is>
      </c>
      <c r="G492" s="32" t="n"/>
      <c r="H492" s="32" t="n"/>
      <c r="I492" s="29" t="n"/>
    </row>
    <row r="493">
      <c r="A493" s="29" t="inlineStr">
        <is>
          <t>AU23715</t>
        </is>
      </c>
      <c r="B493" s="30" t="inlineStr">
        <is>
          <t>NSW-QLD</t>
        </is>
      </c>
      <c r="C493" s="30" t="inlineStr">
        <is>
          <t>IVFN2021</t>
        </is>
      </c>
      <c r="D493" s="30" t="inlineStr">
        <is>
          <t>Part time</t>
        </is>
      </c>
      <c r="E493" s="42">
        <f>VLOOKUP(A493,'[1]Virtus SAMPLE PositionHistorySa'!$A:$L,12,0)</f>
        <v/>
      </c>
      <c r="F493" s="31" t="inlineStr">
        <is>
          <t>0.25</t>
        </is>
      </c>
      <c r="G493" s="32" t="n"/>
      <c r="H493" s="32" t="n"/>
      <c r="I493" s="29" t="n"/>
    </row>
    <row r="494">
      <c r="A494" s="29" t="inlineStr">
        <is>
          <t>AU23738</t>
        </is>
      </c>
      <c r="B494" s="30" t="inlineStr">
        <is>
          <t>NSW-QLD</t>
        </is>
      </c>
      <c r="C494" s="30" t="inlineStr">
        <is>
          <t>NSW</t>
        </is>
      </c>
      <c r="D494" s="30" t="inlineStr">
        <is>
          <t>Full time</t>
        </is>
      </c>
      <c r="E494" s="42">
        <f>VLOOKUP(A494,'[1]Virtus SAMPLE PositionHistorySa'!$A:$L,12,0)</f>
        <v/>
      </c>
      <c r="F494" s="31" t="inlineStr">
        <is>
          <t>0.18</t>
        </is>
      </c>
      <c r="G494" s="32">
        <f>VLOOKUP(A494,Sheet3!A:K,10,0)/38</f>
        <v/>
      </c>
      <c r="H494" s="32">
        <f>F494-G494</f>
        <v/>
      </c>
      <c r="I494" s="29" t="n"/>
    </row>
    <row r="495">
      <c r="A495" s="29" t="inlineStr">
        <is>
          <t>AU23729</t>
        </is>
      </c>
      <c r="B495" s="30" t="inlineStr">
        <is>
          <t>NSW-QLD</t>
        </is>
      </c>
      <c r="C495" s="30" t="inlineStr">
        <is>
          <t>IVFN2021</t>
        </is>
      </c>
      <c r="D495" s="30" t="inlineStr">
        <is>
          <t>Full time</t>
        </is>
      </c>
      <c r="E495" s="42">
        <f>VLOOKUP(A495,'[1]Virtus SAMPLE PositionHistorySa'!$A:$L,12,0)</f>
        <v/>
      </c>
      <c r="F495" s="31" t="inlineStr">
        <is>
          <t>0.18</t>
        </is>
      </c>
      <c r="G495" s="32">
        <f>VLOOKUP(A495,Sheet3!A:K,10,0)/38</f>
        <v/>
      </c>
      <c r="H495" s="32">
        <f>F495-G495</f>
        <v/>
      </c>
      <c r="I495" s="29" t="n"/>
    </row>
    <row r="496">
      <c r="A496" s="29" t="inlineStr">
        <is>
          <t>AU23739</t>
        </is>
      </c>
      <c r="B496" s="30" t="inlineStr">
        <is>
          <t>NSW-QLD</t>
        </is>
      </c>
      <c r="C496" s="30" t="inlineStr">
        <is>
          <t>NSW</t>
        </is>
      </c>
      <c r="D496" s="30" t="inlineStr">
        <is>
          <t>Part time</t>
        </is>
      </c>
      <c r="E496" s="42">
        <f>VLOOKUP(A496,'[1]Virtus SAMPLE PositionHistorySa'!$A:$L,12,0)</f>
        <v/>
      </c>
      <c r="F496" s="31" t="inlineStr">
        <is>
          <t>0.18</t>
        </is>
      </c>
      <c r="G496" s="32" t="n"/>
      <c r="H496" s="32" t="n"/>
      <c r="I496" s="29" t="n"/>
    </row>
    <row r="497">
      <c r="A497" s="29" t="inlineStr">
        <is>
          <t>AU23756</t>
        </is>
      </c>
      <c r="B497" s="30" t="inlineStr">
        <is>
          <t>VIC-TAS</t>
        </is>
      </c>
      <c r="C497" s="30" t="inlineStr">
        <is>
          <t>VIC</t>
        </is>
      </c>
      <c r="D497" s="30">
        <f>VLOOKUP(A497,Sheet3!A:E,5,0)</f>
        <v/>
      </c>
      <c r="E497" s="42">
        <f>VLOOKUP(A497,'[1]Virtus SAMPLE PositionHistorySa'!$A:$L,12,0)</f>
        <v/>
      </c>
      <c r="F497" s="31" t="inlineStr">
        <is>
          <t>0.18</t>
        </is>
      </c>
      <c r="G497" s="32" t="n"/>
      <c r="H497" s="32" t="n"/>
      <c r="I497" s="29" t="n"/>
    </row>
    <row r="498">
      <c r="A498" s="29" t="inlineStr">
        <is>
          <t>AU23761</t>
        </is>
      </c>
      <c r="B498" s="30" t="inlineStr">
        <is>
          <t>NSW-QLD</t>
        </is>
      </c>
      <c r="C498" s="30" t="inlineStr">
        <is>
          <t>QN2025</t>
        </is>
      </c>
      <c r="D498" s="30" t="inlineStr">
        <is>
          <t>Part time</t>
        </is>
      </c>
      <c r="E498" s="42">
        <f>VLOOKUP(A498,'[1]Virtus SAMPLE PositionHistorySa'!$A:$L,12,0)</f>
        <v/>
      </c>
      <c r="F498" s="31" t="inlineStr">
        <is>
          <t>0.27</t>
        </is>
      </c>
      <c r="G498" s="32" t="n"/>
      <c r="H498" s="32" t="n"/>
      <c r="I498" s="29" t="n"/>
    </row>
    <row r="499">
      <c r="A499" s="29" t="inlineStr">
        <is>
          <t>AU23763</t>
        </is>
      </c>
      <c r="B499" s="30" t="inlineStr">
        <is>
          <t>VIC-TAS</t>
        </is>
      </c>
      <c r="C499" s="30" t="inlineStr">
        <is>
          <t>MIVFS2022</t>
        </is>
      </c>
      <c r="D499" s="30">
        <f>VLOOKUP(A499,Sheet3!A:E,5,0)</f>
        <v/>
      </c>
      <c r="E499" s="42">
        <f>VLOOKUP(A499,'[1]Virtus SAMPLE PositionHistorySa'!$A:$L,12,0)</f>
        <v/>
      </c>
      <c r="F499" s="31" t="inlineStr">
        <is>
          <t>0.18</t>
        </is>
      </c>
      <c r="G499" s="32" t="n"/>
      <c r="H499" s="32" t="n"/>
      <c r="I499" s="29" t="n"/>
    </row>
    <row r="500">
      <c r="A500" s="29" t="inlineStr">
        <is>
          <t>AU23767</t>
        </is>
      </c>
      <c r="B500" s="30" t="inlineStr">
        <is>
          <t>NSW-QLD</t>
        </is>
      </c>
      <c r="C500" s="30" t="inlineStr">
        <is>
          <t>IVFS2023</t>
        </is>
      </c>
      <c r="D500" s="30" t="inlineStr">
        <is>
          <t>Casual</t>
        </is>
      </c>
      <c r="E500" s="42">
        <f>VLOOKUP(A500,'[1]Virtus SAMPLE PositionHistorySa'!$A:$L,12,0)</f>
        <v/>
      </c>
      <c r="F500" s="31" t="inlineStr">
        <is>
          <t>0.18</t>
        </is>
      </c>
      <c r="G500" s="32" t="n"/>
      <c r="H500" s="32" t="n"/>
      <c r="I500" s="29" t="n"/>
    </row>
    <row r="501">
      <c r="A501" s="29" t="inlineStr">
        <is>
          <t>AU23803</t>
        </is>
      </c>
      <c r="B501" s="30" t="inlineStr">
        <is>
          <t>NSW-QLD</t>
        </is>
      </c>
      <c r="C501" s="30" t="inlineStr">
        <is>
          <t>NSW</t>
        </is>
      </c>
      <c r="D501" s="30" t="inlineStr">
        <is>
          <t>Casual</t>
        </is>
      </c>
      <c r="E501" s="42">
        <f>VLOOKUP(A501,'[1]Virtus SAMPLE PositionHistorySa'!$A:$L,12,0)</f>
        <v/>
      </c>
      <c r="F501" s="31" t="inlineStr">
        <is>
          <t>0.11</t>
        </is>
      </c>
      <c r="G501" s="32" t="n"/>
      <c r="H501" s="32" t="n"/>
      <c r="I501" s="29" t="n"/>
    </row>
    <row r="502">
      <c r="A502" s="29" t="inlineStr">
        <is>
          <t>AU23589</t>
        </is>
      </c>
      <c r="B502" s="30" t="inlineStr">
        <is>
          <t>NSW-QLD</t>
        </is>
      </c>
      <c r="C502" s="30" t="inlineStr">
        <is>
          <t>IVFS2023</t>
        </is>
      </c>
      <c r="D502" s="30" t="inlineStr">
        <is>
          <t>Casual</t>
        </is>
      </c>
      <c r="E502" s="42">
        <f>VLOOKUP(A502,'[1]Virtus SAMPLE PositionHistorySa'!$A:$L,12,0)</f>
        <v/>
      </c>
      <c r="F502" s="31" t="inlineStr">
        <is>
          <t>0.47</t>
        </is>
      </c>
      <c r="G502" s="32" t="n"/>
      <c r="H502" s="32" t="n"/>
      <c r="I502" s="29" t="n"/>
    </row>
    <row r="503">
      <c r="A503" s="29" t="inlineStr">
        <is>
          <t>AU23590</t>
        </is>
      </c>
      <c r="B503" s="30" t="inlineStr">
        <is>
          <t>NSW-QLD</t>
        </is>
      </c>
      <c r="C503" s="30" t="inlineStr">
        <is>
          <t>IVFT2024</t>
        </is>
      </c>
      <c r="D503" s="30" t="inlineStr">
        <is>
          <t>Full time</t>
        </is>
      </c>
      <c r="E503" s="42">
        <f>VLOOKUP(A503,'[1]Virtus SAMPLE PositionHistorySa'!$A:$L,12,0)</f>
        <v/>
      </c>
      <c r="F503" s="31" t="inlineStr">
        <is>
          <t>0.40</t>
        </is>
      </c>
      <c r="G503" s="32">
        <f>VLOOKUP(A503,Sheet3!A:K,10,0)/38</f>
        <v/>
      </c>
      <c r="H503" s="32">
        <f>F503-G503</f>
        <v/>
      </c>
      <c r="I503" s="29" t="n"/>
    </row>
    <row r="504">
      <c r="A504" s="29" t="inlineStr">
        <is>
          <t>AU23624</t>
        </is>
      </c>
      <c r="B504" s="30" t="inlineStr">
        <is>
          <t>NSW-QLD</t>
        </is>
      </c>
      <c r="C504" s="30" t="inlineStr">
        <is>
          <t>NSW</t>
        </is>
      </c>
      <c r="D504" s="30" t="inlineStr">
        <is>
          <t>Full time</t>
        </is>
      </c>
      <c r="E504" s="42">
        <f>VLOOKUP(A504,'[1]Virtus SAMPLE PositionHistorySa'!$A:$L,12,0)</f>
        <v/>
      </c>
      <c r="F504" s="31" t="inlineStr">
        <is>
          <t>0.40</t>
        </is>
      </c>
      <c r="G504" s="32">
        <f>VLOOKUP(A504,Sheet3!A:K,10,0)/38</f>
        <v/>
      </c>
      <c r="H504" s="32">
        <f>F504-G504</f>
        <v/>
      </c>
      <c r="I504" s="29" t="n"/>
    </row>
    <row r="505">
      <c r="A505" s="29" t="inlineStr">
        <is>
          <t>AU23607</t>
        </is>
      </c>
      <c r="B505" s="30" t="inlineStr">
        <is>
          <t>NSW-QLD</t>
        </is>
      </c>
      <c r="C505" s="30" t="inlineStr">
        <is>
          <t>IVFN2021</t>
        </is>
      </c>
      <c r="D505" s="30" t="inlineStr">
        <is>
          <t>Casual</t>
        </is>
      </c>
      <c r="E505" s="42">
        <f>VLOOKUP(A505,'[1]Virtus SAMPLE PositionHistorySa'!$A:$L,12,0)</f>
        <v/>
      </c>
      <c r="F505" s="31" t="inlineStr">
        <is>
          <t>0.40</t>
        </is>
      </c>
      <c r="G505" s="32" t="n"/>
      <c r="H505" s="32" t="n"/>
      <c r="I505" s="29" t="n"/>
    </row>
    <row r="506">
      <c r="A506" s="29" t="inlineStr">
        <is>
          <t>AU23632</t>
        </is>
      </c>
      <c r="B506" s="30" t="inlineStr">
        <is>
          <t>NSW-QLD</t>
        </is>
      </c>
      <c r="C506" s="30" t="inlineStr">
        <is>
          <t>IVFN2021</t>
        </is>
      </c>
      <c r="D506" s="30" t="inlineStr">
        <is>
          <t>Casual</t>
        </is>
      </c>
      <c r="E506" s="42">
        <f>VLOOKUP(A506,'[1]Virtus SAMPLE PositionHistorySa'!$A:$L,12,0)</f>
        <v/>
      </c>
      <c r="F506" s="31" t="inlineStr">
        <is>
          <t>0.40</t>
        </is>
      </c>
      <c r="G506" s="32" t="n"/>
      <c r="H506" s="32" t="n"/>
      <c r="I506" s="29" t="n"/>
    </row>
    <row r="507">
      <c r="A507" s="29" t="inlineStr">
        <is>
          <t>AU23634</t>
        </is>
      </c>
      <c r="B507" s="30" t="inlineStr">
        <is>
          <t>VIC-TAS</t>
        </is>
      </c>
      <c r="C507" s="30" t="inlineStr">
        <is>
          <t>MIVFC2021</t>
        </is>
      </c>
      <c r="D507" s="30" t="inlineStr">
        <is>
          <t>Casual</t>
        </is>
      </c>
      <c r="E507" s="42">
        <f>VLOOKUP(A507,'[1]Virtus SAMPLE PositionHistorySa'!$A:$L,12,0)</f>
        <v/>
      </c>
      <c r="F507" s="31" t="inlineStr">
        <is>
          <t>0.79</t>
        </is>
      </c>
      <c r="G507" s="32" t="n"/>
      <c r="H507" s="32" t="n"/>
      <c r="I507" s="29" t="n"/>
    </row>
    <row r="508">
      <c r="A508" s="29" t="inlineStr">
        <is>
          <t>AU23652</t>
        </is>
      </c>
      <c r="B508" s="30" t="inlineStr">
        <is>
          <t>NSW-QLD</t>
        </is>
      </c>
      <c r="C508" s="30" t="inlineStr">
        <is>
          <t>IVFN2021</t>
        </is>
      </c>
      <c r="D508" s="30" t="inlineStr">
        <is>
          <t>Casual</t>
        </is>
      </c>
      <c r="E508" s="42">
        <f>VLOOKUP(A508,'[1]Virtus SAMPLE PositionHistorySa'!$A:$L,12,0)</f>
        <v/>
      </c>
      <c r="F508" s="31" t="inlineStr">
        <is>
          <t>0.40</t>
        </is>
      </c>
      <c r="G508" s="32" t="n"/>
      <c r="H508" s="32" t="n"/>
      <c r="I508" s="29" t="n"/>
    </row>
    <row r="509">
      <c r="A509" s="29" t="inlineStr">
        <is>
          <t>AU23435</t>
        </is>
      </c>
      <c r="B509" s="30" t="inlineStr">
        <is>
          <t>NSW-QLD</t>
        </is>
      </c>
      <c r="C509" s="30" t="inlineStr">
        <is>
          <t>QS2024</t>
        </is>
      </c>
      <c r="D509" s="30" t="inlineStr">
        <is>
          <t>Full time</t>
        </is>
      </c>
      <c r="E509" s="42">
        <f>VLOOKUP(A509,'[1]Virtus SAMPLE PositionHistorySa'!$A:$L,12,0)</f>
        <v/>
      </c>
      <c r="F509" s="31" t="inlineStr">
        <is>
          <t>0.68</t>
        </is>
      </c>
      <c r="G509" s="32">
        <f>VLOOKUP(A509,Sheet3!A:K,10,0)/38</f>
        <v/>
      </c>
      <c r="H509" s="32">
        <f>F509-G509</f>
        <v/>
      </c>
      <c r="I509" s="29" t="n"/>
    </row>
    <row r="510">
      <c r="A510" s="29" t="inlineStr">
        <is>
          <t>AU23465</t>
        </is>
      </c>
      <c r="B510" s="30" t="inlineStr">
        <is>
          <t>NSW-QLD</t>
        </is>
      </c>
      <c r="C510" s="30" t="inlineStr">
        <is>
          <t>NSW</t>
        </is>
      </c>
      <c r="D510" s="30" t="inlineStr">
        <is>
          <t>Casual</t>
        </is>
      </c>
      <c r="E510" s="42">
        <f>VLOOKUP(A510,'[1]Virtus SAMPLE PositionHistorySa'!$A:$L,12,0)</f>
        <v/>
      </c>
      <c r="F510" s="31" t="inlineStr">
        <is>
          <t>0.68</t>
        </is>
      </c>
      <c r="G510" s="32" t="n"/>
      <c r="H510" s="32" t="n"/>
      <c r="I510" s="29" t="n"/>
    </row>
    <row r="511">
      <c r="A511" s="29" t="inlineStr">
        <is>
          <t>AU23471</t>
        </is>
      </c>
      <c r="B511" s="30" t="inlineStr">
        <is>
          <t>NSW-QLD</t>
        </is>
      </c>
      <c r="C511" s="30" t="inlineStr">
        <is>
          <t>QN2025</t>
        </is>
      </c>
      <c r="D511" s="30" t="inlineStr">
        <is>
          <t>Casual</t>
        </is>
      </c>
      <c r="E511" s="42">
        <f>VLOOKUP(A511,'[1]Virtus SAMPLE PositionHistorySa'!$A:$L,12,0)</f>
        <v/>
      </c>
      <c r="F511" s="31" t="inlineStr">
        <is>
          <t>1.02</t>
        </is>
      </c>
      <c r="G511" s="32" t="n"/>
      <c r="H511" s="32" t="n"/>
      <c r="I511" s="29" t="n"/>
    </row>
    <row r="512">
      <c r="A512" s="29" t="inlineStr">
        <is>
          <t>AU23826</t>
        </is>
      </c>
      <c r="B512" s="30" t="inlineStr">
        <is>
          <t>NSW-QLD</t>
        </is>
      </c>
      <c r="C512" s="30" t="inlineStr">
        <is>
          <t>IVFS2023</t>
        </is>
      </c>
      <c r="D512" s="30" t="inlineStr">
        <is>
          <t>Full time</t>
        </is>
      </c>
      <c r="E512" s="42">
        <f>VLOOKUP(A512,'[1]Virtus SAMPLE PositionHistorySa'!$A:$L,12,0)</f>
        <v/>
      </c>
      <c r="F512" s="31" t="inlineStr">
        <is>
          <t>0.03</t>
        </is>
      </c>
      <c r="G512" s="32">
        <f>VLOOKUP(A512,Sheet3!A:K,10,0)/38</f>
        <v/>
      </c>
      <c r="H512" s="32">
        <f>F512-G512</f>
        <v/>
      </c>
      <c r="I512" s="29" t="n"/>
    </row>
    <row r="513">
      <c r="A513" s="29" t="inlineStr">
        <is>
          <t>AU23897</t>
        </is>
      </c>
      <c r="B513" s="30" t="inlineStr">
        <is>
          <t>NSW-QLD</t>
        </is>
      </c>
      <c r="C513" s="30" t="inlineStr">
        <is>
          <t>IVFN2021</t>
        </is>
      </c>
      <c r="D513" s="30" t="inlineStr">
        <is>
          <t>Full time</t>
        </is>
      </c>
      <c r="E513" s="42">
        <f>VLOOKUP(A513,'[1]Virtus SAMPLE PositionHistorySa'!$A:$L,12,0)</f>
        <v/>
      </c>
      <c r="F513" s="31" t="inlineStr">
        <is>
          <t>0.03</t>
        </is>
      </c>
      <c r="G513" s="32">
        <f>VLOOKUP(A513,Sheet3!A:K,10,0)/38</f>
        <v/>
      </c>
      <c r="H513" s="32">
        <f>F513-G513</f>
        <v/>
      </c>
      <c r="I513" s="29" t="n"/>
    </row>
    <row r="514">
      <c r="A514" s="29" t="inlineStr">
        <is>
          <t>AU23874</t>
        </is>
      </c>
      <c r="B514" s="30" t="inlineStr">
        <is>
          <t>VIC-TAS</t>
        </is>
      </c>
      <c r="C514" s="30" t="inlineStr">
        <is>
          <t>MIVFS2022</t>
        </is>
      </c>
      <c r="D514" s="30">
        <f>VLOOKUP(A514,Sheet3!A:E,5,0)</f>
        <v/>
      </c>
      <c r="E514" s="42">
        <f>VLOOKUP(A514,'[1]Virtus SAMPLE PositionHistorySa'!$A:$L,12,0)</f>
        <v/>
      </c>
      <c r="F514" s="31" t="inlineStr">
        <is>
          <t>0.03</t>
        </is>
      </c>
      <c r="G514" s="32" t="n"/>
      <c r="H514" s="32" t="n"/>
      <c r="I514" s="29" t="n"/>
    </row>
    <row r="515">
      <c r="A515" s="29" t="inlineStr">
        <is>
          <t>AU23608</t>
        </is>
      </c>
      <c r="B515" s="30" t="inlineStr">
        <is>
          <t>NSW-QLD</t>
        </is>
      </c>
      <c r="C515" s="30" t="inlineStr">
        <is>
          <t>QS2024</t>
        </is>
      </c>
      <c r="D515" s="30" t="inlineStr">
        <is>
          <t>Full time</t>
        </is>
      </c>
      <c r="E515" s="42">
        <f>VLOOKUP(A515,'[1]Virtus SAMPLE PositionHistorySa'!$A:$L,12,0)</f>
        <v/>
      </c>
      <c r="F515" s="31" t="inlineStr">
        <is>
          <t>0.46</t>
        </is>
      </c>
      <c r="G515" s="32">
        <f>VLOOKUP(A515,Sheet3!A:K,10,0)/38</f>
        <v/>
      </c>
      <c r="H515" s="32">
        <f>F515-G515</f>
        <v/>
      </c>
      <c r="I515" s="29" t="n"/>
    </row>
    <row r="516">
      <c r="A516" s="29" t="inlineStr">
        <is>
          <t>AU23553</t>
        </is>
      </c>
      <c r="B516" s="30" t="inlineStr">
        <is>
          <t>NSW-QLD</t>
        </is>
      </c>
      <c r="C516" s="30" t="inlineStr">
        <is>
          <t>QN2025</t>
        </is>
      </c>
      <c r="D516" s="30" t="inlineStr">
        <is>
          <t>Part time</t>
        </is>
      </c>
      <c r="E516" s="42">
        <f>VLOOKUP(A516,'[1]Virtus SAMPLE PositionHistorySa'!$A:$L,12,0)</f>
        <v/>
      </c>
      <c r="F516" s="31" t="inlineStr">
        <is>
          <t>0.69</t>
        </is>
      </c>
      <c r="G516" s="32" t="n"/>
      <c r="H516" s="32" t="n"/>
      <c r="I516" s="29" t="n"/>
    </row>
    <row r="517">
      <c r="A517" s="29" t="inlineStr">
        <is>
          <t>AU23583</t>
        </is>
      </c>
      <c r="B517" s="30" t="inlineStr">
        <is>
          <t>NSW-QLD</t>
        </is>
      </c>
      <c r="C517" s="30" t="inlineStr">
        <is>
          <t>QN2025</t>
        </is>
      </c>
      <c r="D517" s="30">
        <f>VLOOKUP(A517,Sheet3!A:E,5,0)</f>
        <v/>
      </c>
      <c r="E517" s="42">
        <f>VLOOKUP(A517,'[1]Virtus SAMPLE PositionHistorySa'!$A:$L,12,0)</f>
        <v/>
      </c>
      <c r="F517" s="31" t="inlineStr">
        <is>
          <t>0.69</t>
        </is>
      </c>
      <c r="G517" s="32" t="n"/>
      <c r="H517" s="32" t="n"/>
      <c r="I517" s="29" t="n"/>
    </row>
    <row r="518">
      <c r="A518" s="29" t="inlineStr">
        <is>
          <t>AU23586</t>
        </is>
      </c>
      <c r="B518" s="30" t="inlineStr">
        <is>
          <t>NSW-QLD</t>
        </is>
      </c>
      <c r="C518" s="30" t="inlineStr">
        <is>
          <t>QN2025</t>
        </is>
      </c>
      <c r="D518" s="30">
        <f>VLOOKUP(A518,Sheet3!A:E,5,0)</f>
        <v/>
      </c>
      <c r="E518" s="42">
        <f>VLOOKUP(A518,'[1]Virtus SAMPLE PositionHistorySa'!$A:$L,12,0)</f>
        <v/>
      </c>
      <c r="F518" s="31" t="inlineStr">
        <is>
          <t>0.69</t>
        </is>
      </c>
      <c r="G518" s="32" t="n"/>
      <c r="H518" s="32" t="n"/>
      <c r="I518" s="29" t="n"/>
    </row>
    <row r="519">
      <c r="A519" s="29" t="inlineStr">
        <is>
          <t>AU23592</t>
        </is>
      </c>
      <c r="B519" s="30" t="inlineStr">
        <is>
          <t>NSW-QLD</t>
        </is>
      </c>
      <c r="C519" s="30" t="inlineStr">
        <is>
          <t>IVFS2023</t>
        </is>
      </c>
      <c r="D519" s="30" t="inlineStr">
        <is>
          <t>Casual</t>
        </is>
      </c>
      <c r="E519" s="42">
        <f>VLOOKUP(A519,'[1]Virtus SAMPLE PositionHistorySa'!$A:$L,12,0)</f>
        <v/>
      </c>
      <c r="F519" s="31" t="inlineStr">
        <is>
          <t>0.46</t>
        </is>
      </c>
      <c r="G519" s="32" t="n"/>
      <c r="H519" s="32" t="n"/>
      <c r="I519" s="29" t="n"/>
    </row>
    <row r="520">
      <c r="A520" s="29" t="inlineStr">
        <is>
          <t>AU23593</t>
        </is>
      </c>
      <c r="B520" s="30" t="inlineStr">
        <is>
          <t>NSW-QLD</t>
        </is>
      </c>
      <c r="C520" s="30" t="inlineStr">
        <is>
          <t>QN2025</t>
        </is>
      </c>
      <c r="D520" s="30" t="inlineStr">
        <is>
          <t>Casual</t>
        </is>
      </c>
      <c r="E520" s="42">
        <f>VLOOKUP(A520,'[1]Virtus SAMPLE PositionHistorySa'!$A:$L,12,0)</f>
        <v/>
      </c>
      <c r="F520" s="31" t="inlineStr">
        <is>
          <t>0.69</t>
        </is>
      </c>
      <c r="G520" s="32" t="n"/>
      <c r="H520" s="32" t="n"/>
      <c r="I520" s="29" t="n"/>
    </row>
    <row r="521">
      <c r="A521" s="29" t="inlineStr">
        <is>
          <t>AU23596</t>
        </is>
      </c>
      <c r="B521" s="30" t="inlineStr">
        <is>
          <t>VIC-TAS</t>
        </is>
      </c>
      <c r="C521" s="30" t="inlineStr">
        <is>
          <t>MIVFN2023</t>
        </is>
      </c>
      <c r="D521" s="30">
        <f>VLOOKUP(A521,Sheet3!A:E,5,0)</f>
        <v/>
      </c>
      <c r="E521" s="42">
        <f>VLOOKUP(A521,'[1]Virtus SAMPLE PositionHistorySa'!$A:$L,12,0)</f>
        <v/>
      </c>
      <c r="F521" s="31" t="inlineStr">
        <is>
          <t>0.46</t>
        </is>
      </c>
      <c r="G521" s="32" t="n"/>
      <c r="H521" s="32" t="n"/>
      <c r="I521" s="29" t="n"/>
    </row>
    <row r="522">
      <c r="A522" s="29" t="inlineStr">
        <is>
          <t>AU23597</t>
        </is>
      </c>
      <c r="B522" s="30" t="inlineStr">
        <is>
          <t>NSW-QLD</t>
        </is>
      </c>
      <c r="C522" s="30" t="inlineStr">
        <is>
          <t>QS2024</t>
        </is>
      </c>
      <c r="D522" s="30" t="inlineStr">
        <is>
          <t>Casual</t>
        </is>
      </c>
      <c r="E522" s="42">
        <f>VLOOKUP(A522,'[1]Virtus SAMPLE PositionHistorySa'!$A:$L,12,0)</f>
        <v/>
      </c>
      <c r="F522" s="31" t="inlineStr">
        <is>
          <t>0.46</t>
        </is>
      </c>
      <c r="G522" s="32" t="n"/>
      <c r="H522" s="32" t="n"/>
      <c r="I522" s="29" t="n"/>
    </row>
    <row r="523">
      <c r="A523" s="29" t="inlineStr">
        <is>
          <t>AU23630</t>
        </is>
      </c>
      <c r="B523" s="30" t="inlineStr">
        <is>
          <t>NSW-QLD</t>
        </is>
      </c>
      <c r="C523" s="30" t="inlineStr">
        <is>
          <t>IVFN2021</t>
        </is>
      </c>
      <c r="D523" s="30" t="inlineStr">
        <is>
          <t>Casual</t>
        </is>
      </c>
      <c r="E523" s="42">
        <f>VLOOKUP(A523,'[1]Virtus SAMPLE PositionHistorySa'!$A:$L,12,0)</f>
        <v/>
      </c>
      <c r="F523" s="31" t="inlineStr">
        <is>
          <t>0.46</t>
        </is>
      </c>
      <c r="G523" s="32" t="n"/>
      <c r="H523" s="32" t="n"/>
      <c r="I523" s="29" t="n"/>
    </row>
    <row r="524">
      <c r="A524" s="29" t="inlineStr">
        <is>
          <t>AU23635</t>
        </is>
      </c>
      <c r="B524" s="30" t="inlineStr">
        <is>
          <t>NSW-QLD</t>
        </is>
      </c>
      <c r="C524" s="30" t="inlineStr">
        <is>
          <t>VIC</t>
        </is>
      </c>
      <c r="D524" s="30" t="inlineStr">
        <is>
          <t>Full time</t>
        </is>
      </c>
      <c r="E524" s="42">
        <f>VLOOKUP(A524,'[1]Virtus SAMPLE PositionHistorySa'!$A:$L,12,0)</f>
        <v/>
      </c>
      <c r="F524" s="31" t="inlineStr">
        <is>
          <t>0.39</t>
        </is>
      </c>
      <c r="G524" s="32">
        <f>VLOOKUP(A524,Sheet3!A:K,10,0)/38</f>
        <v/>
      </c>
      <c r="H524" s="32">
        <f>F524-G524</f>
        <v/>
      </c>
      <c r="I524" s="29" t="n"/>
    </row>
    <row r="525">
      <c r="A525" s="29" t="inlineStr">
        <is>
          <t>AU23637</t>
        </is>
      </c>
      <c r="B525" s="30" t="inlineStr">
        <is>
          <t>NSW-QLD</t>
        </is>
      </c>
      <c r="C525" s="30" t="inlineStr">
        <is>
          <t>QN2025</t>
        </is>
      </c>
      <c r="D525" s="30" t="inlineStr">
        <is>
          <t>Casual</t>
        </is>
      </c>
      <c r="E525" s="42">
        <f>VLOOKUP(A525,'[1]Virtus SAMPLE PositionHistorySa'!$A:$L,12,0)</f>
        <v/>
      </c>
      <c r="F525" s="31" t="inlineStr">
        <is>
          <t>0.59</t>
        </is>
      </c>
      <c r="G525" s="32" t="n"/>
      <c r="H525" s="32" t="n"/>
      <c r="I525" s="29" t="n"/>
    </row>
    <row r="526">
      <c r="A526" s="29" t="inlineStr">
        <is>
          <t>AU23703</t>
        </is>
      </c>
      <c r="B526" s="30" t="inlineStr">
        <is>
          <t>NSW-QLD</t>
        </is>
      </c>
      <c r="C526" s="30" t="inlineStr">
        <is>
          <t>IVFT2024</t>
        </is>
      </c>
      <c r="D526" s="30" t="inlineStr">
        <is>
          <t>Full time</t>
        </is>
      </c>
      <c r="E526" s="42">
        <f>VLOOKUP(A526,'[1]Virtus SAMPLE PositionHistorySa'!$A:$L,12,0)</f>
        <v/>
      </c>
      <c r="F526" s="31" t="inlineStr">
        <is>
          <t>0.25</t>
        </is>
      </c>
      <c r="G526" s="32">
        <f>VLOOKUP(A526,Sheet3!A:K,10,0)/38</f>
        <v/>
      </c>
      <c r="H526" s="32">
        <f>F526-G526</f>
        <v/>
      </c>
      <c r="I526" s="29" t="n"/>
    </row>
    <row r="527">
      <c r="A527" s="29" t="inlineStr">
        <is>
          <t>AU23726</t>
        </is>
      </c>
      <c r="B527" s="30" t="inlineStr">
        <is>
          <t>NSW-QLD</t>
        </is>
      </c>
      <c r="C527" s="30" t="inlineStr">
        <is>
          <t>NSW</t>
        </is>
      </c>
      <c r="D527" s="30" t="inlineStr">
        <is>
          <t>Full time</t>
        </is>
      </c>
      <c r="E527" s="42">
        <f>VLOOKUP(A527,'[1]Virtus SAMPLE PositionHistorySa'!$A:$L,12,0)</f>
        <v/>
      </c>
      <c r="F527" s="31" t="inlineStr">
        <is>
          <t>0.25</t>
        </is>
      </c>
      <c r="G527" s="32">
        <f>VLOOKUP(A527,Sheet3!A:K,10,0)/38</f>
        <v/>
      </c>
      <c r="H527" s="32">
        <f>F527-G527</f>
        <v/>
      </c>
      <c r="I527" s="29" t="n"/>
    </row>
    <row r="528">
      <c r="A528" s="29" t="inlineStr">
        <is>
          <t>AU23709</t>
        </is>
      </c>
      <c r="B528" s="30" t="inlineStr">
        <is>
          <t>VIC-TAS</t>
        </is>
      </c>
      <c r="C528" s="30" t="inlineStr">
        <is>
          <t>TIVF2024</t>
        </is>
      </c>
      <c r="D528" s="30" t="inlineStr">
        <is>
          <t>Casual</t>
        </is>
      </c>
      <c r="E528" s="42">
        <f>VLOOKUP(A528,'[1]Virtus SAMPLE PositionHistorySa'!$A:$L,12,0)</f>
        <v/>
      </c>
      <c r="F528" s="31" t="inlineStr">
        <is>
          <t>0.25</t>
        </is>
      </c>
      <c r="G528" s="32" t="n"/>
      <c r="H528" s="32" t="n"/>
      <c r="I528" s="29" t="n"/>
    </row>
    <row r="529">
      <c r="A529" s="29" t="inlineStr">
        <is>
          <t>AU23713</t>
        </is>
      </c>
      <c r="B529" s="30" t="inlineStr">
        <is>
          <t>VIC-TAS</t>
        </is>
      </c>
      <c r="C529" s="30" t="inlineStr">
        <is>
          <t>MIVFS2022</t>
        </is>
      </c>
      <c r="D529" s="30">
        <f>VLOOKUP(A529,Sheet3!A:E,5,0)</f>
        <v/>
      </c>
      <c r="E529" s="42">
        <f>VLOOKUP(A529,'[1]Virtus SAMPLE PositionHistorySa'!$A:$L,12,0)</f>
        <v/>
      </c>
      <c r="F529" s="31" t="inlineStr">
        <is>
          <t>0.25</t>
        </is>
      </c>
      <c r="G529" s="32" t="n"/>
      <c r="H529" s="32" t="n"/>
      <c r="I529" s="29" t="n"/>
    </row>
    <row r="530">
      <c r="A530" s="29" t="inlineStr">
        <is>
          <t>AU23719</t>
        </is>
      </c>
      <c r="B530" s="30" t="inlineStr">
        <is>
          <t>NSW-QLD</t>
        </is>
      </c>
      <c r="C530" s="30" t="inlineStr">
        <is>
          <t>IVFN2021</t>
        </is>
      </c>
      <c r="D530" s="30" t="inlineStr">
        <is>
          <t>Casual</t>
        </is>
      </c>
      <c r="E530" s="42">
        <f>VLOOKUP(A530,'[1]Virtus SAMPLE PositionHistorySa'!$A:$L,12,0)</f>
        <v/>
      </c>
      <c r="F530" s="31" t="inlineStr">
        <is>
          <t>0.25</t>
        </is>
      </c>
      <c r="G530" s="32" t="n"/>
      <c r="H530" s="32" t="n"/>
      <c r="I530" s="29" t="n"/>
    </row>
    <row r="531">
      <c r="A531" s="29" t="inlineStr">
        <is>
          <t>AU23816</t>
        </is>
      </c>
      <c r="B531" s="30" t="inlineStr">
        <is>
          <t>VIC-TAS</t>
        </is>
      </c>
      <c r="C531" s="30" t="inlineStr">
        <is>
          <t>MIVFS2022</t>
        </is>
      </c>
      <c r="D531" s="30" t="inlineStr">
        <is>
          <t>Casual</t>
        </is>
      </c>
      <c r="E531" s="42">
        <f>VLOOKUP(A531,'[1]Virtus SAMPLE PositionHistorySa'!$A:$L,12,0)</f>
        <v/>
      </c>
      <c r="F531" s="31" t="inlineStr">
        <is>
          <t>0.10</t>
        </is>
      </c>
      <c r="G531" s="32" t="n"/>
      <c r="H531" s="32" t="n"/>
      <c r="I531" s="29" t="n"/>
    </row>
    <row r="532">
      <c r="A532" s="29" t="inlineStr">
        <is>
          <t>AU23878</t>
        </is>
      </c>
      <c r="B532" s="30" t="inlineStr">
        <is>
          <t>NSW-QLD</t>
        </is>
      </c>
      <c r="C532" s="30" t="inlineStr">
        <is>
          <t>IVFS2023</t>
        </is>
      </c>
      <c r="D532" s="30" t="inlineStr">
        <is>
          <t>Full time</t>
        </is>
      </c>
      <c r="E532" s="42">
        <f>VLOOKUP(A532,'[1]Virtus SAMPLE PositionHistorySa'!$A:$L,12,0)</f>
        <v/>
      </c>
      <c r="F532" s="31" t="inlineStr">
        <is>
          <t>0.03</t>
        </is>
      </c>
      <c r="G532" s="32">
        <f>VLOOKUP(A532,Sheet3!A:K,10,0)/38</f>
        <v/>
      </c>
      <c r="H532" s="32">
        <f>F532-G532</f>
        <v/>
      </c>
      <c r="I532" s="29" t="n"/>
    </row>
    <row r="533">
      <c r="A533" s="29" t="inlineStr">
        <is>
          <t>AU23827</t>
        </is>
      </c>
      <c r="B533" s="30" t="inlineStr">
        <is>
          <t>NSW-QLD</t>
        </is>
      </c>
      <c r="C533" s="30" t="inlineStr">
        <is>
          <t>NSW</t>
        </is>
      </c>
      <c r="D533" s="30" t="inlineStr">
        <is>
          <t>Full time</t>
        </is>
      </c>
      <c r="E533" s="42">
        <f>VLOOKUP(A533,'[1]Virtus SAMPLE PositionHistorySa'!$A:$L,12,0)</f>
        <v/>
      </c>
      <c r="F533" s="31" t="inlineStr">
        <is>
          <t>0.03</t>
        </is>
      </c>
      <c r="G533" s="32">
        <f>VLOOKUP(A533,Sheet3!A:K,10,0)/38</f>
        <v/>
      </c>
      <c r="H533" s="32">
        <f>F533-G533</f>
        <v/>
      </c>
      <c r="I533" s="29" t="n"/>
    </row>
    <row r="534">
      <c r="A534" s="29" t="inlineStr">
        <is>
          <t>AU23804</t>
        </is>
      </c>
      <c r="B534" s="30" t="inlineStr">
        <is>
          <t>NSW-QLD</t>
        </is>
      </c>
      <c r="C534" s="30" t="inlineStr">
        <is>
          <t>QN2025</t>
        </is>
      </c>
      <c r="D534" s="30">
        <f>VLOOKUP(A534,Sheet3!A:E,5,0)</f>
        <v/>
      </c>
      <c r="E534" s="42">
        <f>VLOOKUP(A534,'[1]Virtus SAMPLE PositionHistorySa'!$A:$L,12,0)</f>
        <v/>
      </c>
      <c r="F534" s="31" t="inlineStr">
        <is>
          <t>0.04</t>
        </is>
      </c>
      <c r="G534" s="32" t="n"/>
      <c r="H534" s="32" t="n"/>
      <c r="I534" s="29" t="n"/>
    </row>
    <row r="535">
      <c r="A535" s="29" t="inlineStr">
        <is>
          <t>AU23594</t>
        </is>
      </c>
      <c r="B535" s="30" t="inlineStr">
        <is>
          <t>NSW-QLD</t>
        </is>
      </c>
      <c r="C535" s="30" t="inlineStr">
        <is>
          <t>IVFN2021</t>
        </is>
      </c>
      <c r="D535" s="30" t="inlineStr">
        <is>
          <t>Full time</t>
        </is>
      </c>
      <c r="E535" s="42">
        <f>VLOOKUP(A535,'[1]Virtus SAMPLE PositionHistorySa'!$A:$L,12,0)</f>
        <v/>
      </c>
      <c r="F535" s="31" t="inlineStr">
        <is>
          <t>0.46</t>
        </is>
      </c>
      <c r="G535" s="32">
        <f>VLOOKUP(A535,Sheet3!A:K,10,0)/38</f>
        <v/>
      </c>
      <c r="H535" s="32">
        <f>F535-G535</f>
        <v/>
      </c>
      <c r="I535" s="29" t="n"/>
    </row>
    <row r="536">
      <c r="A536" s="29" t="inlineStr">
        <is>
          <t>AU23711</t>
        </is>
      </c>
      <c r="B536" s="30" t="inlineStr">
        <is>
          <t>NSW-QLD</t>
        </is>
      </c>
      <c r="C536" s="30" t="inlineStr">
        <is>
          <t>IVFS2023</t>
        </is>
      </c>
      <c r="D536" s="30" t="inlineStr">
        <is>
          <t>Casual</t>
        </is>
      </c>
      <c r="E536" s="42">
        <f>VLOOKUP(A536,'[1]Virtus SAMPLE PositionHistorySa'!$A:$L,12,0)</f>
        <v/>
      </c>
      <c r="F536" s="31" t="inlineStr">
        <is>
          <t>0.39</t>
        </is>
      </c>
      <c r="G536" s="32" t="n"/>
      <c r="H536" s="32" t="n"/>
      <c r="I536" s="29" t="n"/>
    </row>
    <row r="537">
      <c r="A537" s="29" t="inlineStr">
        <is>
          <t>AU23784</t>
        </is>
      </c>
      <c r="B537" s="30" t="inlineStr">
        <is>
          <t>VIC-TAS</t>
        </is>
      </c>
      <c r="C537" s="30" t="inlineStr">
        <is>
          <t>MIVFS2022</t>
        </is>
      </c>
      <c r="D537" s="30" t="inlineStr">
        <is>
          <t>Full time</t>
        </is>
      </c>
      <c r="E537" s="42">
        <f>VLOOKUP(A537,'[1]Virtus SAMPLE PositionHistorySa'!$A:$L,12,0)</f>
        <v/>
      </c>
      <c r="F537" s="31" t="inlineStr">
        <is>
          <t>0.10</t>
        </is>
      </c>
      <c r="G537" s="32">
        <f>VLOOKUP(A537,Sheet3!A:K,10,0)/38</f>
        <v/>
      </c>
      <c r="H537" s="32">
        <f>F537-G537</f>
        <v/>
      </c>
      <c r="I537" s="29" t="n"/>
    </row>
    <row r="538">
      <c r="A538" s="29" t="inlineStr">
        <is>
          <t>AU23776</t>
        </is>
      </c>
      <c r="B538" s="30" t="inlineStr">
        <is>
          <t>NSW-QLD</t>
        </is>
      </c>
      <c r="C538" s="30" t="inlineStr">
        <is>
          <t>NSW</t>
        </is>
      </c>
      <c r="D538" s="30" t="inlineStr">
        <is>
          <t>Full time</t>
        </is>
      </c>
      <c r="E538" s="42">
        <f>VLOOKUP(A538,'[1]Virtus SAMPLE PositionHistorySa'!$A:$L,12,0)</f>
        <v/>
      </c>
      <c r="F538" s="31" t="inlineStr">
        <is>
          <t>0.10</t>
        </is>
      </c>
      <c r="G538" s="32">
        <f>VLOOKUP(A538,Sheet3!A:K,10,0)/38</f>
        <v/>
      </c>
      <c r="H538" s="32">
        <f>F538-G538</f>
        <v/>
      </c>
      <c r="I538" s="29" t="n"/>
    </row>
    <row r="539">
      <c r="A539" s="29" t="inlineStr">
        <is>
          <t>AU23823</t>
        </is>
      </c>
      <c r="B539" s="30" t="inlineStr">
        <is>
          <t>NSW-QLD</t>
        </is>
      </c>
      <c r="C539" s="30" t="inlineStr">
        <is>
          <t>VIC</t>
        </is>
      </c>
      <c r="D539" s="30" t="inlineStr">
        <is>
          <t>Full time</t>
        </is>
      </c>
      <c r="E539" s="42">
        <f>VLOOKUP(A539,'[1]Virtus SAMPLE PositionHistorySa'!$A:$L,12,0)</f>
        <v/>
      </c>
      <c r="F539" s="31" t="inlineStr">
        <is>
          <t>0.10</t>
        </is>
      </c>
      <c r="G539" s="32">
        <f>VLOOKUP(A539,Sheet3!A:K,10,0)/38</f>
        <v/>
      </c>
      <c r="H539" s="32">
        <f>F539-G539</f>
        <v/>
      </c>
      <c r="I539" s="29" t="n"/>
    </row>
    <row r="540">
      <c r="A540" s="29" t="inlineStr">
        <is>
          <t>AU23843</t>
        </is>
      </c>
      <c r="B540" s="30" t="inlineStr">
        <is>
          <t>NSW-QLD</t>
        </is>
      </c>
      <c r="C540" s="30" t="inlineStr">
        <is>
          <t>IVFN2021</t>
        </is>
      </c>
      <c r="D540" s="30" t="inlineStr">
        <is>
          <t>Full time</t>
        </is>
      </c>
      <c r="E540" s="42">
        <f>VLOOKUP(A540,'[1]Virtus SAMPLE PositionHistorySa'!$A:$L,12,0)</f>
        <v/>
      </c>
      <c r="F540" s="31" t="inlineStr">
        <is>
          <t>0.10</t>
        </is>
      </c>
      <c r="G540" s="32">
        <f>VLOOKUP(A540,Sheet3!A:K,10,0)/38</f>
        <v/>
      </c>
      <c r="H540" s="32">
        <f>F540-G540</f>
        <v/>
      </c>
      <c r="I540" s="29" t="n"/>
    </row>
    <row r="541">
      <c r="A541" s="29" t="inlineStr">
        <is>
          <t>AU23838</t>
        </is>
      </c>
      <c r="B541" s="30" t="inlineStr">
        <is>
          <t>NSW-QLD</t>
        </is>
      </c>
      <c r="C541" s="30" t="inlineStr">
        <is>
          <t>IVFS2023</t>
        </is>
      </c>
      <c r="D541" s="30" t="inlineStr">
        <is>
          <t>Full time</t>
        </is>
      </c>
      <c r="E541" s="42">
        <f>VLOOKUP(A541,'[1]Virtus SAMPLE PositionHistorySa'!$A:$L,12,0)</f>
        <v/>
      </c>
      <c r="F541" s="31" t="inlineStr">
        <is>
          <t>0.10</t>
        </is>
      </c>
      <c r="G541" s="32">
        <f>VLOOKUP(A541,Sheet3!A:K,10,0)/38</f>
        <v/>
      </c>
      <c r="H541" s="32">
        <f>F541-G541</f>
        <v/>
      </c>
      <c r="I541" s="29" t="n"/>
    </row>
    <row r="542">
      <c r="A542" s="29" t="inlineStr">
        <is>
          <t>AU23788</t>
        </is>
      </c>
      <c r="B542" s="30" t="inlineStr">
        <is>
          <t>NSW-QLD</t>
        </is>
      </c>
      <c r="C542" s="30" t="inlineStr">
        <is>
          <t>QS2024</t>
        </is>
      </c>
      <c r="D542" s="30">
        <f>VLOOKUP(A542,Sheet3!A:E,5,0)</f>
        <v/>
      </c>
      <c r="E542" s="42">
        <f>VLOOKUP(A542,'[1]Virtus SAMPLE PositionHistorySa'!$A:$L,12,0)</f>
        <v/>
      </c>
      <c r="F542" s="31" t="inlineStr">
        <is>
          <t>0.10</t>
        </is>
      </c>
      <c r="G542" s="32" t="n"/>
      <c r="H542" s="32" t="n"/>
      <c r="I542" s="29" t="n"/>
    </row>
    <row r="543">
      <c r="A543" s="29" t="inlineStr">
        <is>
          <t>AU23795</t>
        </is>
      </c>
      <c r="B543" s="30" t="inlineStr">
        <is>
          <t>VIC-TAS</t>
        </is>
      </c>
      <c r="C543" s="30" t="inlineStr">
        <is>
          <t>IVFS2023</t>
        </is>
      </c>
      <c r="D543" s="30" t="inlineStr">
        <is>
          <t>Part time</t>
        </is>
      </c>
      <c r="E543" s="42">
        <f>VLOOKUP(A543,'[1]Virtus SAMPLE PositionHistorySa'!$A:$L,12,0)</f>
        <v/>
      </c>
      <c r="F543" s="31" t="inlineStr">
        <is>
          <t>0.10</t>
        </is>
      </c>
      <c r="G543" s="32" t="n"/>
      <c r="H543" s="32" t="n"/>
      <c r="I543" s="29" t="n"/>
    </row>
    <row r="544">
      <c r="A544" s="29" t="inlineStr">
        <is>
          <t>AU23815</t>
        </is>
      </c>
      <c r="B544" s="30" t="inlineStr">
        <is>
          <t>NSW-QLD</t>
        </is>
      </c>
      <c r="C544" s="30" t="inlineStr">
        <is>
          <t>VIC</t>
        </is>
      </c>
      <c r="D544" s="30" t="inlineStr">
        <is>
          <t>Part time</t>
        </is>
      </c>
      <c r="E544" s="42">
        <f>VLOOKUP(A544,'[1]Virtus SAMPLE PositionHistorySa'!$A:$L,12,0)</f>
        <v/>
      </c>
      <c r="F544" s="31" t="inlineStr">
        <is>
          <t>0.10</t>
        </is>
      </c>
      <c r="G544" s="32" t="n"/>
      <c r="H544" s="32" t="n"/>
      <c r="I544" s="29" t="n"/>
    </row>
    <row r="545">
      <c r="A545" s="29" t="inlineStr">
        <is>
          <t>AU23817</t>
        </is>
      </c>
      <c r="B545" s="30" t="inlineStr">
        <is>
          <t>NSW-QLD</t>
        </is>
      </c>
      <c r="C545" s="30" t="inlineStr">
        <is>
          <t>IVFS2023</t>
        </is>
      </c>
      <c r="D545" s="30">
        <f>VLOOKUP(A545,Sheet3!A:E,5,0)</f>
        <v/>
      </c>
      <c r="E545" s="42">
        <f>VLOOKUP(A545,'[1]Virtus SAMPLE PositionHistorySa'!$A:$L,12,0)</f>
        <v/>
      </c>
      <c r="F545" s="31" t="inlineStr">
        <is>
          <t>0.10</t>
        </is>
      </c>
      <c r="G545" s="32" t="n"/>
      <c r="H545" s="32" t="n"/>
      <c r="I545" s="29" t="n"/>
    </row>
    <row r="546">
      <c r="A546" s="29" t="inlineStr">
        <is>
          <t>AU23836</t>
        </is>
      </c>
      <c r="B546" s="30" t="inlineStr">
        <is>
          <t>NSW-QLD</t>
        </is>
      </c>
      <c r="C546" s="30" t="inlineStr">
        <is>
          <t>IVFN2021</t>
        </is>
      </c>
      <c r="D546" s="30" t="inlineStr">
        <is>
          <t>Part time</t>
        </is>
      </c>
      <c r="E546" s="42">
        <f>VLOOKUP(A546,'[1]Virtus SAMPLE PositionHistorySa'!$A:$L,12,0)</f>
        <v/>
      </c>
      <c r="F546" s="31" t="inlineStr">
        <is>
          <t>0.10</t>
        </is>
      </c>
      <c r="G546" s="32" t="n"/>
      <c r="H546" s="32" t="n"/>
      <c r="I546" s="29" t="n"/>
    </row>
    <row r="547">
      <c r="A547" s="29" t="inlineStr">
        <is>
          <t>AU23839</t>
        </is>
      </c>
      <c r="B547" s="30" t="inlineStr">
        <is>
          <t>NSW-QLD</t>
        </is>
      </c>
      <c r="C547" s="30" t="inlineStr">
        <is>
          <t>IVFN2021</t>
        </is>
      </c>
      <c r="D547" s="30" t="inlineStr">
        <is>
          <t>Part time</t>
        </is>
      </c>
      <c r="E547" s="42">
        <f>VLOOKUP(A547,'[1]Virtus SAMPLE PositionHistorySa'!$A:$L,12,0)</f>
        <v/>
      </c>
      <c r="F547" s="31" t="inlineStr">
        <is>
          <t>0.10</t>
        </is>
      </c>
      <c r="G547" s="32" t="n"/>
      <c r="H547" s="32" t="n"/>
      <c r="I547" s="29" t="n"/>
    </row>
    <row r="548">
      <c r="A548" s="29" t="inlineStr">
        <is>
          <t>AU23842</t>
        </is>
      </c>
      <c r="B548" s="30" t="inlineStr">
        <is>
          <t>NSW-QLD</t>
        </is>
      </c>
      <c r="C548" s="30" t="inlineStr">
        <is>
          <t>IVFS2023</t>
        </is>
      </c>
      <c r="D548" s="30" t="inlineStr">
        <is>
          <t>Part time</t>
        </is>
      </c>
      <c r="E548" s="42">
        <f>VLOOKUP(A548,'[1]Virtus SAMPLE PositionHistorySa'!$A:$L,12,0)</f>
        <v/>
      </c>
      <c r="F548" s="31" t="inlineStr">
        <is>
          <t>0.10</t>
        </is>
      </c>
      <c r="G548" s="32" t="n"/>
      <c r="H548" s="32" t="n"/>
      <c r="I548" s="29" t="n"/>
    </row>
    <row r="549">
      <c r="A549" s="29" t="inlineStr">
        <is>
          <t>AU23844</t>
        </is>
      </c>
      <c r="B549" s="30" t="inlineStr">
        <is>
          <t>NSW-QLD</t>
        </is>
      </c>
      <c r="C549" s="30" t="inlineStr">
        <is>
          <t>VIC</t>
        </is>
      </c>
      <c r="D549" s="30">
        <f>VLOOKUP(A549,Sheet3!A:E,5,0)</f>
        <v/>
      </c>
      <c r="E549" s="42">
        <f>VLOOKUP(A549,'[1]Virtus SAMPLE PositionHistorySa'!$A:$L,12,0)</f>
        <v/>
      </c>
      <c r="F549" s="31" t="inlineStr">
        <is>
          <t>0.10</t>
        </is>
      </c>
      <c r="G549" s="32" t="n"/>
      <c r="H549" s="32" t="n"/>
      <c r="I549" s="29" t="n"/>
    </row>
    <row r="550">
      <c r="A550" s="29" t="inlineStr">
        <is>
          <t>AU23845</t>
        </is>
      </c>
      <c r="B550" s="30" t="inlineStr">
        <is>
          <t>NSW-QLD</t>
        </is>
      </c>
      <c r="C550" s="30" t="inlineStr">
        <is>
          <t>IVFN2021</t>
        </is>
      </c>
      <c r="D550" s="30" t="inlineStr">
        <is>
          <t>Part time</t>
        </is>
      </c>
      <c r="E550" s="42">
        <f>VLOOKUP(A550,'[1]Virtus SAMPLE PositionHistorySa'!$A:$L,12,0)</f>
        <v/>
      </c>
      <c r="F550" s="31" t="inlineStr">
        <is>
          <t>0.10</t>
        </is>
      </c>
      <c r="G550" s="32" t="n"/>
      <c r="H550" s="32" t="n"/>
      <c r="I550" s="29" t="n"/>
    </row>
    <row r="551">
      <c r="A551" s="29" t="inlineStr">
        <is>
          <t>AU23877</t>
        </is>
      </c>
      <c r="B551" s="30" t="inlineStr">
        <is>
          <t>NSW-QLD</t>
        </is>
      </c>
      <c r="C551" s="30" t="inlineStr">
        <is>
          <t>QN2025</t>
        </is>
      </c>
      <c r="D551" s="30" t="inlineStr">
        <is>
          <t>Full time</t>
        </is>
      </c>
      <c r="E551" s="42">
        <f>VLOOKUP(A551,'[1]Virtus SAMPLE PositionHistorySa'!$A:$L,12,0)</f>
        <v/>
      </c>
      <c r="F551" s="31" t="inlineStr">
        <is>
          <t>0.04</t>
        </is>
      </c>
      <c r="G551" s="32">
        <f>VLOOKUP(A551,Sheet3!A:K,10,0)/38</f>
        <v/>
      </c>
      <c r="H551" s="32">
        <f>F551-G551</f>
        <v/>
      </c>
      <c r="I551" s="29" t="n"/>
    </row>
    <row r="552">
      <c r="A552" s="29" t="inlineStr">
        <is>
          <t>AU23809</t>
        </is>
      </c>
      <c r="B552" s="30" t="inlineStr">
        <is>
          <t>NSW-QLD</t>
        </is>
      </c>
      <c r="C552" s="30" t="inlineStr">
        <is>
          <t>IVFN2021</t>
        </is>
      </c>
      <c r="D552" s="30" t="inlineStr">
        <is>
          <t>Part time</t>
        </is>
      </c>
      <c r="E552" s="42">
        <f>VLOOKUP(A552,'[1]Virtus SAMPLE PositionHistorySa'!$A:$L,12,0)</f>
        <v/>
      </c>
      <c r="F552" s="31" t="inlineStr">
        <is>
          <t>0.03</t>
        </is>
      </c>
      <c r="G552" s="32" t="n"/>
      <c r="H552" s="32" t="n"/>
      <c r="I552" s="29" t="n"/>
    </row>
    <row r="553">
      <c r="A553" s="29" t="inlineStr">
        <is>
          <t>AU23873</t>
        </is>
      </c>
      <c r="B553" s="30" t="inlineStr">
        <is>
          <t>NSW-QLD</t>
        </is>
      </c>
      <c r="C553" s="30" t="inlineStr">
        <is>
          <t>IVFN2021</t>
        </is>
      </c>
      <c r="D553" s="30" t="inlineStr">
        <is>
          <t>Part time</t>
        </is>
      </c>
      <c r="E553" s="42">
        <f>VLOOKUP(A553,'[1]Virtus SAMPLE PositionHistorySa'!$A:$L,12,0)</f>
        <v/>
      </c>
      <c r="F553" s="31" t="inlineStr">
        <is>
          <t>0.03</t>
        </is>
      </c>
      <c r="G553" s="32" t="n"/>
      <c r="H553" s="32" t="n"/>
      <c r="I553" s="29" t="n"/>
    </row>
    <row r="554">
      <c r="A554" s="29" t="inlineStr">
        <is>
          <t>AU23686</t>
        </is>
      </c>
      <c r="B554" s="30" t="inlineStr">
        <is>
          <t>VIC-TAS</t>
        </is>
      </c>
      <c r="C554" s="30" t="inlineStr">
        <is>
          <t>MIVFS2022</t>
        </is>
      </c>
      <c r="D554" s="30" t="inlineStr">
        <is>
          <t>Full time</t>
        </is>
      </c>
      <c r="E554" s="42">
        <f>VLOOKUP(A554,'[1]Virtus SAMPLE PositionHistorySa'!$A:$L,12,0)</f>
        <v/>
      </c>
      <c r="F554" s="31" t="inlineStr">
        <is>
          <t>0.31</t>
        </is>
      </c>
      <c r="G554" s="32">
        <f>VLOOKUP(A554,Sheet3!A:K,10,0)/38</f>
        <v/>
      </c>
      <c r="H554" s="32">
        <f>F554-G554</f>
        <v/>
      </c>
      <c r="I554" s="29" t="n"/>
    </row>
    <row r="555">
      <c r="A555" s="29" t="inlineStr">
        <is>
          <t>AU23681</t>
        </is>
      </c>
      <c r="B555" s="30" t="inlineStr">
        <is>
          <t>NSW-QLD</t>
        </is>
      </c>
      <c r="C555" s="30" t="inlineStr">
        <is>
          <t>QN2025</t>
        </is>
      </c>
      <c r="D555" s="30" t="inlineStr">
        <is>
          <t>Casual</t>
        </is>
      </c>
      <c r="E555" s="42">
        <f>VLOOKUP(A555,'[1]Virtus SAMPLE PositionHistorySa'!$A:$L,12,0)</f>
        <v/>
      </c>
      <c r="F555" s="31" t="inlineStr">
        <is>
          <t>0.47</t>
        </is>
      </c>
      <c r="G555" s="32" t="n"/>
      <c r="H555" s="32" t="n"/>
      <c r="I555" s="29" t="n"/>
    </row>
    <row r="556">
      <c r="A556" s="29" t="inlineStr">
        <is>
          <t>AU23705</t>
        </is>
      </c>
      <c r="B556" s="30" t="inlineStr">
        <is>
          <t>VIC-TAS</t>
        </is>
      </c>
      <c r="C556" s="30" t="inlineStr">
        <is>
          <t>MIVFS2022</t>
        </is>
      </c>
      <c r="D556" s="30" t="inlineStr">
        <is>
          <t>Casual</t>
        </is>
      </c>
      <c r="E556" s="42">
        <f>VLOOKUP(A556,'[1]Virtus SAMPLE PositionHistorySa'!$A:$L,12,0)</f>
        <v/>
      </c>
      <c r="F556" s="31" t="inlineStr">
        <is>
          <t>0.31</t>
        </is>
      </c>
      <c r="G556" s="32" t="n"/>
      <c r="H556" s="32" t="n"/>
      <c r="I556" s="29" t="n"/>
    </row>
    <row r="557">
      <c r="A557" s="29" t="inlineStr">
        <is>
          <t>AU23810</t>
        </is>
      </c>
      <c r="B557" s="30" t="inlineStr">
        <is>
          <t>NSW-QLD</t>
        </is>
      </c>
      <c r="C557" s="30" t="inlineStr">
        <is>
          <t>IVFN2021</t>
        </is>
      </c>
      <c r="D557" s="30" t="inlineStr">
        <is>
          <t>Full time</t>
        </is>
      </c>
      <c r="E557" s="42">
        <f>VLOOKUP(A557,'[1]Virtus SAMPLE PositionHistorySa'!$A:$L,12,0)</f>
        <v/>
      </c>
      <c r="F557" s="31" t="inlineStr">
        <is>
          <t>0.09</t>
        </is>
      </c>
      <c r="G557" s="32">
        <f>VLOOKUP(A557,Sheet3!A:K,10,0)/38</f>
        <v/>
      </c>
      <c r="H557" s="32">
        <f>F557-G557</f>
        <v/>
      </c>
      <c r="I557" s="29" t="n"/>
    </row>
    <row r="558">
      <c r="A558" s="29" t="inlineStr">
        <is>
          <t>AU23807</t>
        </is>
      </c>
      <c r="B558" s="30" t="inlineStr">
        <is>
          <t>NSW-QLD</t>
        </is>
      </c>
      <c r="C558" s="30" t="inlineStr">
        <is>
          <t>NSW</t>
        </is>
      </c>
      <c r="D558" s="30">
        <f>VLOOKUP(A558,Sheet3!A:E,5,0)</f>
        <v/>
      </c>
      <c r="E558" s="42">
        <f>VLOOKUP(A558,'[1]Virtus SAMPLE PositionHistorySa'!$A:$L,12,0)</f>
        <v/>
      </c>
      <c r="F558" s="31" t="inlineStr">
        <is>
          <t>0.09</t>
        </is>
      </c>
      <c r="G558" s="32" t="n"/>
      <c r="H558" s="32" t="n"/>
      <c r="I558" s="29" t="n"/>
    </row>
    <row r="559">
      <c r="A559" s="29" t="inlineStr">
        <is>
          <t>AU23811</t>
        </is>
      </c>
      <c r="B559" s="30" t="inlineStr">
        <is>
          <t>NSW-QLD</t>
        </is>
      </c>
      <c r="C559" s="30" t="inlineStr">
        <is>
          <t>NSW</t>
        </is>
      </c>
      <c r="D559" s="30" t="inlineStr">
        <is>
          <t>Part time</t>
        </is>
      </c>
      <c r="E559" s="42">
        <f>VLOOKUP(A559,'[1]Virtus SAMPLE PositionHistorySa'!$A:$L,12,0)</f>
        <v/>
      </c>
      <c r="F559" s="31" t="inlineStr">
        <is>
          <t>0.09</t>
        </is>
      </c>
      <c r="G559" s="32" t="n"/>
      <c r="H559" s="32" t="n"/>
      <c r="I559" s="29" t="n"/>
    </row>
    <row r="560">
      <c r="A560" s="29" t="inlineStr">
        <is>
          <t>AU23481</t>
        </is>
      </c>
      <c r="B560" s="30" t="inlineStr">
        <is>
          <t>VIC-TAS</t>
        </is>
      </c>
      <c r="C560" s="30" t="inlineStr">
        <is>
          <t>MIVFC2021</t>
        </is>
      </c>
      <c r="D560" s="30" t="inlineStr">
        <is>
          <t>Part time</t>
        </is>
      </c>
      <c r="E560" s="42">
        <f>VLOOKUP(A560,'[1]Virtus SAMPLE PositionHistorySa'!$A:$L,12,0)</f>
        <v/>
      </c>
      <c r="F560" s="31" t="inlineStr">
        <is>
          <t>1.19</t>
        </is>
      </c>
      <c r="G560" s="32" t="n"/>
      <c r="H560" s="32" t="n"/>
      <c r="I560" s="29" t="n"/>
    </row>
    <row r="561">
      <c r="A561" s="29" t="inlineStr">
        <is>
          <t>AU23514</t>
        </is>
      </c>
      <c r="B561" s="30" t="inlineStr">
        <is>
          <t>VIC-TAS</t>
        </is>
      </c>
      <c r="C561" s="30" t="inlineStr">
        <is>
          <t>TIVF2024</t>
        </is>
      </c>
      <c r="D561" s="30">
        <f>VLOOKUP(A561,Sheet3!A:E,5,0)</f>
        <v/>
      </c>
      <c r="E561" s="42">
        <f>VLOOKUP(A561,'[1]Virtus SAMPLE PositionHistorySa'!$A:$L,12,0)</f>
        <v/>
      </c>
      <c r="F561" s="31" t="inlineStr">
        <is>
          <t>0.60</t>
        </is>
      </c>
      <c r="G561" s="32" t="n"/>
      <c r="H561" s="32" t="n"/>
      <c r="I561" s="29" t="n"/>
    </row>
    <row r="562">
      <c r="A562" s="29" t="inlineStr">
        <is>
          <t>AU23520</t>
        </is>
      </c>
      <c r="B562" s="30" t="inlineStr">
        <is>
          <t>VIC-TAS</t>
        </is>
      </c>
      <c r="C562" s="30" t="inlineStr">
        <is>
          <t>MIVFS2022</t>
        </is>
      </c>
      <c r="D562" s="30" t="inlineStr">
        <is>
          <t>Part time</t>
        </is>
      </c>
      <c r="E562" s="42">
        <f>VLOOKUP(A562,'[1]Virtus SAMPLE PositionHistorySa'!$A:$L,12,0)</f>
        <v/>
      </c>
      <c r="F562" s="31" t="inlineStr">
        <is>
          <t>0.60</t>
        </is>
      </c>
      <c r="G562" s="32" t="n"/>
      <c r="H562" s="32" t="n"/>
      <c r="I562" s="29" t="n"/>
    </row>
    <row r="563">
      <c r="A563" s="29" t="inlineStr">
        <is>
          <t>AU23551</t>
        </is>
      </c>
      <c r="B563" s="30" t="inlineStr">
        <is>
          <t>VIC-TAS</t>
        </is>
      </c>
      <c r="C563" s="30" t="inlineStr">
        <is>
          <t>VIC</t>
        </is>
      </c>
      <c r="D563" s="30" t="inlineStr">
        <is>
          <t>Full time</t>
        </is>
      </c>
      <c r="E563" s="42">
        <f>VLOOKUP(A563,'[1]Virtus SAMPLE PositionHistorySa'!$A:$L,12,0)</f>
        <v/>
      </c>
      <c r="F563" s="31" t="inlineStr">
        <is>
          <t>0.53</t>
        </is>
      </c>
      <c r="G563" s="32">
        <f>VLOOKUP(A563,Sheet3!A:K,10,0)/38</f>
        <v/>
      </c>
      <c r="H563" s="32">
        <f>F563-G563</f>
        <v/>
      </c>
      <c r="I563" s="29" t="n"/>
    </row>
    <row r="564">
      <c r="A564" s="29" t="inlineStr">
        <is>
          <t>AU23564</t>
        </is>
      </c>
      <c r="B564" s="30" t="inlineStr">
        <is>
          <t>NSW-QLD</t>
        </is>
      </c>
      <c r="C564" s="30" t="inlineStr">
        <is>
          <t>IVFN2021</t>
        </is>
      </c>
      <c r="D564" s="30" t="inlineStr">
        <is>
          <t>Full time</t>
        </is>
      </c>
      <c r="E564" s="42">
        <f>VLOOKUP(A564,'[1]Virtus SAMPLE PositionHistorySa'!$A:$L,12,0)</f>
        <v/>
      </c>
      <c r="F564" s="31" t="inlineStr">
        <is>
          <t>0.53</t>
        </is>
      </c>
      <c r="G564" s="32">
        <f>VLOOKUP(A564,Sheet3!A:K,10,0)/38</f>
        <v/>
      </c>
      <c r="H564" s="32">
        <f>F564-G564</f>
        <v/>
      </c>
      <c r="I564" s="29" t="n"/>
    </row>
    <row r="565">
      <c r="A565" s="29" t="inlineStr">
        <is>
          <t>AU23543</t>
        </is>
      </c>
      <c r="B565" s="30" t="inlineStr">
        <is>
          <t>NSW-QLD</t>
        </is>
      </c>
      <c r="C565" s="30" t="inlineStr">
        <is>
          <t>IVFS2023</t>
        </is>
      </c>
      <c r="D565" s="30" t="inlineStr">
        <is>
          <t>Part time</t>
        </is>
      </c>
      <c r="E565" s="42">
        <f>VLOOKUP(A565,'[1]Virtus SAMPLE PositionHistorySa'!$A:$L,12,0)</f>
        <v/>
      </c>
      <c r="F565" s="31" t="inlineStr">
        <is>
          <t>0.53</t>
        </is>
      </c>
      <c r="G565" s="32" t="n"/>
      <c r="H565" s="32" t="n"/>
      <c r="I565" s="29" t="n"/>
    </row>
    <row r="566">
      <c r="A566" s="29" t="inlineStr">
        <is>
          <t>AU23546</t>
        </is>
      </c>
      <c r="B566" s="30" t="inlineStr">
        <is>
          <t>NSW-QLD</t>
        </is>
      </c>
      <c r="C566" s="30" t="inlineStr">
        <is>
          <t>IVFN2021</t>
        </is>
      </c>
      <c r="D566" s="30">
        <f>VLOOKUP(A566,Sheet3!A:E,5,0)</f>
        <v/>
      </c>
      <c r="E566" s="42">
        <f>VLOOKUP(A566,'[1]Virtus SAMPLE PositionHistorySa'!$A:$L,12,0)</f>
        <v/>
      </c>
      <c r="F566" s="31" t="inlineStr">
        <is>
          <t>0.53</t>
        </is>
      </c>
      <c r="G566" s="32" t="n"/>
      <c r="H566" s="32" t="n"/>
      <c r="I566" s="29" t="n"/>
    </row>
    <row r="567">
      <c r="A567" s="29" t="inlineStr">
        <is>
          <t>AU23549</t>
        </is>
      </c>
      <c r="B567" s="30" t="inlineStr">
        <is>
          <t>NSW-QLD</t>
        </is>
      </c>
      <c r="C567" s="30" t="inlineStr">
        <is>
          <t>NSW</t>
        </is>
      </c>
      <c r="D567" s="30" t="inlineStr">
        <is>
          <t>Casual</t>
        </is>
      </c>
      <c r="E567" s="42">
        <f>VLOOKUP(A567,'[1]Virtus SAMPLE PositionHistorySa'!$A:$L,12,0)</f>
        <v/>
      </c>
      <c r="F567" s="31" t="inlineStr">
        <is>
          <t>0.53</t>
        </is>
      </c>
      <c r="G567" s="32" t="n"/>
      <c r="H567" s="32" t="n"/>
      <c r="I567" s="29" t="n"/>
    </row>
    <row r="568">
      <c r="A568" s="29" t="inlineStr">
        <is>
          <t>AU23562</t>
        </is>
      </c>
      <c r="B568" s="30" t="inlineStr">
        <is>
          <t>NSW-QLD</t>
        </is>
      </c>
      <c r="C568" s="30" t="inlineStr">
        <is>
          <t>IVFS2023</t>
        </is>
      </c>
      <c r="D568" s="30">
        <f>VLOOKUP(A568,Sheet3!A:E,5,0)</f>
        <v/>
      </c>
      <c r="E568" s="42">
        <f>VLOOKUP(A568,'[1]Virtus SAMPLE PositionHistorySa'!$A:$L,12,0)</f>
        <v/>
      </c>
      <c r="F568" s="31" t="inlineStr">
        <is>
          <t>0.53</t>
        </is>
      </c>
      <c r="G568" s="32" t="n"/>
      <c r="H568" s="32" t="n"/>
      <c r="I568" s="29" t="n"/>
    </row>
    <row r="569">
      <c r="A569" s="29" t="inlineStr">
        <is>
          <t>AU23684</t>
        </is>
      </c>
      <c r="B569" s="30" t="inlineStr">
        <is>
          <t>VIC-TAS</t>
        </is>
      </c>
      <c r="C569" s="30" t="inlineStr">
        <is>
          <t>MIVFS2022</t>
        </is>
      </c>
      <c r="D569" s="30" t="inlineStr">
        <is>
          <t>Full time</t>
        </is>
      </c>
      <c r="E569" s="42">
        <f>VLOOKUP(A569,'[1]Virtus SAMPLE PositionHistorySa'!$A:$L,12,0)</f>
        <v/>
      </c>
      <c r="F569" s="31" t="inlineStr">
        <is>
          <t>0.31</t>
        </is>
      </c>
      <c r="G569" s="32">
        <f>VLOOKUP(A569,Sheet3!A:K,10,0)/38</f>
        <v/>
      </c>
      <c r="H569" s="32">
        <f>F569-G569</f>
        <v/>
      </c>
      <c r="I569" s="29" t="n"/>
    </row>
    <row r="570">
      <c r="A570" s="29" t="inlineStr">
        <is>
          <t>AU23689</t>
        </is>
      </c>
      <c r="B570" s="30" t="inlineStr">
        <is>
          <t>VIC-TAS</t>
        </is>
      </c>
      <c r="C570" s="30" t="inlineStr">
        <is>
          <t>MIVFS2022</t>
        </is>
      </c>
      <c r="D570" s="30" t="inlineStr">
        <is>
          <t>Full time</t>
        </is>
      </c>
      <c r="E570" s="42">
        <f>VLOOKUP(A570,'[1]Virtus SAMPLE PositionHistorySa'!$A:$L,12,0)</f>
        <v/>
      </c>
      <c r="F570" s="31" t="inlineStr">
        <is>
          <t>0.31</t>
        </is>
      </c>
      <c r="G570" s="32">
        <f>VLOOKUP(A570,Sheet3!A:K,10,0)/38</f>
        <v/>
      </c>
      <c r="H570" s="32">
        <f>F570-G570</f>
        <v/>
      </c>
      <c r="I570" s="29" t="n"/>
    </row>
    <row r="571">
      <c r="A571" s="29" t="inlineStr">
        <is>
          <t>AU23615</t>
        </is>
      </c>
      <c r="B571" s="30" t="inlineStr">
        <is>
          <t>NSW-QLD</t>
        </is>
      </c>
      <c r="C571" s="30" t="inlineStr">
        <is>
          <t>NSW</t>
        </is>
      </c>
      <c r="D571" s="30" t="inlineStr">
        <is>
          <t>Full time</t>
        </is>
      </c>
      <c r="E571" s="42">
        <f>VLOOKUP(A571,'[1]Virtus SAMPLE PositionHistorySa'!$A:$L,12,0)</f>
        <v/>
      </c>
      <c r="F571" s="31" t="inlineStr">
        <is>
          <t>0.31</t>
        </is>
      </c>
      <c r="G571" s="32">
        <f>VLOOKUP(A571,Sheet3!A:K,10,0)/38</f>
        <v/>
      </c>
      <c r="H571" s="32">
        <f>F571-G571</f>
        <v/>
      </c>
      <c r="I571" s="29" t="n"/>
    </row>
    <row r="572">
      <c r="A572" s="29" t="inlineStr">
        <is>
          <t>AU23537</t>
        </is>
      </c>
      <c r="B572" s="30" t="inlineStr">
        <is>
          <t>VIC-TAS</t>
        </is>
      </c>
      <c r="C572" s="30" t="inlineStr">
        <is>
          <t>MIVFS2022</t>
        </is>
      </c>
      <c r="D572" s="30" t="inlineStr">
        <is>
          <t>Full time</t>
        </is>
      </c>
      <c r="E572" s="42">
        <f>VLOOKUP(A572,'[1]Virtus SAMPLE PositionHistorySa'!$A:$L,12,0)</f>
        <v/>
      </c>
      <c r="F572" s="31" t="inlineStr">
        <is>
          <t>0.53</t>
        </is>
      </c>
      <c r="G572" s="32">
        <f>VLOOKUP(A572,Sheet3!A:K,10,0)/38</f>
        <v/>
      </c>
      <c r="H572" s="32">
        <f>F572-G572</f>
        <v/>
      </c>
      <c r="I572" s="29" t="n"/>
    </row>
    <row r="573">
      <c r="A573" s="29" t="inlineStr">
        <is>
          <t>AU23575</t>
        </is>
      </c>
      <c r="B573" s="30" t="inlineStr">
        <is>
          <t>NSW-QLD</t>
        </is>
      </c>
      <c r="C573" s="30" t="inlineStr">
        <is>
          <t>IVFN2021</t>
        </is>
      </c>
      <c r="D573" s="30" t="inlineStr">
        <is>
          <t>Full time</t>
        </is>
      </c>
      <c r="E573" s="42">
        <f>VLOOKUP(A573,'[1]Virtus SAMPLE PositionHistorySa'!$A:$L,12,0)</f>
        <v/>
      </c>
      <c r="F573" s="31" t="inlineStr">
        <is>
          <t>0.53</t>
        </is>
      </c>
      <c r="G573" s="32">
        <f>VLOOKUP(A573,Sheet3!A:K,10,0)/38</f>
        <v/>
      </c>
      <c r="H573" s="32">
        <f>F573-G573</f>
        <v/>
      </c>
      <c r="I573" s="29" t="n"/>
    </row>
    <row r="574">
      <c r="A574" s="29" t="inlineStr">
        <is>
          <t>AU23544</t>
        </is>
      </c>
      <c r="B574" s="30" t="inlineStr">
        <is>
          <t>VIC-TAS</t>
        </is>
      </c>
      <c r="C574" s="30" t="inlineStr">
        <is>
          <t>MIVFS2022</t>
        </is>
      </c>
      <c r="D574" s="30">
        <f>VLOOKUP(A574,Sheet3!A:E,5,0)</f>
        <v/>
      </c>
      <c r="E574" s="42">
        <f>VLOOKUP(A574,'[1]Virtus SAMPLE PositionHistorySa'!$A:$L,12,0)</f>
        <v/>
      </c>
      <c r="F574" s="31" t="inlineStr">
        <is>
          <t>0.53</t>
        </is>
      </c>
      <c r="G574" s="32" t="n"/>
      <c r="H574" s="32" t="n"/>
      <c r="I574" s="29" t="n"/>
    </row>
    <row r="575">
      <c r="A575" s="29" t="inlineStr">
        <is>
          <t>AU23604</t>
        </is>
      </c>
      <c r="B575" s="30" t="inlineStr">
        <is>
          <t>NSW-QLD</t>
        </is>
      </c>
      <c r="C575" s="30" t="inlineStr">
        <is>
          <t>IVFS2023</t>
        </is>
      </c>
      <c r="D575" s="30" t="inlineStr">
        <is>
          <t>Part time</t>
        </is>
      </c>
      <c r="E575" s="42">
        <f>VLOOKUP(A575,'[1]Virtus SAMPLE PositionHistorySa'!$A:$L,12,0)</f>
        <v/>
      </c>
      <c r="F575" s="31" t="inlineStr">
        <is>
          <t>0.45</t>
        </is>
      </c>
      <c r="G575" s="32" t="n"/>
      <c r="H575" s="32" t="n"/>
      <c r="I575" s="29" t="n"/>
    </row>
    <row r="576">
      <c r="A576" s="29" t="inlineStr">
        <is>
          <t>AU23678</t>
        </is>
      </c>
      <c r="B576" s="30" t="inlineStr">
        <is>
          <t>NSW-QLD</t>
        </is>
      </c>
      <c r="C576" s="30" t="inlineStr">
        <is>
          <t>QS2024</t>
        </is>
      </c>
      <c r="D576" s="30" t="inlineStr">
        <is>
          <t>Casual</t>
        </is>
      </c>
      <c r="E576" s="42">
        <f>VLOOKUP(A576,'[1]Virtus SAMPLE PositionHistorySa'!$A:$L,12,0)</f>
        <v/>
      </c>
      <c r="F576" s="31" t="inlineStr">
        <is>
          <t>0.31</t>
        </is>
      </c>
      <c r="G576" s="32" t="n"/>
      <c r="H576" s="32" t="n"/>
      <c r="I576" s="29" t="n"/>
    </row>
    <row r="577">
      <c r="A577" s="29" t="inlineStr">
        <is>
          <t>AU23765</t>
        </is>
      </c>
      <c r="B577" s="30" t="inlineStr">
        <is>
          <t>VIC-TAS</t>
        </is>
      </c>
      <c r="C577" s="30" t="inlineStr">
        <is>
          <t>MIVFS2022</t>
        </is>
      </c>
      <c r="D577" s="30" t="inlineStr">
        <is>
          <t>Full time</t>
        </is>
      </c>
      <c r="E577" s="42">
        <f>VLOOKUP(A577,'[1]Virtus SAMPLE PositionHistorySa'!$A:$L,12,0)</f>
        <v/>
      </c>
      <c r="F577" s="31" t="inlineStr">
        <is>
          <t>0.16</t>
        </is>
      </c>
      <c r="G577" s="32">
        <f>VLOOKUP(A577,Sheet3!A:K,10,0)/38</f>
        <v/>
      </c>
      <c r="H577" s="32">
        <f>F577-G577</f>
        <v/>
      </c>
      <c r="I577" s="29" t="n"/>
    </row>
    <row r="578">
      <c r="A578" s="29" t="inlineStr">
        <is>
          <t>AU23764</t>
        </is>
      </c>
      <c r="B578" s="30" t="inlineStr">
        <is>
          <t>NSW-QLD</t>
        </is>
      </c>
      <c r="C578" s="30" t="inlineStr">
        <is>
          <t>VIC</t>
        </is>
      </c>
      <c r="D578" s="30">
        <f>VLOOKUP(A578,Sheet3!A:E,5,0)</f>
        <v/>
      </c>
      <c r="E578" s="42">
        <f>VLOOKUP(A578,'[1]Virtus SAMPLE PositionHistorySa'!$A:$L,12,0)</f>
        <v/>
      </c>
      <c r="F578" s="31" t="inlineStr">
        <is>
          <t>0.16</t>
        </is>
      </c>
      <c r="G578" s="32" t="n"/>
      <c r="H578" s="32" t="n"/>
      <c r="I578" s="29" t="n"/>
    </row>
    <row r="579">
      <c r="A579" s="29" t="inlineStr">
        <is>
          <t>AU23766</t>
        </is>
      </c>
      <c r="B579" s="30" t="inlineStr">
        <is>
          <t>NSW-QLD</t>
        </is>
      </c>
      <c r="C579" s="30" t="inlineStr">
        <is>
          <t>NSW</t>
        </is>
      </c>
      <c r="D579" s="30">
        <f>VLOOKUP(A579,Sheet3!A:E,5,0)</f>
        <v/>
      </c>
      <c r="E579" s="42">
        <f>VLOOKUP(A579,'[1]Virtus SAMPLE PositionHistorySa'!$A:$L,12,0)</f>
        <v/>
      </c>
      <c r="F579" s="31" t="inlineStr">
        <is>
          <t>0.16</t>
        </is>
      </c>
      <c r="G579" s="32" t="n"/>
      <c r="H579" s="32" t="n"/>
      <c r="I579" s="29" t="n"/>
    </row>
    <row r="580">
      <c r="A580" s="29" t="inlineStr">
        <is>
          <t>AU23768</t>
        </is>
      </c>
      <c r="B580" s="30" t="inlineStr">
        <is>
          <t>NSW-QLD</t>
        </is>
      </c>
      <c r="C580" s="30" t="inlineStr">
        <is>
          <t>QLD</t>
        </is>
      </c>
      <c r="D580" s="30">
        <f>VLOOKUP(A580,Sheet3!A:E,5,0)</f>
        <v/>
      </c>
      <c r="E580" s="42">
        <f>VLOOKUP(A580,'[1]Virtus SAMPLE PositionHistorySa'!$A:$L,12,0)</f>
        <v/>
      </c>
      <c r="F580" s="31" t="inlineStr">
        <is>
          <t>0.16</t>
        </is>
      </c>
      <c r="G580" s="32" t="n"/>
      <c r="H580" s="32" t="n"/>
      <c r="I580" s="29" t="n"/>
    </row>
    <row r="581">
      <c r="A581" s="29" t="inlineStr">
        <is>
          <t>AU23770</t>
        </is>
      </c>
      <c r="B581" s="30" t="inlineStr">
        <is>
          <t>NSW-QLD</t>
        </is>
      </c>
      <c r="C581" s="30" t="inlineStr">
        <is>
          <t>IVFS2023</t>
        </is>
      </c>
      <c r="D581" s="30" t="inlineStr">
        <is>
          <t>Part time</t>
        </is>
      </c>
      <c r="E581" s="42">
        <f>VLOOKUP(A581,'[1]Virtus SAMPLE PositionHistorySa'!$A:$L,12,0)</f>
        <v/>
      </c>
      <c r="F581" s="31" t="inlineStr">
        <is>
          <t>0.16</t>
        </is>
      </c>
      <c r="G581" s="32" t="n"/>
      <c r="H581" s="32" t="n"/>
      <c r="I581" s="29" t="n"/>
    </row>
    <row r="582">
      <c r="A582" s="29" t="inlineStr">
        <is>
          <t>AU23771</t>
        </is>
      </c>
      <c r="B582" s="30" t="inlineStr">
        <is>
          <t>NSW-QLD</t>
        </is>
      </c>
      <c r="C582" s="30" t="inlineStr">
        <is>
          <t>IVFN2021</t>
        </is>
      </c>
      <c r="D582" s="30" t="inlineStr">
        <is>
          <t>Part time</t>
        </is>
      </c>
      <c r="E582" s="42">
        <f>VLOOKUP(A582,'[1]Virtus SAMPLE PositionHistorySa'!$A:$L,12,0)</f>
        <v/>
      </c>
      <c r="F582" s="31" t="inlineStr">
        <is>
          <t>0.16</t>
        </is>
      </c>
      <c r="G582" s="32" t="n"/>
      <c r="H582" s="32" t="n"/>
      <c r="I582" s="29" t="n"/>
    </row>
    <row r="583">
      <c r="A583" s="29" t="inlineStr">
        <is>
          <t>AU23772</t>
        </is>
      </c>
      <c r="B583" s="30" t="inlineStr">
        <is>
          <t>NSW-QLD</t>
        </is>
      </c>
      <c r="C583" s="30" t="inlineStr">
        <is>
          <t>QN2025</t>
        </is>
      </c>
      <c r="D583" s="30" t="inlineStr">
        <is>
          <t>Casual</t>
        </is>
      </c>
      <c r="E583" s="42">
        <f>VLOOKUP(A583,'[1]Virtus SAMPLE PositionHistorySa'!$A:$L,12,0)</f>
        <v/>
      </c>
      <c r="F583" s="31" t="inlineStr">
        <is>
          <t>0.25</t>
        </is>
      </c>
      <c r="G583" s="32" t="n"/>
      <c r="H583" s="32" t="n"/>
      <c r="I583" s="29" t="n"/>
    </row>
    <row r="584">
      <c r="A584" s="29" t="inlineStr">
        <is>
          <t>AU23773</t>
        </is>
      </c>
      <c r="B584" s="30" t="inlineStr">
        <is>
          <t>NSW-QLD</t>
        </is>
      </c>
      <c r="C584" s="30" t="inlineStr">
        <is>
          <t>IVFS2023</t>
        </is>
      </c>
      <c r="D584" s="30" t="inlineStr">
        <is>
          <t>Casual</t>
        </is>
      </c>
      <c r="E584" s="42">
        <f>VLOOKUP(A584,'[1]Virtus SAMPLE PositionHistorySa'!$A:$L,12,0)</f>
        <v/>
      </c>
      <c r="F584" s="31" t="inlineStr">
        <is>
          <t>0.16</t>
        </is>
      </c>
      <c r="G584" s="32" t="n"/>
      <c r="H584" s="32" t="n"/>
      <c r="I584" s="29" t="n"/>
    </row>
    <row r="585">
      <c r="A585" s="29" t="inlineStr">
        <is>
          <t>AU23775</t>
        </is>
      </c>
      <c r="B585" s="30" t="inlineStr">
        <is>
          <t>NSW-QLD</t>
        </is>
      </c>
      <c r="C585" s="30" t="inlineStr">
        <is>
          <t>IVFS2023</t>
        </is>
      </c>
      <c r="D585" s="30" t="inlineStr">
        <is>
          <t>Casual</t>
        </is>
      </c>
      <c r="E585" s="42">
        <f>VLOOKUP(A585,'[1]Virtus SAMPLE PositionHistorySa'!$A:$L,12,0)</f>
        <v/>
      </c>
      <c r="F585" s="31" t="inlineStr">
        <is>
          <t>0.16</t>
        </is>
      </c>
      <c r="G585" s="32" t="n"/>
      <c r="H585" s="32" t="n"/>
      <c r="I585" s="29" t="n"/>
    </row>
    <row r="586">
      <c r="A586" s="29" t="inlineStr">
        <is>
          <t>AU23516</t>
        </is>
      </c>
      <c r="B586" s="30" t="inlineStr">
        <is>
          <t>NSW-QLD</t>
        </is>
      </c>
      <c r="C586" s="30" t="inlineStr">
        <is>
          <t>IVFS2023</t>
        </is>
      </c>
      <c r="D586" s="30" t="inlineStr">
        <is>
          <t>Full time</t>
        </is>
      </c>
      <c r="E586" s="42">
        <f>VLOOKUP(A586,'[1]Virtus SAMPLE PositionHistorySa'!$A:$L,12,0)</f>
        <v/>
      </c>
      <c r="F586" s="31" t="inlineStr">
        <is>
          <t>0.59</t>
        </is>
      </c>
      <c r="G586" s="32">
        <f>VLOOKUP(A586,Sheet3!A:K,10,0)/38</f>
        <v/>
      </c>
      <c r="H586" s="32">
        <f>F586-G586</f>
        <v/>
      </c>
      <c r="I586" s="29" t="n"/>
    </row>
    <row r="587">
      <c r="A587" s="29" t="inlineStr">
        <is>
          <t>AU23598</t>
        </is>
      </c>
      <c r="B587" s="30" t="inlineStr">
        <is>
          <t>NSW-QLD</t>
        </is>
      </c>
      <c r="C587" s="30" t="inlineStr">
        <is>
          <t>IVFT2024</t>
        </is>
      </c>
      <c r="D587" s="30" t="inlineStr">
        <is>
          <t>Full time</t>
        </is>
      </c>
      <c r="E587" s="42">
        <f>VLOOKUP(A587,'[1]Virtus SAMPLE PositionHistorySa'!$A:$L,12,0)</f>
        <v/>
      </c>
      <c r="F587" s="31" t="inlineStr">
        <is>
          <t>0.38</t>
        </is>
      </c>
      <c r="G587" s="32">
        <f>VLOOKUP(A587,Sheet3!A:K,10,0)/38</f>
        <v/>
      </c>
      <c r="H587" s="32">
        <f>F587-G587</f>
        <v/>
      </c>
      <c r="I587" s="29" t="n"/>
    </row>
    <row r="588">
      <c r="A588" s="29" t="inlineStr">
        <is>
          <t>AU23623</t>
        </is>
      </c>
      <c r="B588" s="30" t="inlineStr">
        <is>
          <t>NSW-QLD</t>
        </is>
      </c>
      <c r="C588" s="30" t="inlineStr">
        <is>
          <t>VIC</t>
        </is>
      </c>
      <c r="D588" s="30" t="inlineStr">
        <is>
          <t>Full time</t>
        </is>
      </c>
      <c r="E588" s="42">
        <f>VLOOKUP(A588,'[1]Virtus SAMPLE PositionHistorySa'!$A:$L,12,0)</f>
        <v/>
      </c>
      <c r="F588" s="31" t="inlineStr">
        <is>
          <t>0.38</t>
        </is>
      </c>
      <c r="G588" s="32">
        <f>VLOOKUP(A588,Sheet3!A:K,10,0)/38</f>
        <v/>
      </c>
      <c r="H588" s="32">
        <f>F588-G588</f>
        <v/>
      </c>
      <c r="I588" s="29" t="n"/>
    </row>
    <row r="589">
      <c r="A589" s="29" t="inlineStr">
        <is>
          <t>AU23638</t>
        </is>
      </c>
      <c r="B589" s="30" t="inlineStr">
        <is>
          <t>NSW-QLD</t>
        </is>
      </c>
      <c r="C589" s="30" t="inlineStr">
        <is>
          <t>NSW</t>
        </is>
      </c>
      <c r="D589" s="30" t="inlineStr">
        <is>
          <t>Full time</t>
        </is>
      </c>
      <c r="E589" s="42">
        <f>VLOOKUP(A589,'[1]Virtus SAMPLE PositionHistorySa'!$A:$L,12,0)</f>
        <v/>
      </c>
      <c r="F589" s="31" t="inlineStr">
        <is>
          <t>0.38</t>
        </is>
      </c>
      <c r="G589" s="32">
        <f>VLOOKUP(A589,Sheet3!A:K,10,0)/38</f>
        <v/>
      </c>
      <c r="H589" s="32">
        <f>F589-G589</f>
        <v/>
      </c>
      <c r="I589" s="29" t="n"/>
    </row>
    <row r="590">
      <c r="A590" s="29" t="inlineStr">
        <is>
          <t>AU23640</t>
        </is>
      </c>
      <c r="B590" s="30" t="inlineStr">
        <is>
          <t>NSW-QLD</t>
        </is>
      </c>
      <c r="C590" s="30" t="inlineStr">
        <is>
          <t>IVFS2023</t>
        </is>
      </c>
      <c r="D590" s="30" t="inlineStr">
        <is>
          <t>Part time</t>
        </is>
      </c>
      <c r="E590" s="42">
        <f>VLOOKUP(A590,'[1]Virtus SAMPLE PositionHistorySa'!$A:$L,12,0)</f>
        <v/>
      </c>
      <c r="F590" s="31" t="inlineStr">
        <is>
          <t>0.38</t>
        </is>
      </c>
      <c r="G590" s="32" t="n"/>
      <c r="H590" s="32" t="n"/>
      <c r="I590" s="29" t="n"/>
    </row>
    <row r="591">
      <c r="A591" s="29" t="inlineStr">
        <is>
          <t>AU23643</t>
        </is>
      </c>
      <c r="B591" s="30" t="inlineStr">
        <is>
          <t>VIC-TAS</t>
        </is>
      </c>
      <c r="C591" s="30" t="inlineStr">
        <is>
          <t>MIVFN2023</t>
        </is>
      </c>
      <c r="D591" s="30" t="inlineStr">
        <is>
          <t>Casual</t>
        </is>
      </c>
      <c r="E591" s="42">
        <f>VLOOKUP(A591,'[1]Virtus SAMPLE PositionHistorySa'!$A:$L,12,0)</f>
        <v/>
      </c>
      <c r="F591" s="31" t="inlineStr">
        <is>
          <t>0.38</t>
        </is>
      </c>
      <c r="G591" s="32" t="n"/>
      <c r="H591" s="32" t="n"/>
      <c r="I591" s="29" t="n"/>
    </row>
    <row r="592">
      <c r="A592" s="29" t="n">
        <v>19813</v>
      </c>
      <c r="B592" s="30" t="inlineStr">
        <is>
          <t>NSW-QLD</t>
        </is>
      </c>
      <c r="C592" s="30" t="inlineStr">
        <is>
          <t>IVFT2024</t>
        </is>
      </c>
      <c r="D592" s="30" t="inlineStr">
        <is>
          <t>Part time</t>
        </is>
      </c>
      <c r="E592" s="42">
        <f>VLOOKUP(A592,'[1]Virtus SAMPLE PositionHistorySa'!$A:$L,12,0)</f>
        <v/>
      </c>
      <c r="F592" s="31" t="inlineStr">
        <is>
          <t>6.71</t>
        </is>
      </c>
      <c r="G592" s="32" t="n"/>
      <c r="H592" s="32" t="n"/>
      <c r="I592" s="29" t="n"/>
    </row>
    <row r="593">
      <c r="A593" s="29" t="n">
        <v>20713</v>
      </c>
      <c r="B593" s="30" t="inlineStr">
        <is>
          <t>NSW-QLD</t>
        </is>
      </c>
      <c r="C593" s="30" t="inlineStr">
        <is>
          <t>NSW</t>
        </is>
      </c>
      <c r="D593" s="30" t="inlineStr">
        <is>
          <t>Full time</t>
        </is>
      </c>
      <c r="E593" s="42">
        <f>VLOOKUP(A593,'[1]Virtus SAMPLE PositionHistorySa'!$A:$L,12,0)</f>
        <v/>
      </c>
      <c r="F593" s="31" t="inlineStr">
        <is>
          <t>5.00</t>
        </is>
      </c>
      <c r="G593" s="32">
        <f>VLOOKUP(A593,Sheet3!A:K,10,0)/38</f>
        <v/>
      </c>
      <c r="H593" s="32">
        <f>F593-G593</f>
        <v/>
      </c>
      <c r="I593" s="29" t="n"/>
    </row>
    <row r="594">
      <c r="A594" s="29" t="inlineStr">
        <is>
          <t>AU23389</t>
        </is>
      </c>
      <c r="B594" s="30" t="inlineStr">
        <is>
          <t>NSW-QLD</t>
        </is>
      </c>
      <c r="C594" s="30" t="inlineStr">
        <is>
          <t>NSW</t>
        </is>
      </c>
      <c r="D594" s="30" t="inlineStr">
        <is>
          <t>Full time</t>
        </is>
      </c>
      <c r="E594" s="42">
        <f>VLOOKUP(A594,'[1]Virtus SAMPLE PositionHistorySa'!$A:$L,12,0)</f>
        <v/>
      </c>
      <c r="F594" s="31" t="inlineStr">
        <is>
          <t>0.66</t>
        </is>
      </c>
      <c r="G594" s="32">
        <f>VLOOKUP(A594,Sheet3!A:K,10,0)/38</f>
        <v/>
      </c>
      <c r="H594" s="32">
        <f>F594-G594</f>
        <v/>
      </c>
      <c r="I594" s="29" t="n"/>
    </row>
    <row r="595">
      <c r="A595" s="29" t="inlineStr">
        <is>
          <t>AU23478</t>
        </is>
      </c>
      <c r="B595" s="30" t="inlineStr">
        <is>
          <t>NSW-QLD</t>
        </is>
      </c>
      <c r="C595" s="30" t="inlineStr">
        <is>
          <t>NSW</t>
        </is>
      </c>
      <c r="D595" s="30" t="inlineStr">
        <is>
          <t>Full time</t>
        </is>
      </c>
      <c r="E595" s="42">
        <f>VLOOKUP(A595,'[1]Virtus SAMPLE PositionHistorySa'!$A:$L,12,0)</f>
        <v/>
      </c>
      <c r="F595" s="31" t="inlineStr">
        <is>
          <t>0.66</t>
        </is>
      </c>
      <c r="G595" s="32">
        <f>VLOOKUP(A595,Sheet3!A:K,10,0)/38</f>
        <v/>
      </c>
      <c r="H595" s="32">
        <f>F595-G595</f>
        <v/>
      </c>
      <c r="I595" s="29" t="n"/>
    </row>
    <row r="596">
      <c r="A596" s="29" t="inlineStr">
        <is>
          <t>AU23474</t>
        </is>
      </c>
      <c r="B596" s="30" t="inlineStr">
        <is>
          <t>NSW-QLD</t>
        </is>
      </c>
      <c r="C596" s="30" t="inlineStr">
        <is>
          <t>QN2025</t>
        </is>
      </c>
      <c r="D596" s="30" t="inlineStr">
        <is>
          <t>Part time</t>
        </is>
      </c>
      <c r="E596" s="42">
        <f>VLOOKUP(A596,'[1]Virtus SAMPLE PositionHistorySa'!$A:$L,12,0)</f>
        <v/>
      </c>
      <c r="F596" s="31" t="inlineStr">
        <is>
          <t>0.99</t>
        </is>
      </c>
      <c r="G596" s="32" t="n"/>
      <c r="H596" s="32" t="n"/>
      <c r="I596" s="29" t="n"/>
    </row>
    <row r="597">
      <c r="A597" s="29" t="inlineStr">
        <is>
          <t>AU23477</t>
        </is>
      </c>
      <c r="B597" s="30" t="inlineStr">
        <is>
          <t>NSW-QLD</t>
        </is>
      </c>
      <c r="C597" s="30" t="inlineStr">
        <is>
          <t>IVFS2023</t>
        </is>
      </c>
      <c r="D597" s="30" t="inlineStr">
        <is>
          <t>Casual</t>
        </is>
      </c>
      <c r="E597" s="42">
        <f>VLOOKUP(A597,'[1]Virtus SAMPLE PositionHistorySa'!$A:$L,12,0)</f>
        <v/>
      </c>
      <c r="F597" s="31" t="inlineStr">
        <is>
          <t>0.66</t>
        </is>
      </c>
      <c r="G597" s="32" t="n"/>
      <c r="H597" s="32" t="n"/>
      <c r="I597" s="29" t="n"/>
    </row>
    <row r="598">
      <c r="A598" s="29" t="inlineStr">
        <is>
          <t>AU23482</t>
        </is>
      </c>
      <c r="B598" s="30" t="inlineStr">
        <is>
          <t>NSW-QLD</t>
        </is>
      </c>
      <c r="C598" s="30" t="inlineStr">
        <is>
          <t>IVFS2023</t>
        </is>
      </c>
      <c r="D598" s="30" t="inlineStr">
        <is>
          <t>Part time</t>
        </is>
      </c>
      <c r="E598" s="42">
        <f>VLOOKUP(A598,'[1]Virtus SAMPLE PositionHistorySa'!$A:$L,12,0)</f>
        <v/>
      </c>
      <c r="F598" s="31" t="inlineStr">
        <is>
          <t>0.66</t>
        </is>
      </c>
      <c r="G598" s="32" t="n"/>
      <c r="H598" s="32" t="n"/>
      <c r="I598" s="29" t="n"/>
    </row>
    <row r="599">
      <c r="A599" s="29" t="inlineStr">
        <is>
          <t>AU23493</t>
        </is>
      </c>
      <c r="B599" s="30" t="inlineStr">
        <is>
          <t>NSW-QLD</t>
        </is>
      </c>
      <c r="C599" s="30" t="inlineStr">
        <is>
          <t>QN2025</t>
        </is>
      </c>
      <c r="D599" s="30" t="inlineStr">
        <is>
          <t>Casual</t>
        </is>
      </c>
      <c r="E599" s="42">
        <f>VLOOKUP(A599,'[1]Virtus SAMPLE PositionHistorySa'!$A:$L,12,0)</f>
        <v/>
      </c>
      <c r="F599" s="31" t="inlineStr">
        <is>
          <t>0.99</t>
        </is>
      </c>
      <c r="G599" s="32" t="n"/>
      <c r="H599" s="32" t="n"/>
      <c r="I599" s="29" t="n"/>
    </row>
    <row r="600">
      <c r="A600" s="29" t="inlineStr">
        <is>
          <t>AU23494</t>
        </is>
      </c>
      <c r="B600" s="30" t="inlineStr">
        <is>
          <t>NSW-QLD</t>
        </is>
      </c>
      <c r="C600" s="30" t="inlineStr">
        <is>
          <t>IVFS2023</t>
        </is>
      </c>
      <c r="D600" s="30" t="inlineStr">
        <is>
          <t>Casual</t>
        </is>
      </c>
      <c r="E600" s="42">
        <f>VLOOKUP(A600,'[1]Virtus SAMPLE PositionHistorySa'!$A:$L,12,0)</f>
        <v/>
      </c>
      <c r="F600" s="31" t="inlineStr">
        <is>
          <t>0.66</t>
        </is>
      </c>
      <c r="G600" s="32" t="n"/>
      <c r="H600" s="32" t="n"/>
      <c r="I600" s="29" t="n"/>
    </row>
    <row r="601">
      <c r="A601" s="29" t="n">
        <v>80033</v>
      </c>
      <c r="B601" s="30" t="inlineStr">
        <is>
          <t>NSW-QLD</t>
        </is>
      </c>
      <c r="C601" s="30" t="inlineStr">
        <is>
          <t>QS2024</t>
        </is>
      </c>
      <c r="D601" s="30" t="inlineStr">
        <is>
          <t>Full time</t>
        </is>
      </c>
      <c r="E601" s="42">
        <f>VLOOKUP(A601,'[1]Virtus SAMPLE PositionHistorySa'!$A:$L,12,0)</f>
        <v/>
      </c>
      <c r="F601" s="31" t="inlineStr">
        <is>
          <t>22.95</t>
        </is>
      </c>
      <c r="G601" s="32">
        <f>VLOOKUP(A601,Sheet3!A:K,10,0)/38</f>
        <v/>
      </c>
      <c r="H601" s="32">
        <f>F601-G601</f>
        <v/>
      </c>
      <c r="I601" s="29" t="n"/>
    </row>
    <row r="602">
      <c r="A602" s="29" t="n">
        <v>1147</v>
      </c>
      <c r="B602" s="30" t="inlineStr">
        <is>
          <t>VIC-TAS</t>
        </is>
      </c>
      <c r="C602" s="30" t="inlineStr">
        <is>
          <t>MIVFN2023</t>
        </is>
      </c>
      <c r="D602" s="30" t="inlineStr">
        <is>
          <t>Part time</t>
        </is>
      </c>
      <c r="E602" s="42">
        <f>VLOOKUP(A602,'[1]Virtus SAMPLE PositionHistorySa'!$A:$L,12,0)</f>
        <v/>
      </c>
      <c r="F602" s="31" t="inlineStr">
        <is>
          <t>4.99</t>
        </is>
      </c>
      <c r="G602" s="32" t="n"/>
      <c r="H602" s="32" t="n"/>
      <c r="I602" s="29" t="n"/>
    </row>
    <row r="603">
      <c r="A603" s="29" t="n">
        <v>80392</v>
      </c>
      <c r="B603" s="30" t="inlineStr">
        <is>
          <t>NSW-QLD</t>
        </is>
      </c>
      <c r="C603" s="30" t="inlineStr">
        <is>
          <t>IVFS2023</t>
        </is>
      </c>
      <c r="D603" s="30" t="inlineStr">
        <is>
          <t>Casual</t>
        </is>
      </c>
      <c r="E603" s="42">
        <f>VLOOKUP(A603,'[1]Virtus SAMPLE PositionHistorySa'!$A:$L,12,0)</f>
        <v/>
      </c>
      <c r="F603" s="31" t="inlineStr">
        <is>
          <t>4.13</t>
        </is>
      </c>
      <c r="G603" s="32" t="n"/>
      <c r="H603" s="32" t="n"/>
      <c r="I603" s="29" t="n"/>
    </row>
    <row r="604">
      <c r="A604" s="29" t="inlineStr">
        <is>
          <t>AU23475</t>
        </is>
      </c>
      <c r="B604" s="30" t="inlineStr">
        <is>
          <t>VIC-TAS</t>
        </is>
      </c>
      <c r="C604" s="30" t="inlineStr">
        <is>
          <t>TIVF2024</t>
        </is>
      </c>
      <c r="D604" s="30" t="inlineStr">
        <is>
          <t>Casual</t>
        </is>
      </c>
      <c r="E604" s="42">
        <f>VLOOKUP(A604,'[1]Virtus SAMPLE PositionHistorySa'!$A:$L,12,0)</f>
        <v/>
      </c>
      <c r="F604" s="31" t="inlineStr">
        <is>
          <t>0.66</t>
        </is>
      </c>
      <c r="G604" s="32" t="n"/>
      <c r="H604" s="32" t="n"/>
      <c r="I604" s="29" t="n"/>
    </row>
    <row r="605">
      <c r="A605" s="29" t="n">
        <v>23</v>
      </c>
      <c r="B605" s="30" t="inlineStr">
        <is>
          <t>VIC-TAS</t>
        </is>
      </c>
      <c r="C605" s="30" t="inlineStr">
        <is>
          <t>TAS</t>
        </is>
      </c>
      <c r="D605" s="30" t="inlineStr">
        <is>
          <t>Full time</t>
        </is>
      </c>
      <c r="E605" s="42">
        <f>VLOOKUP(A605,'[1]Virtus SAMPLE PositionHistorySa'!$A:$L,12,0)</f>
        <v/>
      </c>
      <c r="F605" s="31" t="inlineStr">
        <is>
          <t>21.46</t>
        </is>
      </c>
      <c r="G605" s="32">
        <f>VLOOKUP(A605,Sheet3!A:K,10,0)/38</f>
        <v/>
      </c>
      <c r="H605" s="32">
        <f>F605-G605</f>
        <v/>
      </c>
      <c r="I605" s="29" t="n"/>
    </row>
    <row r="606">
      <c r="A606" s="29" t="n">
        <v>80089</v>
      </c>
      <c r="B606" s="30" t="inlineStr">
        <is>
          <t>NSW-QLD</t>
        </is>
      </c>
      <c r="C606" s="30" t="inlineStr">
        <is>
          <t>IVFS2023</t>
        </is>
      </c>
      <c r="D606" s="30" t="inlineStr">
        <is>
          <t>Full time</t>
        </is>
      </c>
      <c r="E606" s="42">
        <f>VLOOKUP(A606,'[1]Virtus SAMPLE PositionHistorySa'!$A:$L,12,0)</f>
        <v/>
      </c>
      <c r="F606" s="31" t="inlineStr">
        <is>
          <t>10.06</t>
        </is>
      </c>
      <c r="G606" s="32">
        <f>VLOOKUP(A606,Sheet3!A:K,10,0)/38</f>
        <v/>
      </c>
      <c r="H606" s="32">
        <f>F606-G606</f>
        <v/>
      </c>
      <c r="I606" s="29" t="n"/>
    </row>
    <row r="607">
      <c r="A607" s="29" t="n">
        <v>20327</v>
      </c>
      <c r="B607" s="30" t="inlineStr">
        <is>
          <t>NSW-QLD</t>
        </is>
      </c>
      <c r="C607" s="30" t="inlineStr">
        <is>
          <t>IVFS2023</t>
        </is>
      </c>
      <c r="D607" s="30" t="inlineStr">
        <is>
          <t>Part time</t>
        </is>
      </c>
      <c r="E607" s="42">
        <f>VLOOKUP(A607,'[1]Virtus SAMPLE PositionHistorySa'!$A:$L,12,0)</f>
        <v/>
      </c>
      <c r="F607" s="31" t="inlineStr">
        <is>
          <t>7.72</t>
        </is>
      </c>
      <c r="G607" s="32" t="n"/>
      <c r="H607" s="32" t="n"/>
      <c r="I607" s="29" t="n"/>
    </row>
    <row r="608">
      <c r="A608" s="29" t="n">
        <v>30334</v>
      </c>
      <c r="B608" s="30" t="inlineStr">
        <is>
          <t>NSW-QLD</t>
        </is>
      </c>
      <c r="C608" s="30" t="inlineStr">
        <is>
          <t>IVFN2021</t>
        </is>
      </c>
      <c r="D608" s="30" t="inlineStr">
        <is>
          <t>Part time</t>
        </is>
      </c>
      <c r="E608" s="42">
        <f>VLOOKUP(A608,'[1]Virtus SAMPLE PositionHistorySa'!$A:$L,12,0)</f>
        <v/>
      </c>
      <c r="F608" s="31" t="inlineStr">
        <is>
          <t>6.72</t>
        </is>
      </c>
      <c r="G608" s="32" t="n"/>
      <c r="H608" s="32" t="n"/>
      <c r="I608" s="29" t="n"/>
    </row>
    <row r="609">
      <c r="A609" s="29" t="n">
        <v>80549</v>
      </c>
      <c r="B609" s="30" t="inlineStr">
        <is>
          <t>NSW-QLD</t>
        </is>
      </c>
      <c r="C609" s="30" t="inlineStr">
        <is>
          <t>QN2025</t>
        </is>
      </c>
      <c r="D609" s="30" t="inlineStr">
        <is>
          <t>Full time</t>
        </is>
      </c>
      <c r="E609" s="42">
        <f>VLOOKUP(A609,'[1]Virtus SAMPLE PositionHistorySa'!$A:$L,12,0)</f>
        <v/>
      </c>
      <c r="F609" s="31" t="inlineStr">
        <is>
          <t>8.79</t>
        </is>
      </c>
      <c r="G609" s="32">
        <f>VLOOKUP(A609,Sheet3!A:K,10,0)/38</f>
        <v/>
      </c>
      <c r="H609" s="32">
        <f>F609-G609</f>
        <v/>
      </c>
      <c r="I609" s="29" t="n"/>
    </row>
    <row r="610">
      <c r="A610" s="29" t="inlineStr">
        <is>
          <t>AU23060</t>
        </is>
      </c>
      <c r="B610" s="30" t="inlineStr">
        <is>
          <t>NSW-QLD</t>
        </is>
      </c>
      <c r="C610" s="30" t="inlineStr">
        <is>
          <t>IVFN2021</t>
        </is>
      </c>
      <c r="D610" s="30" t="inlineStr">
        <is>
          <t>Full time</t>
        </is>
      </c>
      <c r="E610" s="42">
        <f>VLOOKUP(A610,'[1]Virtus SAMPLE PositionHistorySa'!$A:$L,12,0)</f>
        <v/>
      </c>
      <c r="F610" s="31" t="inlineStr">
        <is>
          <t>1.53</t>
        </is>
      </c>
      <c r="G610" s="32">
        <f>VLOOKUP(A610,Sheet3!A:K,10,0)/38</f>
        <v/>
      </c>
      <c r="H610" s="32">
        <f>F610-G610</f>
        <v/>
      </c>
      <c r="I610" s="29" t="n"/>
    </row>
    <row r="611">
      <c r="A611" s="29" t="inlineStr">
        <is>
          <t>AU23031</t>
        </is>
      </c>
      <c r="B611" s="30" t="inlineStr">
        <is>
          <t>NSW-QLD</t>
        </is>
      </c>
      <c r="C611" s="30" t="inlineStr">
        <is>
          <t>IVFT2024</t>
        </is>
      </c>
      <c r="D611" s="30" t="inlineStr">
        <is>
          <t>Full time</t>
        </is>
      </c>
      <c r="E611" s="42">
        <f>VLOOKUP(A611,'[1]Virtus SAMPLE PositionHistorySa'!$A:$L,12,0)</f>
        <v/>
      </c>
      <c r="F611" s="31" t="inlineStr">
        <is>
          <t>1.53</t>
        </is>
      </c>
      <c r="G611" s="32">
        <f>VLOOKUP(A611,Sheet3!A:K,10,0)/38</f>
        <v/>
      </c>
      <c r="H611" s="32">
        <f>F611-G611</f>
        <v/>
      </c>
      <c r="I611" s="29" t="n"/>
    </row>
    <row r="612">
      <c r="A612" s="29" t="inlineStr">
        <is>
          <t>AU23046</t>
        </is>
      </c>
      <c r="B612" s="30" t="inlineStr">
        <is>
          <t>NSW-QLD</t>
        </is>
      </c>
      <c r="C612" s="30" t="inlineStr">
        <is>
          <t>IVFT2024</t>
        </is>
      </c>
      <c r="D612" s="30" t="inlineStr">
        <is>
          <t>Full time</t>
        </is>
      </c>
      <c r="E612" s="42">
        <f>VLOOKUP(A612,'[1]Virtus SAMPLE PositionHistorySa'!$A:$L,12,0)</f>
        <v/>
      </c>
      <c r="F612" s="31" t="inlineStr">
        <is>
          <t>1.53</t>
        </is>
      </c>
      <c r="G612" s="32">
        <f>VLOOKUP(A612,Sheet3!A:K,10,0)/38</f>
        <v/>
      </c>
      <c r="H612" s="32">
        <f>F612-G612</f>
        <v/>
      </c>
      <c r="I612" s="29" t="n"/>
    </row>
    <row r="613">
      <c r="A613" s="29" t="inlineStr">
        <is>
          <t>AU23049</t>
        </is>
      </c>
      <c r="B613" s="30" t="inlineStr">
        <is>
          <t>NSW-QLD</t>
        </is>
      </c>
      <c r="C613" s="30" t="inlineStr">
        <is>
          <t>IVFS2023</t>
        </is>
      </c>
      <c r="D613" s="30" t="inlineStr">
        <is>
          <t>Part time</t>
        </is>
      </c>
      <c r="E613" s="42">
        <f>VLOOKUP(A613,'[1]Virtus SAMPLE PositionHistorySa'!$A:$L,12,0)</f>
        <v/>
      </c>
      <c r="F613" s="31" t="inlineStr">
        <is>
          <t>1.53</t>
        </is>
      </c>
      <c r="G613" s="32" t="n"/>
      <c r="H613" s="32" t="n"/>
      <c r="I613" s="29" t="n"/>
    </row>
    <row r="614">
      <c r="A614" s="29" t="inlineStr">
        <is>
          <t>AU23058</t>
        </is>
      </c>
      <c r="B614" s="30" t="inlineStr">
        <is>
          <t>NSW-QLD</t>
        </is>
      </c>
      <c r="C614" s="30" t="inlineStr">
        <is>
          <t>IVFN2021</t>
        </is>
      </c>
      <c r="D614" s="30" t="inlineStr">
        <is>
          <t>Part time</t>
        </is>
      </c>
      <c r="E614" s="42">
        <f>VLOOKUP(A614,'[1]Virtus SAMPLE PositionHistorySa'!$A:$L,12,0)</f>
        <v/>
      </c>
      <c r="F614" s="31" t="inlineStr">
        <is>
          <t>1.53</t>
        </is>
      </c>
      <c r="G614" s="32" t="n"/>
      <c r="H614" s="32" t="n"/>
      <c r="I614" s="29" t="n"/>
    </row>
    <row r="615">
      <c r="A615" s="29" t="inlineStr">
        <is>
          <t>AU23064</t>
        </is>
      </c>
      <c r="B615" s="30" t="inlineStr">
        <is>
          <t>NSW-QLD</t>
        </is>
      </c>
      <c r="C615" s="30" t="inlineStr">
        <is>
          <t>IVFN2021</t>
        </is>
      </c>
      <c r="D615" s="30" t="inlineStr">
        <is>
          <t>Casual</t>
        </is>
      </c>
      <c r="E615" s="42">
        <f>VLOOKUP(A615,'[1]Virtus SAMPLE PositionHistorySa'!$A:$L,12,0)</f>
        <v/>
      </c>
      <c r="F615" s="31" t="inlineStr">
        <is>
          <t>1.53</t>
        </is>
      </c>
      <c r="G615" s="32" t="n"/>
      <c r="H615" s="32" t="n"/>
      <c r="I615" s="29" t="n"/>
    </row>
    <row r="616">
      <c r="A616" s="29" t="inlineStr">
        <is>
          <t>AU23065</t>
        </is>
      </c>
      <c r="B616" s="30" t="inlineStr">
        <is>
          <t>NSW-QLD</t>
        </is>
      </c>
      <c r="C616" s="30" t="inlineStr">
        <is>
          <t>IVFN2021</t>
        </is>
      </c>
      <c r="D616" s="30" t="inlineStr">
        <is>
          <t>Part time</t>
        </is>
      </c>
      <c r="E616" s="42">
        <f>VLOOKUP(A616,'[1]Virtus SAMPLE PositionHistorySa'!$A:$L,12,0)</f>
        <v/>
      </c>
      <c r="F616" s="31" t="inlineStr">
        <is>
          <t>1.53</t>
        </is>
      </c>
      <c r="G616" s="32" t="n"/>
      <c r="H616" s="32" t="n"/>
      <c r="I616" s="29" t="n"/>
    </row>
    <row r="617">
      <c r="A617" s="29" t="inlineStr">
        <is>
          <t>AU23066</t>
        </is>
      </c>
      <c r="B617" s="30" t="inlineStr">
        <is>
          <t>VIC-TAS</t>
        </is>
      </c>
      <c r="C617" s="30" t="inlineStr">
        <is>
          <t>MIVFS2022</t>
        </is>
      </c>
      <c r="D617" s="30" t="inlineStr">
        <is>
          <t>Part time</t>
        </is>
      </c>
      <c r="E617" s="42">
        <f>VLOOKUP(A617,'[1]Virtus SAMPLE PositionHistorySa'!$A:$L,12,0)</f>
        <v/>
      </c>
      <c r="F617" s="31" t="inlineStr">
        <is>
          <t>1.53</t>
        </is>
      </c>
      <c r="G617" s="32" t="n"/>
      <c r="H617" s="32" t="n"/>
      <c r="I617" s="29" t="n"/>
    </row>
    <row r="618">
      <c r="A618" s="29" t="n">
        <v>20173</v>
      </c>
      <c r="B618" s="30" t="inlineStr">
        <is>
          <t>NSW-QLD</t>
        </is>
      </c>
      <c r="C618" s="30" t="inlineStr">
        <is>
          <t>IVFS2023</t>
        </is>
      </c>
      <c r="D618" s="30" t="inlineStr">
        <is>
          <t>Full time</t>
        </is>
      </c>
      <c r="E618" s="42">
        <f>VLOOKUP(A618,'[1]Virtus SAMPLE PositionHistorySa'!$A:$L,12,0)</f>
        <v/>
      </c>
      <c r="F618" s="31" t="inlineStr">
        <is>
          <t>17.12</t>
        </is>
      </c>
      <c r="G618" s="32">
        <f>VLOOKUP(A618,Sheet3!A:K,10,0)/38</f>
        <v/>
      </c>
      <c r="H618" s="32">
        <f>F618-G618</f>
        <v/>
      </c>
      <c r="I618" s="29" t="n"/>
    </row>
    <row r="619">
      <c r="A619" s="29" t="inlineStr">
        <is>
          <t>AU22708</t>
        </is>
      </c>
      <c r="B619" s="30" t="inlineStr">
        <is>
          <t>VIC-TAS</t>
        </is>
      </c>
      <c r="C619" s="30" t="inlineStr">
        <is>
          <t>MIVFS2022</t>
        </is>
      </c>
      <c r="D619" s="30" t="inlineStr">
        <is>
          <t>Full time</t>
        </is>
      </c>
      <c r="E619" s="42">
        <f>VLOOKUP(A619,'[1]Virtus SAMPLE PositionHistorySa'!$A:$L,12,0)</f>
        <v/>
      </c>
      <c r="F619" s="31" t="inlineStr">
        <is>
          <t>2.39</t>
        </is>
      </c>
      <c r="G619" s="32">
        <f>VLOOKUP(A619,Sheet3!A:K,10,0)/38</f>
        <v/>
      </c>
      <c r="H619" s="32">
        <f>F619-G619</f>
        <v/>
      </c>
      <c r="I619" s="29" t="n"/>
    </row>
    <row r="620">
      <c r="A620" s="29" t="inlineStr">
        <is>
          <t>AU22680</t>
        </is>
      </c>
      <c r="B620" s="30" t="inlineStr">
        <is>
          <t>NSW-QLD</t>
        </is>
      </c>
      <c r="C620" s="30" t="inlineStr">
        <is>
          <t>IVFS2023</t>
        </is>
      </c>
      <c r="D620" s="30" t="inlineStr">
        <is>
          <t>Casual</t>
        </is>
      </c>
      <c r="E620" s="42">
        <f>VLOOKUP(A620,'[1]Virtus SAMPLE PositionHistorySa'!$A:$L,12,0)</f>
        <v/>
      </c>
      <c r="F620" s="31" t="inlineStr">
        <is>
          <t>2.39</t>
        </is>
      </c>
      <c r="G620" s="32" t="n"/>
      <c r="H620" s="32" t="n"/>
      <c r="I620" s="29" t="n"/>
    </row>
    <row r="621">
      <c r="A621" s="29" t="inlineStr">
        <is>
          <t>AU22699</t>
        </is>
      </c>
      <c r="B621" s="30" t="inlineStr">
        <is>
          <t>NSW-QLD</t>
        </is>
      </c>
      <c r="C621" s="30" t="inlineStr">
        <is>
          <t>IVFN2021</t>
        </is>
      </c>
      <c r="D621" s="30" t="inlineStr">
        <is>
          <t>Part time</t>
        </is>
      </c>
      <c r="E621" s="42">
        <f>VLOOKUP(A621,'[1]Virtus SAMPLE PositionHistorySa'!$A:$L,12,0)</f>
        <v/>
      </c>
      <c r="F621" s="31" t="inlineStr">
        <is>
          <t>2.39</t>
        </is>
      </c>
      <c r="G621" s="32" t="n"/>
      <c r="H621" s="32" t="n"/>
      <c r="I621" s="29" t="n"/>
    </row>
    <row r="622">
      <c r="A622" s="29" t="inlineStr">
        <is>
          <t>AU23030</t>
        </is>
      </c>
      <c r="B622" s="30" t="inlineStr">
        <is>
          <t>NSW-QLD</t>
        </is>
      </c>
      <c r="C622" s="30" t="inlineStr">
        <is>
          <t>IVFT2024</t>
        </is>
      </c>
      <c r="D622" s="30" t="inlineStr">
        <is>
          <t>Full time</t>
        </is>
      </c>
      <c r="E622" s="42">
        <f>VLOOKUP(A622,'[1]Virtus SAMPLE PositionHistorySa'!$A:$L,12,0)</f>
        <v/>
      </c>
      <c r="F622" s="31" t="inlineStr">
        <is>
          <t>1.52</t>
        </is>
      </c>
      <c r="G622" s="32">
        <f>VLOOKUP(A622,Sheet3!A:K,10,0)/38</f>
        <v/>
      </c>
      <c r="H622" s="32">
        <f>F622-G622</f>
        <v/>
      </c>
      <c r="I622" s="29" t="n"/>
    </row>
    <row r="623">
      <c r="A623" s="29" t="n">
        <v>20498</v>
      </c>
      <c r="B623" s="30" t="inlineStr">
        <is>
          <t>NSW-QLD</t>
        </is>
      </c>
      <c r="C623" s="30" t="inlineStr">
        <is>
          <t>IVFS2023</t>
        </is>
      </c>
      <c r="D623" s="30" t="inlineStr">
        <is>
          <t>Full time</t>
        </is>
      </c>
      <c r="E623" s="42">
        <f>VLOOKUP(A623,'[1]Virtus SAMPLE PositionHistorySa'!$A:$L,12,0)</f>
        <v/>
      </c>
      <c r="F623" s="31" t="inlineStr">
        <is>
          <t>8.45</t>
        </is>
      </c>
      <c r="G623" s="32">
        <f>VLOOKUP(A623,Sheet3!A:K,10,0)/38</f>
        <v/>
      </c>
      <c r="H623" s="32">
        <f>F623-G623</f>
        <v/>
      </c>
      <c r="I623" s="29" t="n"/>
    </row>
    <row r="624">
      <c r="A624" s="29" t="n">
        <v>80202</v>
      </c>
      <c r="B624" s="30" t="inlineStr">
        <is>
          <t>NSW-QLD</t>
        </is>
      </c>
      <c r="C624" s="30" t="inlineStr">
        <is>
          <t>IVFS2023</t>
        </is>
      </c>
      <c r="D624" s="30" t="inlineStr">
        <is>
          <t>Casual</t>
        </is>
      </c>
      <c r="E624" s="42">
        <f>VLOOKUP(A624,'[1]Virtus SAMPLE PositionHistorySa'!$A:$L,12,0)</f>
        <v/>
      </c>
      <c r="F624" s="31" t="inlineStr">
        <is>
          <t>8.45</t>
        </is>
      </c>
      <c r="G624" s="32" t="n"/>
      <c r="H624" s="32" t="n"/>
      <c r="I624" s="29" t="n"/>
    </row>
    <row r="625">
      <c r="A625" s="29" t="inlineStr">
        <is>
          <t>AU22825</t>
        </is>
      </c>
      <c r="B625" s="30" t="inlineStr">
        <is>
          <t>NSW-QLD</t>
        </is>
      </c>
      <c r="C625" s="30" t="inlineStr">
        <is>
          <t>IVFN2021</t>
        </is>
      </c>
      <c r="D625" s="30" t="inlineStr">
        <is>
          <t>Full time</t>
        </is>
      </c>
      <c r="E625" s="42">
        <f>VLOOKUP(A625,'[1]Virtus SAMPLE PositionHistorySa'!$A:$L,12,0)</f>
        <v/>
      </c>
      <c r="F625" s="31" t="inlineStr">
        <is>
          <t>3.25</t>
        </is>
      </c>
      <c r="G625" s="32">
        <f>VLOOKUP(A625,Sheet3!A:K,10,0)/38</f>
        <v/>
      </c>
      <c r="H625" s="32">
        <f>F625-G625</f>
        <v/>
      </c>
      <c r="I625" s="29" t="n"/>
    </row>
    <row r="626">
      <c r="A626" s="29" t="n">
        <v>270</v>
      </c>
      <c r="B626" s="30" t="inlineStr">
        <is>
          <t>VIC-TAS</t>
        </is>
      </c>
      <c r="C626" s="30" t="inlineStr">
        <is>
          <t>MIVFS2022</t>
        </is>
      </c>
      <c r="D626" s="30" t="inlineStr">
        <is>
          <t>Full time</t>
        </is>
      </c>
      <c r="E626" s="42">
        <f>VLOOKUP(A626,'[1]Virtus SAMPLE PositionHistorySa'!$A:$L,12,0)</f>
        <v/>
      </c>
      <c r="F626" s="31" t="inlineStr">
        <is>
          <t>29.03</t>
        </is>
      </c>
      <c r="G626" s="32">
        <f>VLOOKUP(A626,Sheet3!A:K,10,0)/38</f>
        <v/>
      </c>
      <c r="H626" s="32">
        <f>F626-G626</f>
        <v/>
      </c>
      <c r="I626" s="29" t="n"/>
    </row>
    <row r="627">
      <c r="A627" s="29" t="n">
        <v>20824</v>
      </c>
      <c r="B627" s="30" t="inlineStr">
        <is>
          <t>NSW-QLD</t>
        </is>
      </c>
      <c r="C627" s="30" t="inlineStr">
        <is>
          <t>IVFS2023</t>
        </is>
      </c>
      <c r="D627" s="30" t="inlineStr">
        <is>
          <t>Part time</t>
        </is>
      </c>
      <c r="E627" s="42">
        <f>VLOOKUP(A627,'[1]Virtus SAMPLE PositionHistorySa'!$A:$L,12,0)</f>
        <v/>
      </c>
      <c r="F627" s="31" t="inlineStr">
        <is>
          <t>4.11</t>
        </is>
      </c>
      <c r="G627" s="32" t="n"/>
      <c r="H627" s="32" t="n"/>
      <c r="I627" s="29" t="n"/>
    </row>
    <row r="628">
      <c r="A628" s="29" t="inlineStr">
        <is>
          <t>AU22713</t>
        </is>
      </c>
      <c r="B628" s="30" t="inlineStr">
        <is>
          <t>NSW-QLD</t>
        </is>
      </c>
      <c r="C628" s="30" t="inlineStr">
        <is>
          <t>IVFN2021</t>
        </is>
      </c>
      <c r="D628" s="30" t="inlineStr">
        <is>
          <t>Casual</t>
        </is>
      </c>
      <c r="E628" s="42">
        <f>VLOOKUP(A628,'[1]Virtus SAMPLE PositionHistorySa'!$A:$L,12,0)</f>
        <v/>
      </c>
      <c r="F628" s="31" t="inlineStr">
        <is>
          <t>2.38</t>
        </is>
      </c>
      <c r="G628" s="32" t="n"/>
      <c r="H628" s="32" t="n"/>
      <c r="I628" s="29" t="n"/>
    </row>
    <row r="629">
      <c r="A629" s="29" t="inlineStr">
        <is>
          <t>AU23056</t>
        </is>
      </c>
      <c r="B629" s="30" t="inlineStr">
        <is>
          <t>NSW-QLD</t>
        </is>
      </c>
      <c r="C629" s="30" t="inlineStr">
        <is>
          <t>IVFN2021</t>
        </is>
      </c>
      <c r="D629" s="30" t="inlineStr">
        <is>
          <t>Casual</t>
        </is>
      </c>
      <c r="E629" s="42">
        <f>VLOOKUP(A629,'[1]Virtus SAMPLE PositionHistorySa'!$A:$L,12,0)</f>
        <v/>
      </c>
      <c r="F629" s="31" t="inlineStr">
        <is>
          <t>1.52</t>
        </is>
      </c>
      <c r="G629" s="32" t="n"/>
      <c r="H629" s="32" t="n"/>
      <c r="I629" s="29" t="n"/>
    </row>
    <row r="630">
      <c r="A630" s="29" t="inlineStr">
        <is>
          <t>AU22730</t>
        </is>
      </c>
      <c r="B630" s="30" t="inlineStr">
        <is>
          <t>NSW-QLD</t>
        </is>
      </c>
      <c r="C630" s="30" t="inlineStr">
        <is>
          <t>IVFN2021</t>
        </is>
      </c>
      <c r="D630" s="30" t="inlineStr">
        <is>
          <t>Casual</t>
        </is>
      </c>
      <c r="E630" s="42">
        <f>VLOOKUP(A630,'[1]Virtus SAMPLE PositionHistorySa'!$A:$L,12,0)</f>
        <v/>
      </c>
      <c r="F630" s="31" t="inlineStr">
        <is>
          <t>2.38</t>
        </is>
      </c>
      <c r="G630" s="32" t="n"/>
      <c r="H630" s="32" t="n"/>
      <c r="I630" s="29" t="n"/>
    </row>
    <row r="631">
      <c r="A631" s="29" t="inlineStr">
        <is>
          <t>AU23455</t>
        </is>
      </c>
      <c r="B631" s="30" t="inlineStr">
        <is>
          <t>NSW-QLD</t>
        </is>
      </c>
      <c r="C631" s="30" t="inlineStr">
        <is>
          <t>VIC</t>
        </is>
      </c>
      <c r="D631" s="30" t="inlineStr">
        <is>
          <t>Full time</t>
        </is>
      </c>
      <c r="E631" s="42">
        <f>VLOOKUP(A631,'[1]Virtus SAMPLE PositionHistorySa'!$A:$L,12,0)</f>
        <v/>
      </c>
      <c r="F631" s="31" t="inlineStr">
        <is>
          <t>0.65</t>
        </is>
      </c>
      <c r="G631" s="32">
        <f>VLOOKUP(A631,Sheet3!A:K,10,0)/38</f>
        <v/>
      </c>
      <c r="H631" s="32">
        <f>F631-G631</f>
        <v/>
      </c>
      <c r="I631" s="29" t="n"/>
    </row>
    <row r="632">
      <c r="A632" s="29" t="n">
        <v>721</v>
      </c>
      <c r="B632" s="30" t="inlineStr">
        <is>
          <t>VIC-TAS</t>
        </is>
      </c>
      <c r="C632" s="30" t="inlineStr">
        <is>
          <t>MIVFN2023</t>
        </is>
      </c>
      <c r="D632" s="30" t="inlineStr">
        <is>
          <t>Part time</t>
        </is>
      </c>
      <c r="E632" s="42">
        <f>VLOOKUP(A632,'[1]Virtus SAMPLE PositionHistorySa'!$A:$L,12,0)</f>
        <v/>
      </c>
      <c r="F632" s="31" t="inlineStr">
        <is>
          <t>22.09</t>
        </is>
      </c>
      <c r="G632" s="32" t="n"/>
      <c r="H632" s="32" t="n"/>
      <c r="I632" s="29" t="n"/>
    </row>
    <row r="633">
      <c r="A633" s="29" t="inlineStr">
        <is>
          <t>AU21019</t>
        </is>
      </c>
      <c r="B633" s="30" t="inlineStr">
        <is>
          <t>VIC-TAS</t>
        </is>
      </c>
      <c r="C633" s="30" t="inlineStr">
        <is>
          <t>MIVFN2023</t>
        </is>
      </c>
      <c r="D633" s="30" t="inlineStr">
        <is>
          <t>Part time</t>
        </is>
      </c>
      <c r="E633" s="42">
        <f>VLOOKUP(A633,'[1]Virtus SAMPLE PositionHistorySa'!$A:$L,12,0)</f>
        <v/>
      </c>
      <c r="F633" s="31" t="inlineStr">
        <is>
          <t>42.88</t>
        </is>
      </c>
      <c r="G633" s="32" t="n"/>
      <c r="H633" s="32" t="n"/>
      <c r="I633" s="29" t="n"/>
    </row>
    <row r="634">
      <c r="A634" s="29" t="n">
        <v>1034</v>
      </c>
      <c r="B634" s="30" t="inlineStr">
        <is>
          <t>VIC-TAS</t>
        </is>
      </c>
      <c r="C634" s="30" t="inlineStr">
        <is>
          <t>MIVFS2022</t>
        </is>
      </c>
      <c r="D634" s="30" t="inlineStr">
        <is>
          <t>Full time</t>
        </is>
      </c>
      <c r="E634" s="42">
        <f>VLOOKUP(A634,'[1]Virtus SAMPLE PositionHistorySa'!$A:$L,12,0)</f>
        <v/>
      </c>
      <c r="F634" s="31" t="inlineStr">
        <is>
          <t>6.71</t>
        </is>
      </c>
      <c r="G634" s="32">
        <f>VLOOKUP(A634,Sheet3!A:K,10,0)/38</f>
        <v/>
      </c>
      <c r="H634" s="32">
        <f>F634-G634</f>
        <v/>
      </c>
      <c r="I634" s="29" t="n"/>
    </row>
    <row r="635">
      <c r="A635" s="29" t="inlineStr">
        <is>
          <t>AU23069</t>
        </is>
      </c>
      <c r="B635" s="30" t="inlineStr">
        <is>
          <t>VIC-TAS</t>
        </is>
      </c>
      <c r="C635" s="30" t="inlineStr">
        <is>
          <t>VIC</t>
        </is>
      </c>
      <c r="D635" s="30" t="inlineStr">
        <is>
          <t>Full time</t>
        </is>
      </c>
      <c r="E635" s="42">
        <f>VLOOKUP(A635,'[1]Virtus SAMPLE PositionHistorySa'!$A:$L,12,0)</f>
        <v/>
      </c>
      <c r="F635" s="31" t="inlineStr">
        <is>
          <t>1.51</t>
        </is>
      </c>
      <c r="G635" s="32">
        <f>VLOOKUP(A635,Sheet3!A:K,10,0)/38</f>
        <v/>
      </c>
      <c r="H635" s="32">
        <f>F635-G635</f>
        <v/>
      </c>
      <c r="I635" s="29" t="n"/>
    </row>
    <row r="636">
      <c r="A636" s="29" t="inlineStr">
        <is>
          <t>AU23037</t>
        </is>
      </c>
      <c r="B636" s="30" t="inlineStr">
        <is>
          <t>NSW-QLD</t>
        </is>
      </c>
      <c r="C636" s="30" t="inlineStr">
        <is>
          <t>IVFT2024</t>
        </is>
      </c>
      <c r="D636" s="30" t="inlineStr">
        <is>
          <t>Full time</t>
        </is>
      </c>
      <c r="E636" s="42">
        <f>VLOOKUP(A636,'[1]Virtus SAMPLE PositionHistorySa'!$A:$L,12,0)</f>
        <v/>
      </c>
      <c r="F636" s="31" t="inlineStr">
        <is>
          <t>1.51</t>
        </is>
      </c>
      <c r="G636" s="32">
        <f>VLOOKUP(A636,Sheet3!A:K,10,0)/38</f>
        <v/>
      </c>
      <c r="H636" s="32">
        <f>F636-G636</f>
        <v/>
      </c>
      <c r="I636" s="29" t="n"/>
    </row>
    <row r="637">
      <c r="A637" s="29" t="inlineStr">
        <is>
          <t>AU23062</t>
        </is>
      </c>
      <c r="B637" s="30" t="inlineStr">
        <is>
          <t>NSW-QLD</t>
        </is>
      </c>
      <c r="C637" s="30" t="inlineStr">
        <is>
          <t>IVFN2021</t>
        </is>
      </c>
      <c r="D637" s="30" t="inlineStr">
        <is>
          <t>Full time</t>
        </is>
      </c>
      <c r="E637" s="42">
        <f>VLOOKUP(A637,'[1]Virtus SAMPLE PositionHistorySa'!$A:$L,12,0)</f>
        <v/>
      </c>
      <c r="F637" s="31" t="inlineStr">
        <is>
          <t>1.51</t>
        </is>
      </c>
      <c r="G637" s="32">
        <f>VLOOKUP(A637,Sheet3!A:K,10,0)/38</f>
        <v/>
      </c>
      <c r="H637" s="32">
        <f>F637-G637</f>
        <v/>
      </c>
      <c r="I637" s="29" t="n"/>
    </row>
    <row r="638">
      <c r="A638" s="29" t="inlineStr">
        <is>
          <t>AU23043</t>
        </is>
      </c>
      <c r="B638" s="30" t="inlineStr">
        <is>
          <t>NSW-QLD</t>
        </is>
      </c>
      <c r="C638" s="30" t="inlineStr">
        <is>
          <t>IVFT2024</t>
        </is>
      </c>
      <c r="D638" s="30" t="inlineStr">
        <is>
          <t>Full time</t>
        </is>
      </c>
      <c r="E638" s="42">
        <f>VLOOKUP(A638,'[1]Virtus SAMPLE PositionHistorySa'!$A:$L,12,0)</f>
        <v/>
      </c>
      <c r="F638" s="31" t="inlineStr">
        <is>
          <t>1.51</t>
        </is>
      </c>
      <c r="G638" s="32">
        <f>VLOOKUP(A638,Sheet3!A:K,10,0)/38</f>
        <v/>
      </c>
      <c r="H638" s="32">
        <f>F638-G638</f>
        <v/>
      </c>
      <c r="I638" s="29" t="n"/>
    </row>
    <row r="639">
      <c r="A639" s="29" t="n">
        <v>124</v>
      </c>
      <c r="B639" s="30" t="inlineStr">
        <is>
          <t>VIC-TAS</t>
        </is>
      </c>
      <c r="C639" s="30" t="inlineStr">
        <is>
          <t>MIVFS2022</t>
        </is>
      </c>
      <c r="D639" s="30" t="inlineStr">
        <is>
          <t>Part time</t>
        </is>
      </c>
      <c r="E639" s="42">
        <f>VLOOKUP(A639,'[1]Virtus SAMPLE PositionHistorySa'!$A:$L,12,0)</f>
        <v/>
      </c>
      <c r="F639" s="31" t="inlineStr">
        <is>
          <t>34.21</t>
        </is>
      </c>
      <c r="G639" s="32" t="n"/>
      <c r="H639" s="32" t="n"/>
      <c r="I639" s="29" t="n"/>
    </row>
    <row r="640">
      <c r="A640" s="29" t="inlineStr">
        <is>
          <t>AU22716</t>
        </is>
      </c>
      <c r="B640" s="30" t="inlineStr">
        <is>
          <t>VIC-TAS</t>
        </is>
      </c>
      <c r="C640" s="30" t="inlineStr">
        <is>
          <t>VIC</t>
        </is>
      </c>
      <c r="D640" s="30" t="inlineStr">
        <is>
          <t>Full time</t>
        </is>
      </c>
      <c r="E640" s="42">
        <f>VLOOKUP(A640,'[1]Virtus SAMPLE PositionHistorySa'!$A:$L,12,0)</f>
        <v/>
      </c>
      <c r="F640" s="31" t="inlineStr">
        <is>
          <t>2.37</t>
        </is>
      </c>
      <c r="G640" s="32">
        <f>VLOOKUP(A640,Sheet3!A:K,10,0)/38</f>
        <v/>
      </c>
      <c r="H640" s="32">
        <f>F640-G640</f>
        <v/>
      </c>
      <c r="I640" s="29" t="n"/>
    </row>
    <row r="641">
      <c r="A641" s="29" t="inlineStr">
        <is>
          <t>AU22709</t>
        </is>
      </c>
      <c r="B641" s="30" t="inlineStr">
        <is>
          <t>VIC-TAS</t>
        </is>
      </c>
      <c r="C641" s="30" t="inlineStr">
        <is>
          <t>MIVFN2023</t>
        </is>
      </c>
      <c r="D641" s="30" t="inlineStr">
        <is>
          <t>Full time</t>
        </is>
      </c>
      <c r="E641" s="42">
        <f>VLOOKUP(A641,'[1]Virtus SAMPLE PositionHistorySa'!$A:$L,12,0)</f>
        <v/>
      </c>
      <c r="F641" s="31" t="inlineStr">
        <is>
          <t>2.37</t>
        </is>
      </c>
      <c r="G641" s="32">
        <f>VLOOKUP(A641,Sheet3!A:K,10,0)/38</f>
        <v/>
      </c>
      <c r="H641" s="32">
        <f>F641-G641</f>
        <v/>
      </c>
      <c r="I641" s="29" t="n"/>
    </row>
    <row r="642">
      <c r="A642" s="29" t="inlineStr">
        <is>
          <t>AU22715</t>
        </is>
      </c>
      <c r="B642" s="30" t="inlineStr">
        <is>
          <t>NSW-QLD</t>
        </is>
      </c>
      <c r="C642" s="30" t="inlineStr">
        <is>
          <t>IVFN2021</t>
        </is>
      </c>
      <c r="D642" s="30" t="inlineStr">
        <is>
          <t>Part time</t>
        </is>
      </c>
      <c r="E642" s="42">
        <f>VLOOKUP(A642,'[1]Virtus SAMPLE PositionHistorySa'!$A:$L,12,0)</f>
        <v/>
      </c>
      <c r="F642" s="31" t="inlineStr">
        <is>
          <t>2.37</t>
        </is>
      </c>
      <c r="G642" s="32" t="n"/>
      <c r="H642" s="32" t="n"/>
      <c r="I642" s="29" t="n"/>
    </row>
    <row r="643">
      <c r="A643" s="29" t="inlineStr">
        <is>
          <t>AU23027</t>
        </is>
      </c>
      <c r="B643" s="30" t="inlineStr">
        <is>
          <t>NSW-QLD</t>
        </is>
      </c>
      <c r="C643" s="30" t="inlineStr">
        <is>
          <t>IVFT2024</t>
        </is>
      </c>
      <c r="D643" s="30" t="inlineStr">
        <is>
          <t>Full time</t>
        </is>
      </c>
      <c r="E643" s="42">
        <f>VLOOKUP(A643,'[1]Virtus SAMPLE PositionHistorySa'!$A:$L,12,0)</f>
        <v/>
      </c>
      <c r="F643" s="31" t="inlineStr">
        <is>
          <t>1.51</t>
        </is>
      </c>
      <c r="G643" s="32">
        <f>VLOOKUP(A643,Sheet3!A:K,10,0)/38</f>
        <v/>
      </c>
      <c r="H643" s="32">
        <f>F643-G643</f>
        <v/>
      </c>
      <c r="I643" s="29" t="n"/>
    </row>
    <row r="644">
      <c r="A644" s="29" t="inlineStr">
        <is>
          <t>AU23067</t>
        </is>
      </c>
      <c r="B644" s="30" t="inlineStr">
        <is>
          <t>NSW-QLD</t>
        </is>
      </c>
      <c r="C644" s="30" t="inlineStr">
        <is>
          <t>IVFT2024</t>
        </is>
      </c>
      <c r="D644" s="30" t="inlineStr">
        <is>
          <t>Full time</t>
        </is>
      </c>
      <c r="E644" s="42">
        <f>VLOOKUP(A644,'[1]Virtus SAMPLE PositionHistorySa'!$A:$L,12,0)</f>
        <v/>
      </c>
      <c r="F644" s="31" t="inlineStr">
        <is>
          <t>1.51</t>
        </is>
      </c>
      <c r="G644" s="32">
        <f>VLOOKUP(A644,Sheet3!A:K,10,0)/38</f>
        <v/>
      </c>
      <c r="H644" s="32">
        <f>F644-G644</f>
        <v/>
      </c>
      <c r="I644" s="29" t="n"/>
    </row>
    <row r="645">
      <c r="A645" s="29" t="inlineStr">
        <is>
          <t>AU23492</t>
        </is>
      </c>
      <c r="B645" s="30" t="inlineStr">
        <is>
          <t>NSW-QLD</t>
        </is>
      </c>
      <c r="C645" s="30" t="inlineStr">
        <is>
          <t>VIC</t>
        </is>
      </c>
      <c r="D645" s="30" t="inlineStr">
        <is>
          <t>Full time</t>
        </is>
      </c>
      <c r="E645" s="42">
        <f>VLOOKUP(A645,'[1]Virtus SAMPLE PositionHistorySa'!$A:$L,12,0)</f>
        <v/>
      </c>
      <c r="F645" s="31" t="inlineStr">
        <is>
          <t>0.64</t>
        </is>
      </c>
      <c r="G645" s="32">
        <f>VLOOKUP(A645,Sheet3!A:K,10,0)/38</f>
        <v/>
      </c>
      <c r="H645" s="32">
        <f>F645-G645</f>
        <v/>
      </c>
      <c r="I645" s="29" t="n"/>
    </row>
    <row r="646">
      <c r="A646" s="29" t="n">
        <v>722</v>
      </c>
      <c r="B646" s="30" t="inlineStr">
        <is>
          <t>VIC-TAS</t>
        </is>
      </c>
      <c r="C646" s="30" t="inlineStr">
        <is>
          <t>MIVFS2022</t>
        </is>
      </c>
      <c r="D646" s="30" t="inlineStr">
        <is>
          <t>Part time</t>
        </is>
      </c>
      <c r="E646" s="42">
        <f>VLOOKUP(A646,'[1]Virtus SAMPLE PositionHistorySa'!$A:$L,12,0)</f>
        <v/>
      </c>
      <c r="F646" s="31" t="inlineStr">
        <is>
          <t>22.07</t>
        </is>
      </c>
      <c r="G646" s="32" t="n"/>
      <c r="H646" s="32" t="n"/>
      <c r="I646" s="29" t="n"/>
    </row>
    <row r="647">
      <c r="A647" s="29" t="n">
        <v>19050</v>
      </c>
      <c r="B647" s="30" t="inlineStr">
        <is>
          <t>NSW-QLD</t>
        </is>
      </c>
      <c r="C647" s="30" t="inlineStr">
        <is>
          <t>VIC</t>
        </is>
      </c>
      <c r="D647" s="30" t="inlineStr">
        <is>
          <t>Full time</t>
        </is>
      </c>
      <c r="E647" s="42">
        <f>VLOOKUP(A647,'[1]Virtus SAMPLE PositionHistorySa'!$A:$L,12,0)</f>
        <v/>
      </c>
      <c r="F647" s="31" t="inlineStr">
        <is>
          <t>3.24</t>
        </is>
      </c>
      <c r="G647" s="32">
        <f>VLOOKUP(A647,Sheet3!A:K,10,0)/38</f>
        <v/>
      </c>
      <c r="H647" s="32">
        <f>F647-G647</f>
        <v/>
      </c>
      <c r="I647" s="29" t="n"/>
    </row>
    <row r="648">
      <c r="A648" s="29" t="n">
        <v>80204</v>
      </c>
      <c r="B648" s="30" t="inlineStr">
        <is>
          <t>NSW-QLD</t>
        </is>
      </c>
      <c r="C648" s="30" t="inlineStr">
        <is>
          <t>QS2024</t>
        </is>
      </c>
      <c r="D648" s="30" t="inlineStr">
        <is>
          <t>Part time</t>
        </is>
      </c>
      <c r="E648" s="42">
        <f>VLOOKUP(A648,'[1]Virtus SAMPLE PositionHistorySa'!$A:$L,12,0)</f>
        <v/>
      </c>
      <c r="F648" s="31" t="inlineStr">
        <is>
          <t>8.44</t>
        </is>
      </c>
      <c r="G648" s="32" t="n"/>
      <c r="H648" s="32" t="n"/>
      <c r="I648" s="29" t="n"/>
    </row>
    <row r="649">
      <c r="A649" s="29" t="n">
        <v>80047</v>
      </c>
      <c r="B649" s="30" t="inlineStr">
        <is>
          <t>NSW-QLD</t>
        </is>
      </c>
      <c r="C649" s="30" t="inlineStr">
        <is>
          <t>QS2024</t>
        </is>
      </c>
      <c r="D649" s="30" t="inlineStr">
        <is>
          <t>Part time</t>
        </is>
      </c>
      <c r="E649" s="42">
        <f>VLOOKUP(A649,'[1]Virtus SAMPLE PositionHistorySa'!$A:$L,12,0)</f>
        <v/>
      </c>
      <c r="F649" s="31" t="inlineStr">
        <is>
          <t>22.58</t>
        </is>
      </c>
      <c r="G649" s="32" t="n"/>
      <c r="H649" s="32" t="n"/>
      <c r="I649" s="29" t="n"/>
    </row>
    <row r="650">
      <c r="A650" s="29" t="n">
        <v>1248</v>
      </c>
      <c r="B650" s="30" t="inlineStr">
        <is>
          <t>VIC-TAS</t>
        </is>
      </c>
      <c r="C650" s="30" t="inlineStr">
        <is>
          <t>MIVFN2023</t>
        </is>
      </c>
      <c r="D650" s="30" t="inlineStr">
        <is>
          <t>Full time</t>
        </is>
      </c>
      <c r="E650" s="42">
        <f>VLOOKUP(A650,'[1]Virtus SAMPLE PositionHistorySa'!$A:$L,12,0)</f>
        <v/>
      </c>
      <c r="F650" s="31" t="inlineStr">
        <is>
          <t>4.10</t>
        </is>
      </c>
      <c r="G650" s="32">
        <f>VLOOKUP(A650,Sheet3!A:K,10,0)/38</f>
        <v/>
      </c>
      <c r="H650" s="32">
        <f>F650-G650</f>
        <v/>
      </c>
      <c r="I650" s="29" t="n"/>
    </row>
    <row r="651">
      <c r="A651" s="29" t="inlineStr">
        <is>
          <t>AU23479</t>
        </is>
      </c>
      <c r="B651" s="30" t="inlineStr">
        <is>
          <t>NSW-QLD</t>
        </is>
      </c>
      <c r="C651" s="30" t="inlineStr">
        <is>
          <t>IVFS2023</t>
        </is>
      </c>
      <c r="D651" s="30" t="inlineStr">
        <is>
          <t>Full time</t>
        </is>
      </c>
      <c r="E651" s="42">
        <f>VLOOKUP(A651,'[1]Virtus SAMPLE PositionHistorySa'!$A:$L,12,0)</f>
        <v/>
      </c>
      <c r="F651" s="31" t="inlineStr">
        <is>
          <t>0.63</t>
        </is>
      </c>
      <c r="G651" s="32">
        <f>VLOOKUP(A651,Sheet3!A:K,10,0)/38</f>
        <v/>
      </c>
      <c r="H651" s="32">
        <f>F651-G651</f>
        <v/>
      </c>
      <c r="I651" s="29" t="n"/>
    </row>
    <row r="652">
      <c r="A652" s="29" t="inlineStr">
        <is>
          <t>AU23498</t>
        </is>
      </c>
      <c r="B652" s="30" t="inlineStr">
        <is>
          <t>NSW-QLD</t>
        </is>
      </c>
      <c r="C652" s="30" t="inlineStr">
        <is>
          <t>QS2024</t>
        </is>
      </c>
      <c r="D652" s="30">
        <f>VLOOKUP(A652,Sheet3!A:E,5,0)</f>
        <v/>
      </c>
      <c r="E652" s="42">
        <f>VLOOKUP(A652,'[1]Virtus SAMPLE PositionHistorySa'!$A:$L,12,0)</f>
        <v/>
      </c>
      <c r="F652" s="31" t="inlineStr">
        <is>
          <t>0.63</t>
        </is>
      </c>
      <c r="G652" s="32" t="n"/>
      <c r="H652" s="32" t="n"/>
      <c r="I652" s="29" t="n"/>
    </row>
    <row r="653">
      <c r="A653" s="29" t="inlineStr">
        <is>
          <t>AU23518</t>
        </is>
      </c>
      <c r="B653" s="30" t="inlineStr">
        <is>
          <t>NSW-QLD</t>
        </is>
      </c>
      <c r="C653" s="30" t="inlineStr">
        <is>
          <t>IVFN2021</t>
        </is>
      </c>
      <c r="D653" s="30" t="inlineStr">
        <is>
          <t>Part time</t>
        </is>
      </c>
      <c r="E653" s="42">
        <f>VLOOKUP(A653,'[1]Virtus SAMPLE PositionHistorySa'!$A:$L,12,0)</f>
        <v/>
      </c>
      <c r="F653" s="31" t="inlineStr">
        <is>
          <t>0.63</t>
        </is>
      </c>
      <c r="G653" s="32" t="n"/>
      <c r="H653" s="32" t="n"/>
      <c r="I653" s="29" t="n"/>
    </row>
    <row r="654">
      <c r="A654" s="29" t="n">
        <v>801</v>
      </c>
      <c r="B654" s="30" t="inlineStr">
        <is>
          <t>VIC-TAS</t>
        </is>
      </c>
      <c r="C654" s="30" t="inlineStr">
        <is>
          <t>MIVFC2021</t>
        </is>
      </c>
      <c r="D654" s="30" t="inlineStr">
        <is>
          <t>Part time</t>
        </is>
      </c>
      <c r="E654" s="42">
        <f>VLOOKUP(A654,'[1]Virtus SAMPLE PositionHistorySa'!$A:$L,12,0)</f>
        <v/>
      </c>
      <c r="F654" s="31" t="inlineStr">
        <is>
          <t>20.32</t>
        </is>
      </c>
      <c r="G654" s="32" t="n"/>
      <c r="H654" s="32" t="n"/>
      <c r="I654" s="29" t="n"/>
    </row>
    <row r="655">
      <c r="A655" s="29" t="n">
        <v>802</v>
      </c>
      <c r="B655" s="30" t="inlineStr">
        <is>
          <t>VIC-TAS</t>
        </is>
      </c>
      <c r="C655" s="30" t="inlineStr">
        <is>
          <t>MIVFC2021</t>
        </is>
      </c>
      <c r="D655" s="30" t="inlineStr">
        <is>
          <t>Part time</t>
        </is>
      </c>
      <c r="E655" s="42">
        <f>VLOOKUP(A655,'[1]Virtus SAMPLE PositionHistorySa'!$A:$L,12,0)</f>
        <v/>
      </c>
      <c r="F655" s="31" t="inlineStr">
        <is>
          <t>20.32</t>
        </is>
      </c>
      <c r="G655" s="32" t="n"/>
      <c r="H655" s="32" t="n"/>
      <c r="I655" s="29" t="n"/>
    </row>
    <row r="656">
      <c r="A656" s="29" t="inlineStr">
        <is>
          <t>AU23501</t>
        </is>
      </c>
      <c r="B656" s="30" t="inlineStr">
        <is>
          <t>NSW-QLD</t>
        </is>
      </c>
      <c r="C656" s="30" t="inlineStr">
        <is>
          <t>IVFS2023</t>
        </is>
      </c>
      <c r="D656" s="30" t="inlineStr">
        <is>
          <t>Full time</t>
        </is>
      </c>
      <c r="E656" s="42">
        <f>VLOOKUP(A656,'[1]Virtus SAMPLE PositionHistorySa'!$A:$L,12,0)</f>
        <v/>
      </c>
      <c r="F656" s="31" t="inlineStr">
        <is>
          <t>0.63</t>
        </is>
      </c>
      <c r="G656" s="32">
        <f>VLOOKUP(A656,Sheet3!A:K,10,0)/38</f>
        <v/>
      </c>
      <c r="H656" s="32">
        <f>F656-G656</f>
        <v/>
      </c>
      <c r="I656" s="29" t="n"/>
    </row>
    <row r="657">
      <c r="A657" s="29" t="inlineStr">
        <is>
          <t>AU23488</t>
        </is>
      </c>
      <c r="B657" s="30" t="inlineStr">
        <is>
          <t>NSW-QLD</t>
        </is>
      </c>
      <c r="C657" s="30" t="inlineStr">
        <is>
          <t>QLD</t>
        </is>
      </c>
      <c r="D657" s="30" t="inlineStr">
        <is>
          <t>Full time</t>
        </is>
      </c>
      <c r="E657" s="42">
        <f>VLOOKUP(A657,'[1]Virtus SAMPLE PositionHistorySa'!$A:$L,12,0)</f>
        <v/>
      </c>
      <c r="F657" s="31" t="inlineStr">
        <is>
          <t>0.63</t>
        </is>
      </c>
      <c r="G657" s="32">
        <f>VLOOKUP(A657,Sheet3!A:K,10,0)/38</f>
        <v/>
      </c>
      <c r="H657" s="32">
        <f>F657-G657</f>
        <v/>
      </c>
      <c r="I657" s="29" t="n"/>
    </row>
    <row r="658">
      <c r="A658" s="29" t="inlineStr">
        <is>
          <t>AU23484</t>
        </is>
      </c>
      <c r="B658" s="30" t="inlineStr">
        <is>
          <t>NSW-QLD</t>
        </is>
      </c>
      <c r="C658" s="30" t="inlineStr">
        <is>
          <t>IVFS2023</t>
        </is>
      </c>
      <c r="D658" s="30" t="inlineStr">
        <is>
          <t>Full time</t>
        </is>
      </c>
      <c r="E658" s="42">
        <f>VLOOKUP(A658,'[1]Virtus SAMPLE PositionHistorySa'!$A:$L,12,0)</f>
        <v/>
      </c>
      <c r="F658" s="31" t="inlineStr">
        <is>
          <t>0.63</t>
        </is>
      </c>
      <c r="G658" s="32">
        <f>VLOOKUP(A658,Sheet3!A:K,10,0)/38</f>
        <v/>
      </c>
      <c r="H658" s="32">
        <f>F658-G658</f>
        <v/>
      </c>
      <c r="I658" s="29" t="n"/>
    </row>
    <row r="659">
      <c r="A659" s="29" t="inlineStr">
        <is>
          <t>AU23485</t>
        </is>
      </c>
      <c r="B659" s="30" t="inlineStr">
        <is>
          <t>NSW-QLD</t>
        </is>
      </c>
      <c r="C659" s="30" t="inlineStr">
        <is>
          <t>IVFS2023</t>
        </is>
      </c>
      <c r="D659" s="30" t="inlineStr">
        <is>
          <t>Casual</t>
        </is>
      </c>
      <c r="E659" s="42">
        <f>VLOOKUP(A659,'[1]Virtus SAMPLE PositionHistorySa'!$A:$L,12,0)</f>
        <v/>
      </c>
      <c r="F659" s="31" t="inlineStr">
        <is>
          <t>0.63</t>
        </is>
      </c>
      <c r="G659" s="32" t="n"/>
      <c r="H659" s="32" t="n"/>
      <c r="I659" s="29" t="n"/>
    </row>
    <row r="660">
      <c r="A660" s="29" t="inlineStr">
        <is>
          <t>AU23486</t>
        </is>
      </c>
      <c r="B660" s="30" t="inlineStr">
        <is>
          <t>NSW-QLD</t>
        </is>
      </c>
      <c r="C660" s="30" t="inlineStr">
        <is>
          <t>IVFS2023</t>
        </is>
      </c>
      <c r="D660" s="30" t="inlineStr">
        <is>
          <t>Part time</t>
        </is>
      </c>
      <c r="E660" s="42">
        <f>VLOOKUP(A660,'[1]Virtus SAMPLE PositionHistorySa'!$A:$L,12,0)</f>
        <v/>
      </c>
      <c r="F660" s="31" t="inlineStr">
        <is>
          <t>0.63</t>
        </is>
      </c>
      <c r="G660" s="32" t="n"/>
      <c r="H660" s="32" t="n"/>
      <c r="I660" s="29" t="n"/>
    </row>
    <row r="661">
      <c r="A661" s="29" t="inlineStr">
        <is>
          <t>AU23496</t>
        </is>
      </c>
      <c r="B661" s="30" t="inlineStr">
        <is>
          <t>NSW-QLD</t>
        </is>
      </c>
      <c r="C661" s="30" t="inlineStr">
        <is>
          <t>IVFN2021</t>
        </is>
      </c>
      <c r="D661" s="30">
        <f>VLOOKUP(A661,Sheet3!A:E,5,0)</f>
        <v/>
      </c>
      <c r="E661" s="42">
        <f>VLOOKUP(A661,'[1]Virtus SAMPLE PositionHistorySa'!$A:$L,12,0)</f>
        <v/>
      </c>
      <c r="F661" s="31" t="inlineStr">
        <is>
          <t>0.63</t>
        </is>
      </c>
      <c r="G661" s="32" t="n"/>
      <c r="H661" s="32" t="n"/>
      <c r="I661" s="29" t="n"/>
    </row>
    <row r="662">
      <c r="A662" s="29" t="n">
        <v>50191</v>
      </c>
      <c r="B662" s="30" t="inlineStr">
        <is>
          <t>NSW-QLD</t>
        </is>
      </c>
      <c r="C662" s="30" t="inlineStr">
        <is>
          <t>IVFN2021</t>
        </is>
      </c>
      <c r="D662" s="30" t="inlineStr">
        <is>
          <t>Part time</t>
        </is>
      </c>
      <c r="E662" s="42">
        <f>VLOOKUP(A662,'[1]Virtus SAMPLE PositionHistorySa'!$A:$L,12,0)</f>
        <v/>
      </c>
      <c r="F662" s="31" t="inlineStr">
        <is>
          <t>4.09</t>
        </is>
      </c>
      <c r="G662" s="32" t="n"/>
      <c r="H662" s="32" t="n"/>
      <c r="I662" s="29" t="n"/>
    </row>
    <row r="663">
      <c r="A663" s="29" t="inlineStr">
        <is>
          <t>AU23053</t>
        </is>
      </c>
      <c r="B663" s="30" t="inlineStr">
        <is>
          <t>NSW-QLD</t>
        </is>
      </c>
      <c r="C663" s="30" t="inlineStr">
        <is>
          <t>IVFS2023</t>
        </is>
      </c>
      <c r="D663" s="30" t="inlineStr">
        <is>
          <t>Full time</t>
        </is>
      </c>
      <c r="E663" s="42">
        <f>VLOOKUP(A663,'[1]Virtus SAMPLE PositionHistorySa'!$A:$L,12,0)</f>
        <v/>
      </c>
      <c r="F663" s="31" t="inlineStr">
        <is>
          <t>1.49</t>
        </is>
      </c>
      <c r="G663" s="32">
        <f>VLOOKUP(A663,Sheet3!A:K,10,0)/38</f>
        <v/>
      </c>
      <c r="H663" s="32">
        <f>F663-G663</f>
        <v/>
      </c>
      <c r="I663" s="29" t="n"/>
    </row>
    <row r="664">
      <c r="A664" s="29" t="inlineStr">
        <is>
          <t>AU23063</t>
        </is>
      </c>
      <c r="B664" s="30" t="inlineStr">
        <is>
          <t>NSW-QLD</t>
        </is>
      </c>
      <c r="C664" s="30" t="inlineStr">
        <is>
          <t>QN2025</t>
        </is>
      </c>
      <c r="D664" s="30" t="inlineStr">
        <is>
          <t>Part time</t>
        </is>
      </c>
      <c r="E664" s="42">
        <f>VLOOKUP(A664,'[1]Virtus SAMPLE PositionHistorySa'!$A:$L,12,0)</f>
        <v/>
      </c>
      <c r="F664" s="31" t="inlineStr">
        <is>
          <t>2.24</t>
        </is>
      </c>
      <c r="G664" s="32" t="n"/>
      <c r="H664" s="32" t="n"/>
      <c r="I664" s="29" t="n"/>
    </row>
    <row r="665">
      <c r="A665" s="29" t="inlineStr">
        <is>
          <t>AU23071</t>
        </is>
      </c>
      <c r="B665" s="30" t="inlineStr">
        <is>
          <t>VIC-TAS</t>
        </is>
      </c>
      <c r="C665" s="30" t="inlineStr">
        <is>
          <t>MIVFN2023</t>
        </is>
      </c>
      <c r="D665" s="30" t="inlineStr">
        <is>
          <t>Part time</t>
        </is>
      </c>
      <c r="E665" s="42">
        <f>VLOOKUP(A665,'[1]Virtus SAMPLE PositionHistorySa'!$A:$L,12,0)</f>
        <v/>
      </c>
      <c r="F665" s="31" t="inlineStr">
        <is>
          <t>1.49</t>
        </is>
      </c>
      <c r="G665" s="32" t="n"/>
      <c r="H665" s="32" t="n"/>
      <c r="I665" s="29" t="n"/>
    </row>
    <row r="666">
      <c r="A666" s="29" t="inlineStr">
        <is>
          <t>AU23081</t>
        </is>
      </c>
      <c r="B666" s="30" t="inlineStr">
        <is>
          <t>NSW-QLD</t>
        </is>
      </c>
      <c r="C666" s="30" t="inlineStr">
        <is>
          <t>QN2025</t>
        </is>
      </c>
      <c r="D666" s="30" t="inlineStr">
        <is>
          <t>Part time</t>
        </is>
      </c>
      <c r="E666" s="42">
        <f>VLOOKUP(A666,'[1]Virtus SAMPLE PositionHistorySa'!$A:$L,12,0)</f>
        <v/>
      </c>
      <c r="F666" s="31" t="inlineStr">
        <is>
          <t>2.24</t>
        </is>
      </c>
      <c r="G666" s="32" t="n"/>
      <c r="H666" s="32" t="n"/>
      <c r="I666" s="29" t="n"/>
    </row>
    <row r="667">
      <c r="A667" s="29" t="inlineStr">
        <is>
          <t>AU22712</t>
        </is>
      </c>
      <c r="B667" s="30" t="inlineStr">
        <is>
          <t>VIC-TAS</t>
        </is>
      </c>
      <c r="C667" s="30" t="inlineStr">
        <is>
          <t>MIVFS2022</t>
        </is>
      </c>
      <c r="D667" s="30" t="inlineStr">
        <is>
          <t>Part time</t>
        </is>
      </c>
      <c r="E667" s="42">
        <f>VLOOKUP(A667,'[1]Virtus SAMPLE PositionHistorySa'!$A:$L,12,0)</f>
        <v/>
      </c>
      <c r="F667" s="31" t="inlineStr">
        <is>
          <t>2.36</t>
        </is>
      </c>
      <c r="G667" s="32" t="n"/>
      <c r="H667" s="32" t="n"/>
      <c r="I667" s="29" t="n"/>
    </row>
    <row r="668">
      <c r="A668" s="29" t="inlineStr">
        <is>
          <t>AU22718</t>
        </is>
      </c>
      <c r="B668" s="30" t="inlineStr">
        <is>
          <t>VIC-TAS</t>
        </is>
      </c>
      <c r="C668" s="30" t="inlineStr">
        <is>
          <t>MIVFN2023</t>
        </is>
      </c>
      <c r="D668" s="30" t="inlineStr">
        <is>
          <t>Part time</t>
        </is>
      </c>
      <c r="E668" s="42">
        <f>VLOOKUP(A668,'[1]Virtus SAMPLE PositionHistorySa'!$A:$L,12,0)</f>
        <v/>
      </c>
      <c r="F668" s="31" t="inlineStr">
        <is>
          <t>2.36</t>
        </is>
      </c>
      <c r="G668" s="32" t="n"/>
      <c r="H668" s="32" t="n"/>
      <c r="I668" s="29" t="n"/>
    </row>
    <row r="669">
      <c r="A669" s="29" t="inlineStr">
        <is>
          <t>AU23076</t>
        </is>
      </c>
      <c r="B669" s="30" t="inlineStr">
        <is>
          <t>NSW-QLD</t>
        </is>
      </c>
      <c r="C669" s="30" t="inlineStr">
        <is>
          <t>IVFC2022</t>
        </is>
      </c>
      <c r="D669" s="30" t="inlineStr">
        <is>
          <t>Part time</t>
        </is>
      </c>
      <c r="E669" s="42">
        <f>VLOOKUP(A669,'[1]Virtus SAMPLE PositionHistorySa'!$A:$L,12,0)</f>
        <v/>
      </c>
      <c r="F669" s="31" t="inlineStr">
        <is>
          <t>1.49</t>
        </is>
      </c>
      <c r="G669" s="32" t="n"/>
      <c r="H669" s="32" t="n"/>
      <c r="I669" s="29" t="n"/>
    </row>
    <row r="670">
      <c r="A670" s="29" t="inlineStr">
        <is>
          <t>AU23082</t>
        </is>
      </c>
      <c r="B670" s="30" t="inlineStr">
        <is>
          <t>VIC-TAS</t>
        </is>
      </c>
      <c r="C670" s="30" t="inlineStr">
        <is>
          <t>MIVFS2022</t>
        </is>
      </c>
      <c r="D670" s="30" t="inlineStr">
        <is>
          <t>Part time</t>
        </is>
      </c>
      <c r="E670" s="42">
        <f>VLOOKUP(A670,'[1]Virtus SAMPLE PositionHistorySa'!$A:$L,12,0)</f>
        <v/>
      </c>
      <c r="F670" s="31" t="inlineStr">
        <is>
          <t>1.49</t>
        </is>
      </c>
      <c r="G670" s="32" t="n"/>
      <c r="H670" s="32" t="n"/>
      <c r="I670" s="29" t="n"/>
    </row>
    <row r="671">
      <c r="A671" s="29" t="n">
        <v>80068</v>
      </c>
      <c r="B671" s="30" t="inlineStr">
        <is>
          <t>NSW-QLD</t>
        </is>
      </c>
      <c r="C671" s="30" t="inlineStr">
        <is>
          <t>QN2025</t>
        </is>
      </c>
      <c r="D671" s="30" t="inlineStr">
        <is>
          <t>Part time</t>
        </is>
      </c>
      <c r="E671" s="42">
        <f>VLOOKUP(A671,'[1]Virtus SAMPLE PositionHistorySa'!$A:$L,12,0)</f>
        <v/>
      </c>
      <c r="F671" s="31" t="inlineStr">
        <is>
          <t>7.16</t>
        </is>
      </c>
      <c r="G671" s="32" t="n"/>
      <c r="H671" s="32" t="n"/>
      <c r="I671" s="29" t="n"/>
    </row>
    <row r="672">
      <c r="A672" s="29" t="n">
        <v>20905</v>
      </c>
      <c r="B672" s="30" t="inlineStr">
        <is>
          <t>NSW-QLD</t>
        </is>
      </c>
      <c r="C672" s="30" t="inlineStr">
        <is>
          <t>IVFS2023</t>
        </is>
      </c>
      <c r="D672" s="30" t="inlineStr">
        <is>
          <t>Full time</t>
        </is>
      </c>
      <c r="E672" s="42">
        <f>VLOOKUP(A672,'[1]Virtus SAMPLE PositionHistorySa'!$A:$L,12,0)</f>
        <v/>
      </c>
      <c r="F672" s="31" t="inlineStr">
        <is>
          <t>3.22</t>
        </is>
      </c>
      <c r="G672" s="32">
        <f>VLOOKUP(A672,Sheet3!A:K,10,0)/38</f>
        <v/>
      </c>
      <c r="H672" s="32">
        <f>F672-G672</f>
        <v/>
      </c>
      <c r="I672" s="29" t="n"/>
    </row>
    <row r="673">
      <c r="A673" s="29" t="inlineStr">
        <is>
          <t>AU23075</t>
        </is>
      </c>
      <c r="B673" s="30" t="inlineStr">
        <is>
          <t>NSW-QLD</t>
        </is>
      </c>
      <c r="C673" s="30" t="inlineStr">
        <is>
          <t>VIC</t>
        </is>
      </c>
      <c r="D673" s="30" t="inlineStr">
        <is>
          <t>Full time</t>
        </is>
      </c>
      <c r="E673" s="42">
        <f>VLOOKUP(A673,'[1]Virtus SAMPLE PositionHistorySa'!$A:$L,12,0)</f>
        <v/>
      </c>
      <c r="F673" s="31" t="inlineStr">
        <is>
          <t>1.49</t>
        </is>
      </c>
      <c r="G673" s="32">
        <f>VLOOKUP(A673,Sheet3!A:K,10,0)/38</f>
        <v/>
      </c>
      <c r="H673" s="32">
        <f>F673-G673</f>
        <v/>
      </c>
      <c r="I673" s="29" t="n"/>
    </row>
    <row r="674">
      <c r="A674" s="29" t="inlineStr">
        <is>
          <t>AU23879</t>
        </is>
      </c>
      <c r="B674" s="30" t="inlineStr">
        <is>
          <t>VIC-TAS</t>
        </is>
      </c>
      <c r="C674" s="30" t="inlineStr">
        <is>
          <t>TIVF2024</t>
        </is>
      </c>
      <c r="D674" s="30" t="inlineStr">
        <is>
          <t>Full time</t>
        </is>
      </c>
      <c r="E674" s="42">
        <f>VLOOKUP(A674,'[1]Virtus SAMPLE PositionHistorySa'!$A:$L,12,0)</f>
        <v/>
      </c>
      <c r="F674" s="31" t="inlineStr">
        <is>
          <t>0.01</t>
        </is>
      </c>
      <c r="G674" s="32">
        <f>VLOOKUP(A674,Sheet3!A:K,10,0)/38</f>
        <v/>
      </c>
      <c r="H674" s="32">
        <f>F674-G674</f>
        <v/>
      </c>
      <c r="I674" s="29" t="n"/>
    </row>
    <row r="675">
      <c r="A675" s="29" t="inlineStr">
        <is>
          <t>AU23868</t>
        </is>
      </c>
      <c r="B675" s="30" t="inlineStr">
        <is>
          <t>NSW-QLD</t>
        </is>
      </c>
      <c r="C675" s="30" t="inlineStr">
        <is>
          <t>IVFN2021</t>
        </is>
      </c>
      <c r="D675" s="30" t="inlineStr">
        <is>
          <t>Full time</t>
        </is>
      </c>
      <c r="E675" s="42">
        <f>VLOOKUP(A675,'[1]Virtus SAMPLE PositionHistorySa'!$A:$L,12,0)</f>
        <v/>
      </c>
      <c r="F675" s="31" t="inlineStr">
        <is>
          <t>0.01</t>
        </is>
      </c>
      <c r="G675" s="32">
        <f>VLOOKUP(A675,Sheet3!A:K,10,0)/38</f>
        <v/>
      </c>
      <c r="H675" s="32">
        <f>F675-G675</f>
        <v/>
      </c>
      <c r="I675" s="29" t="n"/>
    </row>
    <row r="676">
      <c r="A676" s="29" t="inlineStr">
        <is>
          <t>AU23876</t>
        </is>
      </c>
      <c r="B676" s="30" t="inlineStr">
        <is>
          <t>NSW-QLD</t>
        </is>
      </c>
      <c r="C676" s="30" t="inlineStr">
        <is>
          <t>IVFT2024</t>
        </is>
      </c>
      <c r="D676" s="30" t="inlineStr">
        <is>
          <t>Full time</t>
        </is>
      </c>
      <c r="E676" s="42">
        <f>VLOOKUP(A676,'[1]Virtus SAMPLE PositionHistorySa'!$A:$L,12,0)</f>
        <v/>
      </c>
      <c r="F676" s="31" t="inlineStr">
        <is>
          <t>0.01</t>
        </is>
      </c>
      <c r="G676" s="32">
        <f>VLOOKUP(A676,Sheet3!A:K,10,0)/38</f>
        <v/>
      </c>
      <c r="H676" s="32">
        <f>F676-G676</f>
        <v/>
      </c>
      <c r="I676" s="29" t="n"/>
    </row>
    <row r="677">
      <c r="A677" s="29" t="inlineStr">
        <is>
          <t>AU23865</t>
        </is>
      </c>
      <c r="B677" s="30" t="inlineStr">
        <is>
          <t>VIC-TAS</t>
        </is>
      </c>
      <c r="C677" s="30" t="inlineStr">
        <is>
          <t>MIVFS2022</t>
        </is>
      </c>
      <c r="D677" s="30">
        <f>VLOOKUP(A677,Sheet3!A:E,5,0)</f>
        <v/>
      </c>
      <c r="E677" s="42">
        <f>VLOOKUP(A677,'[1]Virtus SAMPLE PositionHistorySa'!$A:$L,12,0)</f>
        <v/>
      </c>
      <c r="F677" s="31" t="inlineStr">
        <is>
          <t>0.01</t>
        </is>
      </c>
      <c r="G677" s="32" t="n"/>
      <c r="H677" s="32" t="n"/>
      <c r="I677" s="29" t="n"/>
    </row>
    <row r="678">
      <c r="A678" s="29" t="inlineStr">
        <is>
          <t>AU23880</t>
        </is>
      </c>
      <c r="B678" s="30" t="inlineStr">
        <is>
          <t>NSW-QLD</t>
        </is>
      </c>
      <c r="C678" s="30" t="inlineStr">
        <is>
          <t>IVFN2021</t>
        </is>
      </c>
      <c r="D678" s="30">
        <f>VLOOKUP(A678,Sheet3!A:E,5,0)</f>
        <v/>
      </c>
      <c r="E678" s="42">
        <f>VLOOKUP(A678,'[1]Virtus SAMPLE PositionHistorySa'!$A:$L,12,0)</f>
        <v/>
      </c>
      <c r="F678" s="31" t="inlineStr">
        <is>
          <t>0.01</t>
        </is>
      </c>
      <c r="G678" s="32" t="n"/>
      <c r="H678" s="32" t="n"/>
      <c r="I678" s="29" t="n"/>
    </row>
    <row r="679">
      <c r="A679" s="29" t="inlineStr">
        <is>
          <t>AU23881</t>
        </is>
      </c>
      <c r="B679" s="30" t="inlineStr">
        <is>
          <t>NSW-QLD</t>
        </is>
      </c>
      <c r="C679" s="30" t="inlineStr">
        <is>
          <t>IVFS2023</t>
        </is>
      </c>
      <c r="D679" s="30" t="inlineStr">
        <is>
          <t>Part time</t>
        </is>
      </c>
      <c r="E679" s="42">
        <f>VLOOKUP(A679,'[1]Virtus SAMPLE PositionHistorySa'!$A:$L,12,0)</f>
        <v/>
      </c>
      <c r="F679" s="31" t="inlineStr">
        <is>
          <t>0.01</t>
        </is>
      </c>
      <c r="G679" s="32" t="n"/>
      <c r="H679" s="32" t="n"/>
      <c r="I679" s="29" t="n"/>
    </row>
    <row r="680">
      <c r="A680" s="29" t="n">
        <v>80106</v>
      </c>
      <c r="B680" s="30" t="inlineStr">
        <is>
          <t>NSW-QLD</t>
        </is>
      </c>
      <c r="C680" s="30" t="inlineStr">
        <is>
          <t>QS2024</t>
        </is>
      </c>
      <c r="D680" s="30" t="inlineStr">
        <is>
          <t>Full time</t>
        </is>
      </c>
      <c r="E680" s="42">
        <f>VLOOKUP(A680,'[1]Virtus SAMPLE PositionHistorySa'!$A:$L,12,0)</f>
        <v/>
      </c>
      <c r="F680" s="31" t="inlineStr">
        <is>
          <t>28.72</t>
        </is>
      </c>
      <c r="G680" s="32">
        <f>VLOOKUP(A680,Sheet3!A:K,10,0)/38</f>
        <v/>
      </c>
      <c r="H680" s="32">
        <f>F680-G680</f>
        <v/>
      </c>
      <c r="I680" s="29" t="n"/>
    </row>
    <row r="681">
      <c r="A681" s="29" t="n">
        <v>1224</v>
      </c>
      <c r="B681" s="30" t="inlineStr">
        <is>
          <t>VIC-TAS</t>
        </is>
      </c>
      <c r="C681" s="30" t="inlineStr">
        <is>
          <t>MIVFN2023</t>
        </is>
      </c>
      <c r="D681" s="30" t="inlineStr">
        <is>
          <t>Part time</t>
        </is>
      </c>
      <c r="E681" s="42">
        <f>VLOOKUP(A681,'[1]Virtus SAMPLE PositionHistorySa'!$A:$L,12,0)</f>
        <v/>
      </c>
      <c r="F681" s="31" t="inlineStr">
        <is>
          <t>4.34</t>
        </is>
      </c>
      <c r="G681" s="32" t="n"/>
      <c r="H681" s="32" t="n"/>
      <c r="I681" s="29" t="n"/>
    </row>
    <row r="682">
      <c r="A682" s="29" t="inlineStr">
        <is>
          <t>AU23395</t>
        </is>
      </c>
      <c r="B682" s="30" t="inlineStr">
        <is>
          <t>NSW-QLD</t>
        </is>
      </c>
      <c r="C682" s="30" t="inlineStr">
        <is>
          <t>VIC</t>
        </is>
      </c>
      <c r="D682" s="30" t="inlineStr">
        <is>
          <t>Full time</t>
        </is>
      </c>
      <c r="E682" s="42">
        <f>VLOOKUP(A682,'[1]Virtus SAMPLE PositionHistorySa'!$A:$L,12,0)</f>
        <v/>
      </c>
      <c r="F682" s="31" t="inlineStr">
        <is>
          <t>0.88</t>
        </is>
      </c>
      <c r="G682" s="32">
        <f>VLOOKUP(A682,Sheet3!A:K,10,0)/38</f>
        <v/>
      </c>
      <c r="H682" s="32">
        <f>F682-G682</f>
        <v/>
      </c>
      <c r="I682" s="29" t="n"/>
    </row>
    <row r="683">
      <c r="A683" s="29" t="inlineStr">
        <is>
          <t>AU23404</t>
        </is>
      </c>
      <c r="B683" s="30" t="inlineStr">
        <is>
          <t>NSW-QLD</t>
        </is>
      </c>
      <c r="C683" s="30" t="inlineStr">
        <is>
          <t>IVFS2023</t>
        </is>
      </c>
      <c r="D683" s="30" t="inlineStr">
        <is>
          <t>Part time</t>
        </is>
      </c>
      <c r="E683" s="42">
        <f>VLOOKUP(A683,'[1]Virtus SAMPLE PositionHistorySa'!$A:$L,12,0)</f>
        <v/>
      </c>
      <c r="F683" s="31" t="inlineStr">
        <is>
          <t>0.88</t>
        </is>
      </c>
      <c r="G683" s="32" t="n"/>
      <c r="H683" s="32" t="n"/>
      <c r="I683" s="29" t="n"/>
    </row>
    <row r="684">
      <c r="A684" s="29" t="n">
        <v>20365</v>
      </c>
      <c r="B684" s="30" t="inlineStr">
        <is>
          <t>NSW-QLD</t>
        </is>
      </c>
      <c r="C684" s="30" t="inlineStr">
        <is>
          <t>IVFS2023</t>
        </is>
      </c>
      <c r="D684" s="30" t="inlineStr">
        <is>
          <t>Casual</t>
        </is>
      </c>
      <c r="E684" s="42">
        <f>VLOOKUP(A684,'[1]Virtus SAMPLE PositionHistorySa'!$A:$L,12,0)</f>
        <v/>
      </c>
      <c r="F684" s="31" t="inlineStr">
        <is>
          <t>10.41</t>
        </is>
      </c>
      <c r="G684" s="32" t="n"/>
      <c r="H684" s="32" t="n"/>
      <c r="I684" s="29" t="n"/>
    </row>
    <row r="685">
      <c r="A685" s="29" t="n">
        <v>50122</v>
      </c>
      <c r="B685" s="30" t="inlineStr">
        <is>
          <t>NSW-QLD</t>
        </is>
      </c>
      <c r="C685" s="30" t="inlineStr">
        <is>
          <t>IVFN2021</t>
        </is>
      </c>
      <c r="D685" s="30" t="inlineStr">
        <is>
          <t>Casual</t>
        </is>
      </c>
      <c r="E685" s="42">
        <f>VLOOKUP(A685,'[1]Virtus SAMPLE PositionHistorySa'!$A:$L,12,0)</f>
        <v/>
      </c>
      <c r="F685" s="31" t="inlineStr">
        <is>
          <t>6.08</t>
        </is>
      </c>
      <c r="G685" s="32" t="n"/>
      <c r="H685" s="32" t="n"/>
      <c r="I685" s="29" t="n"/>
    </row>
    <row r="686">
      <c r="A686" s="29" t="inlineStr">
        <is>
          <t>AU23882</t>
        </is>
      </c>
      <c r="B686" s="30" t="inlineStr">
        <is>
          <t>NSW-QLD</t>
        </is>
      </c>
      <c r="C686" s="30" t="inlineStr">
        <is>
          <t>IVFN2021</t>
        </is>
      </c>
      <c r="D686" s="30">
        <f>VLOOKUP(A686,Sheet3!A:E,5,0)</f>
        <v/>
      </c>
      <c r="E686" s="42">
        <f>VLOOKUP(A686,'[1]Virtus SAMPLE PositionHistorySa'!$A:$L,12,0)</f>
        <v/>
      </c>
      <c r="F686" s="31" t="inlineStr">
        <is>
          <t>0.01</t>
        </is>
      </c>
      <c r="G686" s="32" t="n"/>
      <c r="H686" s="32" t="n"/>
      <c r="I686" s="29" t="n"/>
    </row>
    <row r="687">
      <c r="A687" s="29" t="inlineStr">
        <is>
          <t>AU23895</t>
        </is>
      </c>
      <c r="B687" s="30" t="inlineStr">
        <is>
          <t>VIC-TAS</t>
        </is>
      </c>
      <c r="C687" s="30" t="inlineStr">
        <is>
          <t>MIVFS2022</t>
        </is>
      </c>
      <c r="D687" s="30">
        <f>VLOOKUP(A687,Sheet3!A:E,5,0)</f>
        <v/>
      </c>
      <c r="E687" s="42">
        <f>VLOOKUP(A687,'[1]Virtus SAMPLE PositionHistorySa'!$A:$L,12,0)</f>
        <v/>
      </c>
      <c r="F687" s="31" t="inlineStr">
        <is>
          <t>0.01</t>
        </is>
      </c>
      <c r="G687" s="32" t="n"/>
      <c r="H687" s="32" t="n"/>
      <c r="I687" s="29" t="n"/>
    </row>
    <row r="688">
      <c r="A688" s="29" t="n">
        <v>20081</v>
      </c>
      <c r="B688" s="30" t="inlineStr">
        <is>
          <t>NSW-QLD</t>
        </is>
      </c>
      <c r="C688" s="30" t="inlineStr">
        <is>
          <t>NSW</t>
        </is>
      </c>
      <c r="D688" s="30" t="inlineStr">
        <is>
          <t>Part time</t>
        </is>
      </c>
      <c r="E688" s="42">
        <f>VLOOKUP(A688,'[1]Virtus SAMPLE PositionHistorySa'!$A:$L,12,0)</f>
        <v/>
      </c>
      <c r="F688" s="31" t="inlineStr">
        <is>
          <t>3.52</t>
        </is>
      </c>
      <c r="G688" s="32" t="n"/>
      <c r="H688" s="32" t="n"/>
      <c r="I688" s="29" t="n"/>
    </row>
    <row r="689">
      <c r="A689" s="29" t="n">
        <v>20593</v>
      </c>
      <c r="B689" s="30" t="inlineStr">
        <is>
          <t>NSW-QLD</t>
        </is>
      </c>
      <c r="C689" s="30" t="inlineStr">
        <is>
          <t>IVFS2023</t>
        </is>
      </c>
      <c r="D689" s="30" t="inlineStr">
        <is>
          <t>Full time</t>
        </is>
      </c>
      <c r="E689" s="42">
        <f>VLOOKUP(A689,'[1]Virtus SAMPLE PositionHistorySa'!$A:$L,12,0)</f>
        <v/>
      </c>
      <c r="F689" s="31" t="inlineStr">
        <is>
          <t>6.94</t>
        </is>
      </c>
      <c r="G689" s="32">
        <f>VLOOKUP(A689,Sheet3!A:K,10,0)/38</f>
        <v/>
      </c>
      <c r="H689" s="32">
        <f>F689-G689</f>
        <v/>
      </c>
      <c r="I689" s="29" t="n"/>
    </row>
    <row r="690">
      <c r="A690" s="29" t="inlineStr">
        <is>
          <t>AU23002</t>
        </is>
      </c>
      <c r="B690" s="30" t="inlineStr">
        <is>
          <t>NSW-QLD</t>
        </is>
      </c>
      <c r="C690" s="30" t="inlineStr">
        <is>
          <t>IVFS2023</t>
        </is>
      </c>
      <c r="D690" s="30" t="inlineStr">
        <is>
          <t>Part time</t>
        </is>
      </c>
      <c r="E690" s="42">
        <f>VLOOKUP(A690,'[1]Virtus SAMPLE PositionHistorySa'!$A:$L,12,0)</f>
        <v/>
      </c>
      <c r="F690" s="31" t="inlineStr">
        <is>
          <t>1.74</t>
        </is>
      </c>
      <c r="G690" s="32" t="n"/>
      <c r="H690" s="32" t="n"/>
      <c r="I690" s="29" t="n"/>
    </row>
    <row r="691">
      <c r="A691" s="29" t="inlineStr">
        <is>
          <t>AU23013</t>
        </is>
      </c>
      <c r="B691" s="30" t="inlineStr">
        <is>
          <t>NSW-QLD</t>
        </is>
      </c>
      <c r="C691" s="30" t="inlineStr">
        <is>
          <t>IVFN2021</t>
        </is>
      </c>
      <c r="D691" s="30" t="inlineStr">
        <is>
          <t>Casual</t>
        </is>
      </c>
      <c r="E691" s="42">
        <f>VLOOKUP(A691,'[1]Virtus SAMPLE PositionHistorySa'!$A:$L,12,0)</f>
        <v/>
      </c>
      <c r="F691" s="31" t="inlineStr">
        <is>
          <t>1.74</t>
        </is>
      </c>
      <c r="G691" s="32" t="n"/>
      <c r="H691" s="32" t="n"/>
      <c r="I691" s="29" t="n"/>
    </row>
    <row r="692">
      <c r="A692" s="29" t="n">
        <v>30078</v>
      </c>
      <c r="B692" s="30" t="inlineStr">
        <is>
          <t>NSW-QLD</t>
        </is>
      </c>
      <c r="C692" s="30" t="inlineStr">
        <is>
          <t>IVFN2021</t>
        </is>
      </c>
      <c r="D692" s="30" t="inlineStr">
        <is>
          <t>Part time</t>
        </is>
      </c>
      <c r="E692" s="42">
        <f>VLOOKUP(A692,'[1]Virtus SAMPLE PositionHistorySa'!$A:$L,12,0)</f>
        <v/>
      </c>
      <c r="F692" s="31" t="inlineStr">
        <is>
          <t>1.70</t>
        </is>
      </c>
      <c r="G692" s="32" t="n"/>
      <c r="H692" s="32" t="n"/>
      <c r="I692" s="29" t="n"/>
    </row>
    <row r="693">
      <c r="A693" s="29" t="n">
        <v>20551</v>
      </c>
      <c r="B693" s="30" t="inlineStr">
        <is>
          <t>NSW-QLD</t>
        </is>
      </c>
      <c r="C693" s="30" t="inlineStr">
        <is>
          <t>IVFN2021</t>
        </is>
      </c>
      <c r="D693" s="30" t="inlineStr">
        <is>
          <t>Part time</t>
        </is>
      </c>
      <c r="E693" s="42">
        <f>VLOOKUP(A693,'[1]Virtus SAMPLE PositionHistorySa'!$A:$L,12,0)</f>
        <v/>
      </c>
      <c r="F693" s="31" t="inlineStr">
        <is>
          <t>7.80</t>
        </is>
      </c>
      <c r="G693" s="32" t="n"/>
      <c r="H693" s="32" t="n"/>
      <c r="I693" s="29" t="n"/>
    </row>
    <row r="694">
      <c r="A694" s="29" t="n">
        <v>80329</v>
      </c>
      <c r="B694" s="30" t="inlineStr">
        <is>
          <t>NSW-QLD</t>
        </is>
      </c>
      <c r="C694" s="30" t="inlineStr">
        <is>
          <t>QS2024</t>
        </is>
      </c>
      <c r="D694" s="30" t="inlineStr">
        <is>
          <t>Full time</t>
        </is>
      </c>
      <c r="E694" s="42">
        <f>VLOOKUP(A694,'[1]Virtus SAMPLE PositionHistorySa'!$A:$L,12,0)</f>
        <v/>
      </c>
      <c r="F694" s="31" t="inlineStr">
        <is>
          <t>5.21</t>
        </is>
      </c>
      <c r="G694" s="32">
        <f>VLOOKUP(A694,Sheet3!A:K,10,0)/38</f>
        <v/>
      </c>
      <c r="H694" s="32">
        <f>F694-G694</f>
        <v/>
      </c>
      <c r="I694" s="29" t="n"/>
    </row>
    <row r="695">
      <c r="A695" s="29" t="inlineStr">
        <is>
          <t>AU22601</t>
        </is>
      </c>
      <c r="B695" s="30" t="inlineStr">
        <is>
          <t>NSW-QLD</t>
        </is>
      </c>
      <c r="C695" s="30" t="inlineStr">
        <is>
          <t>QS2024</t>
        </is>
      </c>
      <c r="D695" s="30" t="inlineStr">
        <is>
          <t>Full time</t>
        </is>
      </c>
      <c r="E695" s="42">
        <f>VLOOKUP(A695,'[1]Virtus SAMPLE PositionHistorySa'!$A:$L,12,0)</f>
        <v/>
      </c>
      <c r="F695" s="31" t="inlineStr">
        <is>
          <t>2.61</t>
        </is>
      </c>
      <c r="G695" s="32">
        <f>VLOOKUP(A695,Sheet3!A:K,10,0)/38</f>
        <v/>
      </c>
      <c r="H695" s="32">
        <f>F695-G695</f>
        <v/>
      </c>
      <c r="I695" s="29" t="n"/>
    </row>
    <row r="696">
      <c r="A696" s="29" t="n">
        <v>1310</v>
      </c>
      <c r="B696" s="30" t="inlineStr">
        <is>
          <t>VIC-TAS</t>
        </is>
      </c>
      <c r="C696" s="30" t="inlineStr">
        <is>
          <t>MIVFS2022</t>
        </is>
      </c>
      <c r="D696" s="30" t="inlineStr">
        <is>
          <t>Full time</t>
        </is>
      </c>
      <c r="E696" s="42">
        <f>VLOOKUP(A696,'[1]Virtus SAMPLE PositionHistorySa'!$A:$L,12,0)</f>
        <v/>
      </c>
      <c r="F696" s="31" t="inlineStr">
        <is>
          <t>3.47</t>
        </is>
      </c>
      <c r="G696" s="32">
        <f>VLOOKUP(A696,Sheet3!A:K,10,0)/38</f>
        <v/>
      </c>
      <c r="H696" s="32">
        <f>F696-G696</f>
        <v/>
      </c>
      <c r="I696" s="29" t="n"/>
    </row>
    <row r="697">
      <c r="A697" s="29" t="inlineStr">
        <is>
          <t>AU22994</t>
        </is>
      </c>
      <c r="B697" s="30" t="inlineStr">
        <is>
          <t>NSW-QLD</t>
        </is>
      </c>
      <c r="C697" s="30" t="inlineStr">
        <is>
          <t>QS2024</t>
        </is>
      </c>
      <c r="D697" s="30" t="inlineStr">
        <is>
          <t>Full time</t>
        </is>
      </c>
      <c r="E697" s="42">
        <f>VLOOKUP(A697,'[1]Virtus SAMPLE PositionHistorySa'!$A:$L,12,0)</f>
        <v/>
      </c>
      <c r="F697" s="31" t="inlineStr">
        <is>
          <t>1.74</t>
        </is>
      </c>
      <c r="G697" s="32">
        <f>VLOOKUP(A697,Sheet3!A:K,10,0)/38</f>
        <v/>
      </c>
      <c r="H697" s="32">
        <f>F697-G697</f>
        <v/>
      </c>
      <c r="I697" s="29" t="n"/>
    </row>
    <row r="698">
      <c r="A698" s="29" t="n">
        <v>60013</v>
      </c>
      <c r="B698" s="30" t="inlineStr">
        <is>
          <t>NSW-QLD</t>
        </is>
      </c>
      <c r="C698" s="30" t="inlineStr">
        <is>
          <t>QN2025</t>
        </is>
      </c>
      <c r="D698" s="30" t="inlineStr">
        <is>
          <t>Part time</t>
        </is>
      </c>
      <c r="E698" s="42">
        <f>VLOOKUP(A698,'[1]Virtus SAMPLE PositionHistorySa'!$A:$L,12,0)</f>
        <v/>
      </c>
      <c r="F698" s="31" t="inlineStr">
        <is>
          <t>18.30</t>
        </is>
      </c>
      <c r="G698" s="32" t="n"/>
      <c r="H698" s="32" t="n"/>
      <c r="I698" s="29" t="n"/>
    </row>
    <row r="699">
      <c r="A699" s="29" t="n">
        <v>20802</v>
      </c>
      <c r="B699" s="30" t="inlineStr">
        <is>
          <t>NSW-QLD</t>
        </is>
      </c>
      <c r="C699" s="30" t="inlineStr">
        <is>
          <t>IVFN2021</t>
        </is>
      </c>
      <c r="D699" s="30" t="inlineStr">
        <is>
          <t>Part time</t>
        </is>
      </c>
      <c r="E699" s="42">
        <f>VLOOKUP(A699,'[1]Virtus SAMPLE PositionHistorySa'!$A:$L,12,0)</f>
        <v/>
      </c>
      <c r="F699" s="31" t="inlineStr">
        <is>
          <t>4.33</t>
        </is>
      </c>
      <c r="G699" s="32" t="n"/>
      <c r="H699" s="32" t="n"/>
      <c r="I699" s="29" t="n"/>
    </row>
    <row r="700">
      <c r="A700" s="29" t="n">
        <v>80385</v>
      </c>
      <c r="B700" s="30" t="inlineStr">
        <is>
          <t>NSW-QLD</t>
        </is>
      </c>
      <c r="C700" s="30" t="inlineStr">
        <is>
          <t>IVFS2023</t>
        </is>
      </c>
      <c r="D700" s="30" t="inlineStr">
        <is>
          <t>Part time</t>
        </is>
      </c>
      <c r="E700" s="42">
        <f>VLOOKUP(A700,'[1]Virtus SAMPLE PositionHistorySa'!$A:$L,12,0)</f>
        <v/>
      </c>
      <c r="F700" s="31" t="inlineStr">
        <is>
          <t>4.33</t>
        </is>
      </c>
      <c r="G700" s="32" t="n"/>
      <c r="H700" s="32" t="n"/>
      <c r="I700" s="29" t="n"/>
    </row>
    <row r="701">
      <c r="A701" s="29" t="inlineStr">
        <is>
          <t>AU23872</t>
        </is>
      </c>
      <c r="B701" s="30" t="inlineStr">
        <is>
          <t>VIC-TAS</t>
        </is>
      </c>
      <c r="C701" s="30" t="inlineStr">
        <is>
          <t>TIVF2024</t>
        </is>
      </c>
      <c r="D701" s="30" t="inlineStr">
        <is>
          <t>Part time</t>
        </is>
      </c>
      <c r="E701" s="42">
        <f>VLOOKUP(A701,'[1]Virtus SAMPLE PositionHistorySa'!$A:$L,12,0)</f>
        <v/>
      </c>
      <c r="F701" s="31" t="inlineStr">
        <is>
          <t>0.00</t>
        </is>
      </c>
      <c r="G701" s="32" t="n"/>
      <c r="H701" s="32" t="n"/>
      <c r="I701" s="29" t="n"/>
    </row>
    <row r="702">
      <c r="A702" s="29" t="n">
        <v>100038</v>
      </c>
      <c r="B702" s="30" t="inlineStr">
        <is>
          <t>NSW-QLD</t>
        </is>
      </c>
      <c r="C702" s="30" t="inlineStr">
        <is>
          <t>IVFS2023</t>
        </is>
      </c>
      <c r="D702" s="30" t="inlineStr">
        <is>
          <t>Casual</t>
        </is>
      </c>
      <c r="E702" s="42">
        <f>VLOOKUP(A702,'[1]Virtus SAMPLE PositionHistorySa'!$A:$L,12,0)</f>
        <v/>
      </c>
      <c r="F702" s="31" t="inlineStr">
        <is>
          <t>4.33</t>
        </is>
      </c>
      <c r="G702" s="32" t="n"/>
      <c r="H702" s="32" t="n"/>
      <c r="I702" s="29" t="n"/>
    </row>
    <row r="703">
      <c r="A703" s="29" t="inlineStr">
        <is>
          <t>AU23408</t>
        </is>
      </c>
      <c r="B703" s="30" t="inlineStr">
        <is>
          <t>VIC-TAS</t>
        </is>
      </c>
      <c r="C703" s="30" t="inlineStr">
        <is>
          <t>MIVFS2022</t>
        </is>
      </c>
      <c r="D703" s="30" t="inlineStr">
        <is>
          <t>Full time</t>
        </is>
      </c>
      <c r="E703" s="42">
        <f>VLOOKUP(A703,'[1]Virtus SAMPLE PositionHistorySa'!$A:$L,12,0)</f>
        <v/>
      </c>
      <c r="F703" s="31" t="inlineStr">
        <is>
          <t>0.86</t>
        </is>
      </c>
      <c r="G703" s="32">
        <f>VLOOKUP(A703,Sheet3!A:K,10,0)/38</f>
        <v/>
      </c>
      <c r="H703" s="32">
        <f>F703-G703</f>
        <v/>
      </c>
      <c r="I703" s="29" t="n"/>
    </row>
    <row r="704">
      <c r="A704" s="29" t="inlineStr">
        <is>
          <t>AU23350</t>
        </is>
      </c>
      <c r="B704" s="30" t="inlineStr">
        <is>
          <t>NSW-QLD</t>
        </is>
      </c>
      <c r="C704" s="30" t="inlineStr">
        <is>
          <t>NSW</t>
        </is>
      </c>
      <c r="D704" s="30" t="inlineStr">
        <is>
          <t>Full time</t>
        </is>
      </c>
      <c r="E704" s="42">
        <f>VLOOKUP(A704,'[1]Virtus SAMPLE PositionHistorySa'!$A:$L,12,0)</f>
        <v/>
      </c>
      <c r="F704" s="31" t="inlineStr">
        <is>
          <t>0.86</t>
        </is>
      </c>
      <c r="G704" s="32">
        <f>VLOOKUP(A704,Sheet3!A:K,10,0)/38</f>
        <v/>
      </c>
      <c r="H704" s="32">
        <f>F704-G704</f>
        <v/>
      </c>
      <c r="I704" s="29" t="n"/>
    </row>
    <row r="705">
      <c r="A705" s="29" t="inlineStr">
        <is>
          <t>AU23429</t>
        </is>
      </c>
      <c r="B705" s="30" t="inlineStr">
        <is>
          <t>NSW-QLD</t>
        </is>
      </c>
      <c r="C705" s="30" t="inlineStr">
        <is>
          <t>IVFN2021</t>
        </is>
      </c>
      <c r="D705" s="30" t="inlineStr">
        <is>
          <t>Full time</t>
        </is>
      </c>
      <c r="E705" s="42">
        <f>VLOOKUP(A705,'[1]Virtus SAMPLE PositionHistorySa'!$A:$L,12,0)</f>
        <v/>
      </c>
      <c r="F705" s="31" t="inlineStr">
        <is>
          <t>0.86</t>
        </is>
      </c>
      <c r="G705" s="32">
        <f>VLOOKUP(A705,Sheet3!A:K,10,0)/38</f>
        <v/>
      </c>
      <c r="H705" s="32">
        <f>F705-G705</f>
        <v/>
      </c>
      <c r="I705" s="29" t="n"/>
    </row>
    <row r="706">
      <c r="A706" s="29" t="inlineStr">
        <is>
          <t>AU23406</t>
        </is>
      </c>
      <c r="B706" s="30" t="inlineStr">
        <is>
          <t>NSW-QLD</t>
        </is>
      </c>
      <c r="C706" s="30" t="inlineStr">
        <is>
          <t>QS2024</t>
        </is>
      </c>
      <c r="D706" s="30">
        <f>VLOOKUP(A706,Sheet3!A:E,5,0)</f>
        <v/>
      </c>
      <c r="E706" s="42">
        <f>VLOOKUP(A706,'[1]Virtus SAMPLE PositionHistorySa'!$A:$L,12,0)</f>
        <v/>
      </c>
      <c r="F706" s="31" t="inlineStr">
        <is>
          <t>0.86</t>
        </is>
      </c>
      <c r="G706" s="32" t="n"/>
      <c r="H706" s="32" t="n"/>
      <c r="I706" s="29" t="n"/>
    </row>
    <row r="707">
      <c r="A707" s="29" t="inlineStr">
        <is>
          <t>AU23411</t>
        </is>
      </c>
      <c r="B707" s="30" t="inlineStr">
        <is>
          <t>NSW-QLD</t>
        </is>
      </c>
      <c r="C707" s="30" t="inlineStr">
        <is>
          <t>IVFN2021</t>
        </is>
      </c>
      <c r="D707" s="30" t="inlineStr">
        <is>
          <t>Part time</t>
        </is>
      </c>
      <c r="E707" s="42">
        <f>VLOOKUP(A707,'[1]Virtus SAMPLE PositionHistorySa'!$A:$L,12,0)</f>
        <v/>
      </c>
      <c r="F707" s="31" t="inlineStr">
        <is>
          <t>0.86</t>
        </is>
      </c>
      <c r="G707" s="32" t="n"/>
      <c r="H707" s="32" t="n"/>
      <c r="I707" s="29" t="n"/>
    </row>
    <row r="708">
      <c r="A708" s="29" t="inlineStr">
        <is>
          <t>AU23412</t>
        </is>
      </c>
      <c r="B708" s="30" t="inlineStr">
        <is>
          <t>NSW-QLD</t>
        </is>
      </c>
      <c r="C708" s="30" t="inlineStr">
        <is>
          <t>IVFS2023</t>
        </is>
      </c>
      <c r="D708" s="30" t="inlineStr">
        <is>
          <t>Casual</t>
        </is>
      </c>
      <c r="E708" s="42">
        <f>VLOOKUP(A708,'[1]Virtus SAMPLE PositionHistorySa'!$A:$L,12,0)</f>
        <v/>
      </c>
      <c r="F708" s="31" t="inlineStr">
        <is>
          <t>0.86</t>
        </is>
      </c>
      <c r="G708" s="32" t="n"/>
      <c r="H708" s="32" t="n"/>
      <c r="I708" s="29" t="n"/>
    </row>
    <row r="709">
      <c r="A709" s="29" t="inlineStr">
        <is>
          <t>AU21026</t>
        </is>
      </c>
      <c r="B709" s="30" t="inlineStr">
        <is>
          <t>VIC-TAS</t>
        </is>
      </c>
      <c r="C709" s="30" t="inlineStr">
        <is>
          <t>MIVFS2022</t>
        </is>
      </c>
      <c r="D709" s="30" t="inlineStr">
        <is>
          <t>Part time</t>
        </is>
      </c>
      <c r="E709" s="42">
        <f>VLOOKUP(A709,'[1]Virtus SAMPLE PositionHistorySa'!$A:$L,12,0)</f>
        <v/>
      </c>
      <c r="F709" s="31" t="inlineStr">
        <is>
          <t>41.59</t>
        </is>
      </c>
      <c r="G709" s="32" t="n"/>
      <c r="H709" s="32" t="n"/>
      <c r="I709" s="29" t="n"/>
    </row>
    <row r="710">
      <c r="A710" s="29" t="n">
        <v>20318</v>
      </c>
      <c r="B710" s="30" t="inlineStr">
        <is>
          <t>NSW-QLD</t>
        </is>
      </c>
      <c r="C710" s="30" t="inlineStr">
        <is>
          <t>IVFS2023</t>
        </is>
      </c>
      <c r="D710" s="30" t="inlineStr">
        <is>
          <t>Part time</t>
        </is>
      </c>
      <c r="E710" s="42">
        <f>VLOOKUP(A710,'[1]Virtus SAMPLE PositionHistorySa'!$A:$L,12,0)</f>
        <v/>
      </c>
      <c r="F710" s="31" t="inlineStr">
        <is>
          <t>11.26</t>
        </is>
      </c>
      <c r="G710" s="32" t="n"/>
      <c r="H710" s="32" t="n"/>
      <c r="I710" s="29" t="n"/>
    </row>
    <row r="711">
      <c r="A711" s="29" t="inlineStr">
        <is>
          <t>AU23431</t>
        </is>
      </c>
      <c r="B711" s="30" t="inlineStr">
        <is>
          <t>NSW-QLD</t>
        </is>
      </c>
      <c r="C711" s="30" t="inlineStr">
        <is>
          <t>IVFN2021</t>
        </is>
      </c>
      <c r="D711" s="30" t="inlineStr">
        <is>
          <t>Casual</t>
        </is>
      </c>
      <c r="E711" s="42">
        <f>VLOOKUP(A711,'[1]Virtus SAMPLE PositionHistorySa'!$A:$L,12,0)</f>
        <v/>
      </c>
      <c r="F711" s="31" t="inlineStr">
        <is>
          <t>0.86</t>
        </is>
      </c>
      <c r="G711" s="32" t="n"/>
      <c r="H711" s="32" t="n"/>
      <c r="I711" s="29" t="n"/>
    </row>
    <row r="712">
      <c r="A712" s="29" t="n">
        <v>965</v>
      </c>
      <c r="B712" s="30" t="inlineStr">
        <is>
          <t>VIC-TAS</t>
        </is>
      </c>
      <c r="C712" s="30" t="inlineStr">
        <is>
          <t>MIVFS2022</t>
        </is>
      </c>
      <c r="D712" s="30" t="inlineStr">
        <is>
          <t>Full time</t>
        </is>
      </c>
      <c r="E712" s="42">
        <f>VLOOKUP(A712,'[1]Virtus SAMPLE PositionHistorySa'!$A:$L,12,0)</f>
        <v/>
      </c>
      <c r="F712" s="31" t="inlineStr">
        <is>
          <t>7.79</t>
        </is>
      </c>
      <c r="G712" s="32">
        <f>VLOOKUP(A712,Sheet3!A:K,10,0)/38</f>
        <v/>
      </c>
      <c r="H712" s="32">
        <f>F712-G712</f>
        <v/>
      </c>
      <c r="I712" s="29" t="n"/>
    </row>
    <row r="713">
      <c r="A713" s="29" t="n">
        <v>100016</v>
      </c>
      <c r="B713" s="30" t="inlineStr">
        <is>
          <t>NSW-QLD</t>
        </is>
      </c>
      <c r="C713" s="30" t="inlineStr">
        <is>
          <t>IVFS2023</t>
        </is>
      </c>
      <c r="D713" s="30" t="inlineStr">
        <is>
          <t>Full time</t>
        </is>
      </c>
      <c r="E713" s="42">
        <f>VLOOKUP(A713,Sheet2!A:L,12,0)</f>
        <v/>
      </c>
      <c r="F713" s="31" t="inlineStr">
        <is>
          <t>8.12</t>
        </is>
      </c>
      <c r="G713" s="32">
        <f>VLOOKUP(A713,Sheet3!A:K,10,0)/38</f>
        <v/>
      </c>
      <c r="H713" s="32">
        <f>F713-G713</f>
        <v/>
      </c>
      <c r="I713" s="29" t="n"/>
    </row>
    <row r="714">
      <c r="A714" s="29" t="n">
        <v>61012</v>
      </c>
      <c r="B714" s="30" t="inlineStr">
        <is>
          <t>NSW-QLD</t>
        </is>
      </c>
      <c r="C714" s="30" t="inlineStr">
        <is>
          <t>QLD</t>
        </is>
      </c>
      <c r="D714" s="30" t="inlineStr">
        <is>
          <t>Full time</t>
        </is>
      </c>
      <c r="E714" s="42">
        <f>VLOOKUP(A714,'[1]Virtus SAMPLE PositionHistorySa'!$A:$L,12,0)</f>
        <v/>
      </c>
      <c r="F714" s="31" t="inlineStr">
        <is>
          <t>3.45</t>
        </is>
      </c>
      <c r="G714" s="32">
        <f>VLOOKUP(A714,Sheet3!A:K,10,0)/38</f>
        <v/>
      </c>
      <c r="H714" s="32">
        <f>F714-G714</f>
        <v/>
      </c>
      <c r="I714" s="29" t="n"/>
    </row>
    <row r="715">
      <c r="A715" s="29" t="inlineStr">
        <is>
          <t>AU23004</t>
        </is>
      </c>
      <c r="B715" s="30" t="inlineStr">
        <is>
          <t>VIC-TAS</t>
        </is>
      </c>
      <c r="C715" s="30" t="inlineStr">
        <is>
          <t>TIVF2024</t>
        </is>
      </c>
      <c r="D715" s="30" t="inlineStr">
        <is>
          <t>Casual</t>
        </is>
      </c>
      <c r="E715" s="42">
        <f>VLOOKUP(A715,'[1]Virtus SAMPLE PositionHistorySa'!$A:$L,12,0)</f>
        <v/>
      </c>
      <c r="F715" s="31" t="inlineStr">
        <is>
          <t>1.72</t>
        </is>
      </c>
      <c r="G715" s="32" t="n"/>
      <c r="H715" s="32" t="n"/>
      <c r="I715" s="29" t="n"/>
    </row>
    <row r="716">
      <c r="A716" s="29" t="n">
        <v>50080</v>
      </c>
      <c r="B716" s="30" t="inlineStr">
        <is>
          <t>NSW-QLD</t>
        </is>
      </c>
      <c r="C716" s="30" t="inlineStr">
        <is>
          <t>IVFS2023</t>
        </is>
      </c>
      <c r="D716" s="30" t="inlineStr">
        <is>
          <t>Part time</t>
        </is>
      </c>
      <c r="E716" s="42">
        <f>VLOOKUP(A716,'[1]Virtus SAMPLE PositionHistorySa'!$A:$L,12,0)</f>
        <v/>
      </c>
      <c r="F716" s="31" t="inlineStr">
        <is>
          <t>8.65</t>
        </is>
      </c>
      <c r="G716" s="32" t="n"/>
      <c r="H716" s="32" t="n"/>
      <c r="I716" s="29" t="n"/>
    </row>
    <row r="717">
      <c r="A717" s="29" t="n">
        <v>901</v>
      </c>
      <c r="B717" s="30" t="inlineStr">
        <is>
          <t>VIC-TAS</t>
        </is>
      </c>
      <c r="C717" s="30" t="inlineStr">
        <is>
          <t>IVFS2023</t>
        </is>
      </c>
      <c r="D717" s="30" t="inlineStr">
        <is>
          <t>Part time</t>
        </is>
      </c>
      <c r="E717" s="42">
        <f>VLOOKUP(A717,'[1]Virtus SAMPLE PositionHistorySa'!$A:$L,12,0)</f>
        <v/>
      </c>
      <c r="F717" s="31" t="inlineStr">
        <is>
          <t>8.65</t>
        </is>
      </c>
      <c r="G717" s="32" t="n"/>
      <c r="H717" s="32" t="n"/>
      <c r="I717" s="29" t="n"/>
    </row>
    <row r="718">
      <c r="A718" s="29" t="n">
        <v>50180</v>
      </c>
      <c r="B718" s="30" t="inlineStr">
        <is>
          <t>NSW-QLD</t>
        </is>
      </c>
      <c r="C718" s="30" t="inlineStr">
        <is>
          <t>IVFN2021</t>
        </is>
      </c>
      <c r="D718" s="30" t="inlineStr">
        <is>
          <t>Part time</t>
        </is>
      </c>
      <c r="E718" s="42">
        <f>VLOOKUP(A718,'[1]Virtus SAMPLE PositionHistorySa'!$A:$L,12,0)</f>
        <v/>
      </c>
      <c r="F718" s="31" t="inlineStr">
        <is>
          <t>4.32</t>
        </is>
      </c>
      <c r="G718" s="32" t="n"/>
      <c r="H718" s="32" t="n"/>
      <c r="I718" s="29" t="n"/>
    </row>
    <row r="719">
      <c r="A719" s="29" t="n">
        <v>90001</v>
      </c>
      <c r="B719" s="30" t="inlineStr">
        <is>
          <t>NSW-QLD</t>
        </is>
      </c>
      <c r="C719" s="30" t="inlineStr">
        <is>
          <t>IVFS2023</t>
        </is>
      </c>
      <c r="D719" s="30" t="inlineStr">
        <is>
          <t>Full time</t>
        </is>
      </c>
      <c r="E719" s="42">
        <f>VLOOKUP(A719,'[1]Virtus SAMPLE PositionHistorySa'!$A:$L,12,0)</f>
        <v/>
      </c>
      <c r="F719" s="31" t="inlineStr">
        <is>
          <t>6.52</t>
        </is>
      </c>
      <c r="G719" s="32">
        <f>VLOOKUP(A719,Sheet3!A:K,10,0)/38</f>
        <v/>
      </c>
      <c r="H719" s="32">
        <f>F719-G719</f>
        <v/>
      </c>
      <c r="I719" s="29" t="n"/>
    </row>
    <row r="720">
      <c r="A720" s="29" t="n">
        <v>1092</v>
      </c>
      <c r="B720" s="30" t="inlineStr">
        <is>
          <t>VIC-TAS</t>
        </is>
      </c>
      <c r="C720" s="30" t="inlineStr">
        <is>
          <t>MIVFS2022</t>
        </is>
      </c>
      <c r="D720" s="30" t="inlineStr">
        <is>
          <t>Full time</t>
        </is>
      </c>
      <c r="E720" s="42">
        <f>VLOOKUP(A720,'[1]Virtus SAMPLE PositionHistorySa'!$A:$L,12,0)</f>
        <v/>
      </c>
      <c r="F720" s="31" t="inlineStr">
        <is>
          <t>8.65</t>
        </is>
      </c>
      <c r="G720" s="32">
        <f>VLOOKUP(A720,Sheet3!A:K,10,0)/38</f>
        <v/>
      </c>
      <c r="H720" s="32">
        <f>F720-G720</f>
        <v/>
      </c>
      <c r="I720" s="29" t="n"/>
    </row>
    <row r="721">
      <c r="A721" s="29" t="inlineStr">
        <is>
          <t>AU22637</t>
        </is>
      </c>
      <c r="B721" s="30" t="inlineStr">
        <is>
          <t>NSW-QLD</t>
        </is>
      </c>
      <c r="C721" s="30" t="inlineStr">
        <is>
          <t>IVFS2023</t>
        </is>
      </c>
      <c r="D721" s="30" t="inlineStr">
        <is>
          <t>Casual</t>
        </is>
      </c>
      <c r="E721" s="42">
        <f>VLOOKUP(A721,'[1]Virtus SAMPLE PositionHistorySa'!$A:$L,12,0)</f>
        <v/>
      </c>
      <c r="F721" s="31" t="inlineStr">
        <is>
          <t>2.58</t>
        </is>
      </c>
      <c r="G721" s="32" t="n"/>
      <c r="H721" s="32" t="n"/>
      <c r="I721" s="29" t="n"/>
    </row>
    <row r="722">
      <c r="A722" s="33" t="inlineStr">
        <is>
          <t>AU23875</t>
        </is>
      </c>
      <c r="B722" s="31" t="inlineStr">
        <is>
          <t>NSW-QLD</t>
        </is>
      </c>
      <c r="C722" s="31" t="inlineStr">
        <is>
          <t>QLD</t>
        </is>
      </c>
      <c r="D722" s="31" t="inlineStr">
        <is>
          <t>Full time</t>
        </is>
      </c>
      <c r="E722" s="43">
        <f>VLOOKUP(A722,'[1]Virtus SAMPLE PositionHistorySa'!$A:$L,12,0)</f>
        <v/>
      </c>
      <c r="F722" s="31" t="inlineStr">
        <is>
          <t>0.00</t>
        </is>
      </c>
      <c r="G722" s="32">
        <f>VLOOKUP(A722,Sheet3!A:K,10,0)/38</f>
        <v/>
      </c>
      <c r="H722" s="32">
        <f>F722-G722</f>
        <v/>
      </c>
      <c r="I722" s="33" t="inlineStr">
        <is>
          <t>had no award/EA</t>
        </is>
      </c>
    </row>
    <row r="723">
      <c r="A723" s="29" t="n">
        <v>20367</v>
      </c>
      <c r="B723" s="30" t="inlineStr">
        <is>
          <t>NSW-QLD</t>
        </is>
      </c>
      <c r="C723" s="30" t="inlineStr">
        <is>
          <t>IVFT2024</t>
        </is>
      </c>
      <c r="D723" s="30" t="inlineStr">
        <is>
          <t>Full time</t>
        </is>
      </c>
      <c r="E723" s="42">
        <f>VLOOKUP(A723,'[1]Virtus SAMPLE PositionHistorySa'!$A:$L,12,0)</f>
        <v/>
      </c>
      <c r="F723" s="31" t="inlineStr">
        <is>
          <t>6.43</t>
        </is>
      </c>
      <c r="G723" s="32">
        <f>VLOOKUP(A723,Sheet3!A:K,10,0)/38</f>
        <v/>
      </c>
      <c r="H723" s="32">
        <f>F723-G723</f>
        <v/>
      </c>
      <c r="I723" s="29" t="n"/>
    </row>
    <row r="724">
      <c r="A724" s="29" t="n">
        <v>90107</v>
      </c>
      <c r="B724" s="30" t="inlineStr">
        <is>
          <t>NSW-QLD</t>
        </is>
      </c>
      <c r="C724" s="30" t="inlineStr">
        <is>
          <t>IVFS2023</t>
        </is>
      </c>
      <c r="D724" s="30" t="inlineStr">
        <is>
          <t>Casual</t>
        </is>
      </c>
      <c r="E724" s="42">
        <f>VLOOKUP(A724,'[1]Virtus SAMPLE PositionHistorySa'!$A:$L,12,0)</f>
        <v/>
      </c>
      <c r="F724" s="31" t="inlineStr">
        <is>
          <t>5.18</t>
        </is>
      </c>
      <c r="G724" s="32" t="n"/>
      <c r="H724" s="32" t="n"/>
      <c r="I724" s="29" t="n"/>
    </row>
    <row r="725">
      <c r="A725" s="29" t="inlineStr">
        <is>
          <t>AU23413</t>
        </is>
      </c>
      <c r="B725" s="30" t="inlineStr">
        <is>
          <t>NSW-QLD</t>
        </is>
      </c>
      <c r="C725" s="30" t="inlineStr">
        <is>
          <t>IVFT2024</t>
        </is>
      </c>
      <c r="D725" s="30" t="inlineStr">
        <is>
          <t>Full time</t>
        </is>
      </c>
      <c r="E725" s="42">
        <f>VLOOKUP(A725,'[1]Virtus SAMPLE PositionHistorySa'!$A:$L,12,0)</f>
        <v/>
      </c>
      <c r="F725" s="31" t="inlineStr">
        <is>
          <t>0.84</t>
        </is>
      </c>
      <c r="G725" s="32">
        <f>VLOOKUP(A725,Sheet3!A:K,10,0)/38</f>
        <v/>
      </c>
      <c r="H725" s="32">
        <f>F725-G725</f>
        <v/>
      </c>
      <c r="I725" s="29" t="n"/>
    </row>
    <row r="726">
      <c r="A726" s="29" t="inlineStr">
        <is>
          <t>AU23403</t>
        </is>
      </c>
      <c r="B726" s="30" t="inlineStr">
        <is>
          <t>NSW-QLD</t>
        </is>
      </c>
      <c r="C726" s="30" t="inlineStr">
        <is>
          <t>IVFN2021</t>
        </is>
      </c>
      <c r="D726" s="30">
        <f>VLOOKUP(A726,Sheet3!A:E,5,0)</f>
        <v/>
      </c>
      <c r="E726" s="42">
        <f>VLOOKUP(A726,'[1]Virtus SAMPLE PositionHistorySa'!$A:$L,12,0)</f>
        <v/>
      </c>
      <c r="F726" s="31" t="inlineStr">
        <is>
          <t>0.84</t>
        </is>
      </c>
      <c r="G726" s="32" t="n"/>
      <c r="H726" s="32" t="n"/>
      <c r="I726" s="29" t="n"/>
    </row>
    <row r="727">
      <c r="A727" s="29" t="inlineStr">
        <is>
          <t>AU23405</t>
        </is>
      </c>
      <c r="B727" s="30" t="inlineStr">
        <is>
          <t>NSW-QLD</t>
        </is>
      </c>
      <c r="C727" s="30" t="inlineStr">
        <is>
          <t>QN2025</t>
        </is>
      </c>
      <c r="D727" s="30" t="inlineStr">
        <is>
          <t>Part time</t>
        </is>
      </c>
      <c r="E727" s="42">
        <f>VLOOKUP(A727,'[1]Virtus SAMPLE PositionHistorySa'!$A:$L,12,0)</f>
        <v/>
      </c>
      <c r="F727" s="31" t="inlineStr">
        <is>
          <t>1.27</t>
        </is>
      </c>
      <c r="G727" s="32" t="n"/>
      <c r="H727" s="32" t="n"/>
      <c r="I727" s="29" t="n"/>
    </row>
    <row r="728">
      <c r="A728" s="29" t="inlineStr">
        <is>
          <t>AU23418</t>
        </is>
      </c>
      <c r="B728" s="30" t="inlineStr">
        <is>
          <t>NSW-QLD</t>
        </is>
      </c>
      <c r="C728" s="30" t="inlineStr">
        <is>
          <t>IVFN2021</t>
        </is>
      </c>
      <c r="D728" s="30" t="inlineStr">
        <is>
          <t>Part time</t>
        </is>
      </c>
      <c r="E728" s="42">
        <f>VLOOKUP(A728,'[1]Virtus SAMPLE PositionHistorySa'!$A:$L,12,0)</f>
        <v/>
      </c>
      <c r="F728" s="31" t="inlineStr">
        <is>
          <t>0.84</t>
        </is>
      </c>
      <c r="G728" s="32" t="n"/>
      <c r="H728" s="32" t="n"/>
      <c r="I728" s="29" t="n"/>
    </row>
    <row r="729">
      <c r="A729" s="29" t="n">
        <v>80146</v>
      </c>
      <c r="B729" s="30" t="inlineStr">
        <is>
          <t>NSW-QLD</t>
        </is>
      </c>
      <c r="C729" s="30" t="inlineStr">
        <is>
          <t>QN2025</t>
        </is>
      </c>
      <c r="D729" s="30" t="inlineStr">
        <is>
          <t>Part time</t>
        </is>
      </c>
      <c r="E729" s="42">
        <f>VLOOKUP(A729,'[1]Virtus SAMPLE PositionHistorySa'!$A:$L,12,0)</f>
        <v/>
      </c>
      <c r="F729" s="31" t="inlineStr">
        <is>
          <t>13.86</t>
        </is>
      </c>
      <c r="G729" s="32" t="n"/>
      <c r="H729" s="32" t="n"/>
      <c r="I729" s="29" t="n"/>
    </row>
    <row r="730">
      <c r="A730" s="29" t="n">
        <v>80545</v>
      </c>
      <c r="B730" s="30" t="inlineStr">
        <is>
          <t>NSW-QLD</t>
        </is>
      </c>
      <c r="C730" s="30" t="inlineStr">
        <is>
          <t>IVFS2023</t>
        </is>
      </c>
      <c r="D730" s="30" t="inlineStr">
        <is>
          <t>Part time</t>
        </is>
      </c>
      <c r="E730" s="42">
        <f>VLOOKUP(A730,'[1]Virtus SAMPLE PositionHistorySa'!$A:$L,12,0)</f>
        <v/>
      </c>
      <c r="F730" s="31" t="inlineStr">
        <is>
          <t>6.04</t>
        </is>
      </c>
      <c r="G730" s="32" t="n"/>
      <c r="H730" s="32" t="n"/>
      <c r="I730" s="29" t="n"/>
    </row>
    <row r="731">
      <c r="A731" s="29" t="n">
        <v>80533</v>
      </c>
      <c r="B731" s="30" t="inlineStr">
        <is>
          <t>NSW-QLD</t>
        </is>
      </c>
      <c r="C731" s="30" t="inlineStr">
        <is>
          <t>QN2025</t>
        </is>
      </c>
      <c r="D731" s="30" t="inlineStr">
        <is>
          <t>Full time</t>
        </is>
      </c>
      <c r="E731" s="42">
        <f>VLOOKUP(A731,'[1]Virtus SAMPLE PositionHistorySa'!$A:$L,12,0)</f>
        <v/>
      </c>
      <c r="F731" s="31" t="inlineStr">
        <is>
          <t>10.36</t>
        </is>
      </c>
      <c r="G731" s="32">
        <f>VLOOKUP(A731,Sheet3!A:K,10,0)/38</f>
        <v/>
      </c>
      <c r="H731" s="32">
        <f>F731-G731</f>
        <v/>
      </c>
      <c r="I731" s="29" t="n"/>
    </row>
    <row r="732">
      <c r="A732" s="29" t="inlineStr">
        <is>
          <t>AU23427</t>
        </is>
      </c>
      <c r="B732" s="30" t="inlineStr">
        <is>
          <t>NSW-QLD</t>
        </is>
      </c>
      <c r="C732" s="30" t="inlineStr">
        <is>
          <t>QN2025</t>
        </is>
      </c>
      <c r="D732" s="30" t="inlineStr">
        <is>
          <t>Full time</t>
        </is>
      </c>
      <c r="E732" s="42">
        <f>VLOOKUP(A732,'[1]Virtus SAMPLE PositionHistorySa'!$A:$L,12,0)</f>
        <v/>
      </c>
      <c r="F732" s="31" t="inlineStr">
        <is>
          <t>1.26</t>
        </is>
      </c>
      <c r="G732" s="32">
        <f>VLOOKUP(A732,Sheet3!A:K,10,0)/38</f>
        <v/>
      </c>
      <c r="H732" s="32">
        <f>F732-G732</f>
        <v/>
      </c>
      <c r="I732" s="29" t="n"/>
    </row>
    <row r="733">
      <c r="A733" s="29" t="inlineStr">
        <is>
          <t>AU23409</t>
        </is>
      </c>
      <c r="B733" s="30" t="inlineStr">
        <is>
          <t>VIC-TAS</t>
        </is>
      </c>
      <c r="C733" s="30" t="inlineStr">
        <is>
          <t>TIVF2024</t>
        </is>
      </c>
      <c r="D733" s="30" t="inlineStr">
        <is>
          <t>Casual</t>
        </is>
      </c>
      <c r="E733" s="42">
        <f>VLOOKUP(A733,'[1]Virtus SAMPLE PositionHistorySa'!$A:$L,12,0)</f>
        <v/>
      </c>
      <c r="F733" s="31" t="inlineStr">
        <is>
          <t>0.84</t>
        </is>
      </c>
      <c r="G733" s="32" t="n"/>
      <c r="H733" s="32" t="n"/>
      <c r="I733" s="29" t="n"/>
    </row>
    <row r="734">
      <c r="A734" s="29" t="n">
        <v>20182</v>
      </c>
      <c r="B734" s="30" t="inlineStr">
        <is>
          <t>NSW-QLD</t>
        </is>
      </c>
      <c r="C734" s="30" t="inlineStr">
        <is>
          <t>IVFT2024</t>
        </is>
      </c>
      <c r="D734" s="30" t="inlineStr">
        <is>
          <t>Full time</t>
        </is>
      </c>
      <c r="E734" s="42">
        <f>VLOOKUP(A734,'[1]Virtus SAMPLE PositionHistorySa'!$A:$L,12,0)</f>
        <v/>
      </c>
      <c r="F734" s="31" t="inlineStr">
        <is>
          <t>6.84</t>
        </is>
      </c>
      <c r="G734" s="32">
        <f>VLOOKUP(A734,Sheet3!A:K,10,0)/38</f>
        <v/>
      </c>
      <c r="H734" s="32">
        <f>F734-G734</f>
        <v/>
      </c>
      <c r="I734" s="29" t="n"/>
    </row>
    <row r="735">
      <c r="A735" s="29" t="inlineStr">
        <is>
          <t>AU22624</t>
        </is>
      </c>
      <c r="B735" s="30" t="inlineStr">
        <is>
          <t>NSW-QLD</t>
        </is>
      </c>
      <c r="C735" s="30" t="inlineStr">
        <is>
          <t>QN2025</t>
        </is>
      </c>
      <c r="D735" s="30" t="inlineStr">
        <is>
          <t>Full time</t>
        </is>
      </c>
      <c r="E735" s="42">
        <f>VLOOKUP(A735,'[1]Virtus SAMPLE PositionHistorySa'!$A:$L,12,0)</f>
        <v/>
      </c>
      <c r="F735" s="31" t="inlineStr">
        <is>
          <t>3.86</t>
        </is>
      </c>
      <c r="G735" s="32">
        <f>VLOOKUP(A735,Sheet3!A:K,10,0)/38</f>
        <v/>
      </c>
      <c r="H735" s="32">
        <f>F735-G735</f>
        <v/>
      </c>
      <c r="I735" s="29" t="n"/>
    </row>
    <row r="736">
      <c r="A736" s="29" t="inlineStr">
        <is>
          <t>AU22619</t>
        </is>
      </c>
      <c r="B736" s="30" t="inlineStr">
        <is>
          <t>NSW-QLD</t>
        </is>
      </c>
      <c r="C736" s="30" t="inlineStr">
        <is>
          <t>IVFN2021</t>
        </is>
      </c>
      <c r="D736" s="30" t="inlineStr">
        <is>
          <t>Full time</t>
        </is>
      </c>
      <c r="E736" s="42">
        <f>VLOOKUP(A736,'[1]Virtus SAMPLE PositionHistorySa'!$A:$L,12,0)</f>
        <v/>
      </c>
      <c r="F736" s="31" t="inlineStr">
        <is>
          <t>2.57</t>
        </is>
      </c>
      <c r="G736" s="32">
        <f>VLOOKUP(A736,Sheet3!A:K,10,0)/38</f>
        <v/>
      </c>
      <c r="H736" s="32">
        <f>F736-G736</f>
        <v/>
      </c>
      <c r="I736" s="29" t="n"/>
    </row>
    <row r="737">
      <c r="A737" s="29" t="inlineStr">
        <is>
          <t>AU22625</t>
        </is>
      </c>
      <c r="B737" s="30" t="inlineStr">
        <is>
          <t>NSW-QLD</t>
        </is>
      </c>
      <c r="C737" s="30" t="inlineStr">
        <is>
          <t>IVFS2023</t>
        </is>
      </c>
      <c r="D737" s="30" t="inlineStr">
        <is>
          <t>Casual</t>
        </is>
      </c>
      <c r="E737" s="42">
        <f>VLOOKUP(A737,'[1]Virtus SAMPLE PositionHistorySa'!$A:$L,12,0)</f>
        <v/>
      </c>
      <c r="F737" s="31" t="inlineStr">
        <is>
          <t>2.57</t>
        </is>
      </c>
      <c r="G737" s="32" t="n"/>
      <c r="H737" s="32" t="n"/>
      <c r="I737" s="29" t="n"/>
    </row>
    <row r="738">
      <c r="A738" s="29" t="inlineStr">
        <is>
          <t>AU23014</t>
        </is>
      </c>
      <c r="B738" s="30" t="inlineStr">
        <is>
          <t>NSW-QLD</t>
        </is>
      </c>
      <c r="C738" s="30" t="inlineStr">
        <is>
          <t>IVFC2022</t>
        </is>
      </c>
      <c r="D738" s="30" t="inlineStr">
        <is>
          <t>Part time</t>
        </is>
      </c>
      <c r="E738" s="42">
        <f>VLOOKUP(A738,'[1]Virtus SAMPLE PositionHistorySa'!$A:$L,12,0)</f>
        <v/>
      </c>
      <c r="F738" s="31" t="inlineStr">
        <is>
          <t>1.71</t>
        </is>
      </c>
      <c r="G738" s="32" t="n"/>
      <c r="H738" s="32" t="n"/>
      <c r="I738" s="29" t="n"/>
    </row>
    <row r="739">
      <c r="A739" s="29" t="n">
        <v>20599</v>
      </c>
      <c r="B739" s="30" t="inlineStr">
        <is>
          <t>NSW-QLD</t>
        </is>
      </c>
      <c r="C739" s="30" t="inlineStr">
        <is>
          <t>NSW</t>
        </is>
      </c>
      <c r="D739" s="30" t="inlineStr">
        <is>
          <t>Full time</t>
        </is>
      </c>
      <c r="E739" s="42">
        <f>VLOOKUP(A739,'[1]Virtus SAMPLE PositionHistorySa'!$A:$L,12,0)</f>
        <v/>
      </c>
      <c r="F739" s="31" t="inlineStr">
        <is>
          <t>6.87</t>
        </is>
      </c>
      <c r="G739" s="32">
        <f>VLOOKUP(A739,Sheet3!A:K,10,0)/38</f>
        <v/>
      </c>
      <c r="H739" s="32">
        <f>F739-G739</f>
        <v/>
      </c>
      <c r="I739" s="29" t="n"/>
    </row>
    <row r="740">
      <c r="A740" s="29" t="n">
        <v>20595</v>
      </c>
      <c r="B740" s="30" t="inlineStr">
        <is>
          <t>NSW-QLD</t>
        </is>
      </c>
      <c r="C740" s="30" t="inlineStr">
        <is>
          <t>NSW</t>
        </is>
      </c>
      <c r="D740" s="30" t="inlineStr">
        <is>
          <t>Part time</t>
        </is>
      </c>
      <c r="E740" s="42">
        <f>VLOOKUP(A740,'[1]Virtus SAMPLE PositionHistorySa'!$A:$L,12,0)</f>
        <v/>
      </c>
      <c r="F740" s="31" t="inlineStr">
        <is>
          <t>6.87</t>
        </is>
      </c>
      <c r="G740" s="32" t="n"/>
      <c r="H740" s="32" t="n"/>
      <c r="I740" s="29" t="n"/>
    </row>
    <row r="741">
      <c r="A741" s="29" t="inlineStr">
        <is>
          <t>AU23023</t>
        </is>
      </c>
      <c r="B741" s="30" t="inlineStr">
        <is>
          <t>NSW-QLD</t>
        </is>
      </c>
      <c r="C741" s="30" t="inlineStr">
        <is>
          <t>IVFN2021</t>
        </is>
      </c>
      <c r="D741" s="30" t="inlineStr">
        <is>
          <t>Casual</t>
        </is>
      </c>
      <c r="E741" s="42">
        <f>VLOOKUP(A741,'[1]Virtus SAMPLE PositionHistorySa'!$A:$L,12,0)</f>
        <v/>
      </c>
      <c r="F741" s="31" t="inlineStr">
        <is>
          <t>1.68</t>
        </is>
      </c>
      <c r="G741" s="32" t="n"/>
      <c r="H741" s="32" t="n"/>
      <c r="I741" s="29" t="n"/>
    </row>
    <row r="742">
      <c r="A742" s="29" t="inlineStr">
        <is>
          <t>AU22657</t>
        </is>
      </c>
      <c r="B742" s="30" t="inlineStr">
        <is>
          <t>VIC-TAS</t>
        </is>
      </c>
      <c r="C742" s="30" t="inlineStr">
        <is>
          <t>MIVFN2023</t>
        </is>
      </c>
      <c r="D742" s="30" t="inlineStr">
        <is>
          <t>Full time</t>
        </is>
      </c>
      <c r="E742" s="42">
        <f>VLOOKUP(A742,'[1]Virtus SAMPLE PositionHistorySa'!$A:$L,12,0)</f>
        <v/>
      </c>
      <c r="F742" s="31" t="inlineStr">
        <is>
          <t>2.54</t>
        </is>
      </c>
      <c r="G742" s="32">
        <f>VLOOKUP(A742,Sheet3!A:K,10,0)/38</f>
        <v/>
      </c>
      <c r="H742" s="32">
        <f>F742-G742</f>
        <v/>
      </c>
      <c r="I742" s="29" t="n"/>
    </row>
    <row r="743">
      <c r="A743" s="29" t="inlineStr">
        <is>
          <t>AU22658</t>
        </is>
      </c>
      <c r="B743" s="30" t="inlineStr">
        <is>
          <t>VIC-TAS</t>
        </is>
      </c>
      <c r="C743" s="30" t="inlineStr">
        <is>
          <t>MIVFN2023</t>
        </is>
      </c>
      <c r="D743" s="30" t="inlineStr">
        <is>
          <t>Full time</t>
        </is>
      </c>
      <c r="E743" s="42">
        <f>VLOOKUP(A743,'[1]Virtus SAMPLE PositionHistorySa'!$A:$L,12,0)</f>
        <v/>
      </c>
      <c r="F743" s="31" t="inlineStr">
        <is>
          <t>2.54</t>
        </is>
      </c>
      <c r="G743" s="32">
        <f>VLOOKUP(A743,Sheet3!A:K,10,0)/38</f>
        <v/>
      </c>
      <c r="H743" s="32">
        <f>F743-G743</f>
        <v/>
      </c>
      <c r="I743" s="29" t="n"/>
    </row>
    <row r="744">
      <c r="A744" s="29" t="inlineStr">
        <is>
          <t>AU22633</t>
        </is>
      </c>
      <c r="B744" s="30" t="inlineStr">
        <is>
          <t>VIC-TAS</t>
        </is>
      </c>
      <c r="C744" s="30" t="inlineStr">
        <is>
          <t>MIVFN2023</t>
        </is>
      </c>
      <c r="D744" s="30" t="inlineStr">
        <is>
          <t>Full time</t>
        </is>
      </c>
      <c r="E744" s="42">
        <f>VLOOKUP(A744,'[1]Virtus SAMPLE PositionHistorySa'!$A:$L,12,0)</f>
        <v/>
      </c>
      <c r="F744" s="31" t="inlineStr">
        <is>
          <t>2.54</t>
        </is>
      </c>
      <c r="G744" s="32">
        <f>VLOOKUP(A744,Sheet3!A:K,10,0)/38</f>
        <v/>
      </c>
      <c r="H744" s="32">
        <f>F744-G744</f>
        <v/>
      </c>
      <c r="I744" s="29" t="n"/>
    </row>
    <row r="745">
      <c r="A745" s="29" t="inlineStr">
        <is>
          <t>AU22645</t>
        </is>
      </c>
      <c r="B745" s="30" t="inlineStr">
        <is>
          <t>NSW-QLD</t>
        </is>
      </c>
      <c r="C745" s="30" t="inlineStr">
        <is>
          <t>IVFT2024</t>
        </is>
      </c>
      <c r="D745" s="30" t="inlineStr">
        <is>
          <t>Full time</t>
        </is>
      </c>
      <c r="E745" s="42">
        <f>VLOOKUP(A745,'[1]Virtus SAMPLE PositionHistorySa'!$A:$L,12,0)</f>
        <v/>
      </c>
      <c r="F745" s="31" t="inlineStr">
        <is>
          <t>2.54</t>
        </is>
      </c>
      <c r="G745" s="32">
        <f>VLOOKUP(A745,Sheet3!A:K,10,0)/38</f>
        <v/>
      </c>
      <c r="H745" s="32">
        <f>F745-G745</f>
        <v/>
      </c>
      <c r="I745" s="29" t="n"/>
    </row>
    <row r="746">
      <c r="A746" s="29" t="inlineStr">
        <is>
          <t>AU22647</t>
        </is>
      </c>
      <c r="B746" s="30" t="inlineStr">
        <is>
          <t>VIC-TAS</t>
        </is>
      </c>
      <c r="C746" s="30" t="inlineStr">
        <is>
          <t>MIVFN2023</t>
        </is>
      </c>
      <c r="D746" s="30" t="inlineStr">
        <is>
          <t>Part time</t>
        </is>
      </c>
      <c r="E746" s="42">
        <f>VLOOKUP(A746,'[1]Virtus SAMPLE PositionHistorySa'!$A:$L,12,0)</f>
        <v/>
      </c>
      <c r="F746" s="31" t="inlineStr">
        <is>
          <t>2.54</t>
        </is>
      </c>
      <c r="G746" s="32" t="n"/>
      <c r="H746" s="32" t="n"/>
      <c r="I746" s="29" t="n"/>
    </row>
    <row r="747">
      <c r="A747" s="29" t="inlineStr">
        <is>
          <t>AU23009</t>
        </is>
      </c>
      <c r="B747" s="30" t="inlineStr">
        <is>
          <t>NSW-QLD</t>
        </is>
      </c>
      <c r="C747" s="30" t="inlineStr">
        <is>
          <t>IVFS2023</t>
        </is>
      </c>
      <c r="D747" s="30" t="inlineStr">
        <is>
          <t>Full time</t>
        </is>
      </c>
      <c r="E747" s="42">
        <f>VLOOKUP(A747,'[1]Virtus SAMPLE PositionHistorySa'!$A:$L,12,0)</f>
        <v/>
      </c>
      <c r="F747" s="31" t="inlineStr">
        <is>
          <t>1.67</t>
        </is>
      </c>
      <c r="G747" s="32">
        <f>VLOOKUP(A747,Sheet3!A:K,10,0)/38</f>
        <v/>
      </c>
      <c r="H747" s="32">
        <f>F747-G747</f>
        <v/>
      </c>
      <c r="I747" s="29" t="n"/>
    </row>
    <row r="748">
      <c r="A748" s="29" t="inlineStr">
        <is>
          <t>AU23438</t>
        </is>
      </c>
      <c r="B748" s="30" t="inlineStr">
        <is>
          <t>NSW-QLD</t>
        </is>
      </c>
      <c r="C748" s="30" t="inlineStr">
        <is>
          <t>NSW</t>
        </is>
      </c>
      <c r="D748" s="30" t="inlineStr">
        <is>
          <t>Full time</t>
        </is>
      </c>
      <c r="E748" s="42">
        <f>VLOOKUP(A748,'[1]Virtus SAMPLE PositionHistorySa'!$A:$L,12,0)</f>
        <v/>
      </c>
      <c r="F748" s="31" t="inlineStr">
        <is>
          <t>0.80</t>
        </is>
      </c>
      <c r="G748" s="32">
        <f>VLOOKUP(A748,Sheet3!A:K,10,0)/38</f>
        <v/>
      </c>
      <c r="H748" s="32">
        <f>F748-G748</f>
        <v/>
      </c>
      <c r="I748" s="29" t="n"/>
    </row>
    <row r="749">
      <c r="A749" s="29" t="n">
        <v>1320</v>
      </c>
      <c r="B749" s="30" t="inlineStr">
        <is>
          <t>VIC-TAS</t>
        </is>
      </c>
      <c r="C749" s="30" t="inlineStr">
        <is>
          <t>MIVFS2022</t>
        </is>
      </c>
      <c r="D749" s="30" t="inlineStr">
        <is>
          <t>Full time</t>
        </is>
      </c>
      <c r="E749" s="42">
        <f>VLOOKUP(A749,'[1]Virtus SAMPLE PositionHistorySa'!$A:$L,12,0)</f>
        <v/>
      </c>
      <c r="F749" s="31" t="inlineStr">
        <is>
          <t>3.40</t>
        </is>
      </c>
      <c r="G749" s="32">
        <f>VLOOKUP(A749,Sheet3!A:K,10,0)/38</f>
        <v/>
      </c>
      <c r="H749" s="32">
        <f>F749-G749</f>
        <v/>
      </c>
      <c r="I749" s="29" t="n"/>
    </row>
    <row r="750">
      <c r="A750" s="29" t="n">
        <v>20885</v>
      </c>
      <c r="B750" s="30" t="inlineStr">
        <is>
          <t>NSW-QLD</t>
        </is>
      </c>
      <c r="C750" s="30" t="inlineStr">
        <is>
          <t>IVFS2023</t>
        </is>
      </c>
      <c r="D750" s="30" t="inlineStr">
        <is>
          <t>Full time</t>
        </is>
      </c>
      <c r="E750" s="42">
        <f>VLOOKUP(A750,'[1]Virtus SAMPLE PositionHistorySa'!$A:$L,12,0)</f>
        <v/>
      </c>
      <c r="F750" s="31" t="inlineStr">
        <is>
          <t>3.40</t>
        </is>
      </c>
      <c r="G750" s="32">
        <f>VLOOKUP(A750,Sheet3!A:K,10,0)/38</f>
        <v/>
      </c>
      <c r="H750" s="32">
        <f>F750-G750</f>
        <v/>
      </c>
      <c r="I750" s="29" t="n"/>
    </row>
    <row r="751">
      <c r="A751" s="29" t="n">
        <v>20883</v>
      </c>
      <c r="B751" s="30" t="inlineStr">
        <is>
          <t>NSW-QLD</t>
        </is>
      </c>
      <c r="C751" s="30" t="inlineStr">
        <is>
          <t>IVFS2023</t>
        </is>
      </c>
      <c r="D751" s="30" t="inlineStr">
        <is>
          <t>Full time</t>
        </is>
      </c>
      <c r="E751" s="42">
        <f>VLOOKUP(A751,'[1]Virtus SAMPLE PositionHistorySa'!$A:$L,12,0)</f>
        <v/>
      </c>
      <c r="F751" s="31" t="inlineStr">
        <is>
          <t>3.40</t>
        </is>
      </c>
      <c r="G751" s="32">
        <f>VLOOKUP(A751,Sheet3!A:K,10,0)/38</f>
        <v/>
      </c>
      <c r="H751" s="32">
        <f>F751-G751</f>
        <v/>
      </c>
      <c r="I751" s="29" t="n"/>
    </row>
    <row r="752">
      <c r="A752" s="29" t="n">
        <v>20810</v>
      </c>
      <c r="B752" s="30" t="inlineStr">
        <is>
          <t>NSW-QLD</t>
        </is>
      </c>
      <c r="C752" s="30" t="inlineStr">
        <is>
          <t>IVFN2021</t>
        </is>
      </c>
      <c r="D752" s="30" t="inlineStr">
        <is>
          <t>Full time</t>
        </is>
      </c>
      <c r="E752" s="42">
        <f>VLOOKUP(A752,'[1]Virtus SAMPLE PositionHistorySa'!$A:$L,12,0)</f>
        <v/>
      </c>
      <c r="F752" s="31" t="inlineStr">
        <is>
          <t>4.27</t>
        </is>
      </c>
      <c r="G752" s="32">
        <f>VLOOKUP(A752,Sheet3!A:K,10,0)/38</f>
        <v/>
      </c>
      <c r="H752" s="32">
        <f>F752-G752</f>
        <v/>
      </c>
      <c r="I752" s="29" t="n"/>
    </row>
    <row r="753">
      <c r="A753" s="29" t="inlineStr">
        <is>
          <t>AU22650</t>
        </is>
      </c>
      <c r="B753" s="30" t="inlineStr">
        <is>
          <t>NSW-QLD</t>
        </is>
      </c>
      <c r="C753" s="30" t="inlineStr">
        <is>
          <t>VIC</t>
        </is>
      </c>
      <c r="D753" s="30" t="inlineStr">
        <is>
          <t>Full time</t>
        </is>
      </c>
      <c r="E753" s="42">
        <f>VLOOKUP(A753,'[1]Virtus SAMPLE PositionHistorySa'!$A:$L,12,0)</f>
        <v/>
      </c>
      <c r="F753" s="31" t="inlineStr">
        <is>
          <t>2.53</t>
        </is>
      </c>
      <c r="G753" s="32">
        <f>VLOOKUP(A753,Sheet3!A:K,10,0)/38</f>
        <v/>
      </c>
      <c r="H753" s="32">
        <f>F753-G753</f>
        <v/>
      </c>
      <c r="I753" s="29" t="n"/>
    </row>
    <row r="754">
      <c r="A754" s="29" t="n">
        <v>20077</v>
      </c>
      <c r="B754" s="30" t="inlineStr">
        <is>
          <t>NSW-QLD</t>
        </is>
      </c>
      <c r="C754" s="30" t="inlineStr">
        <is>
          <t>NSW</t>
        </is>
      </c>
      <c r="D754" s="30" t="inlineStr">
        <is>
          <t>Casual</t>
        </is>
      </c>
      <c r="E754" s="42">
        <f>VLOOKUP(A754,'[1]Virtus SAMPLE PositionHistorySa'!$A:$L,12,0)</f>
        <v/>
      </c>
      <c r="F754" s="31" t="inlineStr">
        <is>
          <t>17.27</t>
        </is>
      </c>
      <c r="G754" s="32" t="n"/>
      <c r="H754" s="32" t="n"/>
      <c r="I754" s="29" t="n"/>
    </row>
    <row r="755">
      <c r="A755" s="29" t="inlineStr">
        <is>
          <t>AU23425</t>
        </is>
      </c>
      <c r="B755" s="30" t="inlineStr">
        <is>
          <t>NSW-QLD</t>
        </is>
      </c>
      <c r="C755" s="30" t="inlineStr">
        <is>
          <t>IVFS2023</t>
        </is>
      </c>
      <c r="D755" s="30" t="inlineStr">
        <is>
          <t>Full time</t>
        </is>
      </c>
      <c r="E755" s="42">
        <f>VLOOKUP(A755,'[1]Virtus SAMPLE PositionHistorySa'!$A:$L,12,0)</f>
        <v/>
      </c>
      <c r="F755" s="31" t="inlineStr">
        <is>
          <t>0.79</t>
        </is>
      </c>
      <c r="G755" s="32">
        <f>VLOOKUP(A755,Sheet3!A:K,10,0)/38</f>
        <v/>
      </c>
      <c r="H755" s="32">
        <f>F755-G755</f>
        <v/>
      </c>
      <c r="I755" s="29" t="n"/>
    </row>
    <row r="756">
      <c r="A756" s="29" t="inlineStr">
        <is>
          <t>AU23398</t>
        </is>
      </c>
      <c r="B756" s="30" t="inlineStr">
        <is>
          <t>NSW-QLD</t>
        </is>
      </c>
      <c r="C756" s="30" t="inlineStr">
        <is>
          <t>NSW</t>
        </is>
      </c>
      <c r="D756" s="30" t="inlineStr">
        <is>
          <t>Part time</t>
        </is>
      </c>
      <c r="E756" s="42">
        <f>VLOOKUP(A756,'[1]Virtus SAMPLE PositionHistorySa'!$A:$L,12,0)</f>
        <v/>
      </c>
      <c r="F756" s="31" t="inlineStr">
        <is>
          <t>0.79</t>
        </is>
      </c>
      <c r="G756" s="32" t="n"/>
      <c r="H756" s="32" t="n"/>
      <c r="I756" s="29" t="n"/>
    </row>
    <row r="757">
      <c r="A757" s="29" t="inlineStr">
        <is>
          <t>AU23417</t>
        </is>
      </c>
      <c r="B757" s="30" t="inlineStr">
        <is>
          <t>VIC-TAS</t>
        </is>
      </c>
      <c r="C757" s="30" t="inlineStr">
        <is>
          <t>MIVFN2023</t>
        </is>
      </c>
      <c r="D757" s="30" t="inlineStr">
        <is>
          <t>Part time</t>
        </is>
      </c>
      <c r="E757" s="42">
        <f>VLOOKUP(A757,'[1]Virtus SAMPLE PositionHistorySa'!$A:$L,12,0)</f>
        <v/>
      </c>
      <c r="F757" s="31" t="inlineStr">
        <is>
          <t>0.79</t>
        </is>
      </c>
      <c r="G757" s="32" t="n"/>
      <c r="H757" s="32" t="n"/>
      <c r="I757" s="29" t="n"/>
    </row>
    <row r="758">
      <c r="A758" s="29" t="n">
        <v>1027</v>
      </c>
      <c r="B758" s="30" t="inlineStr">
        <is>
          <t>VIC-TAS</t>
        </is>
      </c>
      <c r="C758" s="30" t="inlineStr">
        <is>
          <t>MIVFN2023</t>
        </is>
      </c>
      <c r="D758" s="30" t="inlineStr">
        <is>
          <t>Part time</t>
        </is>
      </c>
      <c r="E758" s="42">
        <f>VLOOKUP(A758,'[1]Virtus SAMPLE PositionHistorySa'!$A:$L,12,0)</f>
        <v/>
      </c>
      <c r="F758" s="31" t="inlineStr">
        <is>
          <t>6.86</t>
        </is>
      </c>
      <c r="G758" s="32" t="n"/>
      <c r="H758" s="32" t="n"/>
      <c r="I758" s="29" t="n"/>
    </row>
    <row r="759">
      <c r="A759" s="29" t="n">
        <v>60037</v>
      </c>
      <c r="B759" s="30" t="inlineStr">
        <is>
          <t>NSW-QLD</t>
        </is>
      </c>
      <c r="C759" s="30" t="inlineStr">
        <is>
          <t>QN2025</t>
        </is>
      </c>
      <c r="D759" s="30" t="inlineStr">
        <is>
          <t>Part time</t>
        </is>
      </c>
      <c r="E759" s="42">
        <f>VLOOKUP(A759,'[1]Virtus SAMPLE PositionHistorySa'!$A:$L,12,0)</f>
        <v/>
      </c>
      <c r="F759" s="31" t="inlineStr">
        <is>
          <t>10.29</t>
        </is>
      </c>
      <c r="G759" s="32" t="n"/>
      <c r="H759" s="32" t="n"/>
      <c r="I759" s="29" t="n"/>
    </row>
    <row r="760">
      <c r="A760" s="29" t="inlineStr">
        <is>
          <t>AU23025</t>
        </is>
      </c>
      <c r="B760" s="30" t="inlineStr">
        <is>
          <t>NSW-QLD</t>
        </is>
      </c>
      <c r="C760" s="30" t="inlineStr">
        <is>
          <t>IVFT2024</t>
        </is>
      </c>
      <c r="D760" s="30" t="inlineStr">
        <is>
          <t>Full time</t>
        </is>
      </c>
      <c r="E760" s="42">
        <f>VLOOKUP(A760,'[1]Virtus SAMPLE PositionHistorySa'!$A:$L,12,0)</f>
        <v/>
      </c>
      <c r="F760" s="31" t="inlineStr">
        <is>
          <t>1.66</t>
        </is>
      </c>
      <c r="G760" s="32">
        <f>VLOOKUP(A760,Sheet3!A:K,10,0)/38</f>
        <v/>
      </c>
      <c r="H760" s="32">
        <f>F760-G760</f>
        <v/>
      </c>
      <c r="I760" s="29" t="n"/>
    </row>
    <row r="761">
      <c r="A761" s="29" t="n">
        <v>40005</v>
      </c>
      <c r="B761" s="30" t="inlineStr">
        <is>
          <t>NSW-QLD</t>
        </is>
      </c>
      <c r="C761" s="30" t="inlineStr">
        <is>
          <t>IVFS2023</t>
        </is>
      </c>
      <c r="D761" s="30" t="inlineStr">
        <is>
          <t>Part time</t>
        </is>
      </c>
      <c r="E761" s="42">
        <f>VLOOKUP(A761,'[1]Virtus SAMPLE PositionHistorySa'!$A:$L,12,0)</f>
        <v/>
      </c>
      <c r="F761" s="31" t="inlineStr">
        <is>
          <t>13.02</t>
        </is>
      </c>
      <c r="G761" s="32" t="n"/>
      <c r="H761" s="32" t="n"/>
      <c r="I761" s="29" t="n"/>
    </row>
    <row r="762">
      <c r="A762" s="29" t="n">
        <v>30132</v>
      </c>
      <c r="B762" s="30" t="inlineStr">
        <is>
          <t>NSW-QLD</t>
        </is>
      </c>
      <c r="C762" s="30" t="inlineStr">
        <is>
          <t>IVFN2021</t>
        </is>
      </c>
      <c r="D762" s="30" t="inlineStr">
        <is>
          <t>Casual</t>
        </is>
      </c>
      <c r="E762" s="42">
        <f>VLOOKUP(A762,'[1]Virtus SAMPLE PositionHistorySa'!$A:$L,12,0)</f>
        <v/>
      </c>
      <c r="F762" s="31" t="inlineStr">
        <is>
          <t>9.46</t>
        </is>
      </c>
      <c r="G762" s="32" t="n"/>
      <c r="H762" s="32" t="n"/>
      <c r="I762" s="29" t="n"/>
    </row>
    <row r="763">
      <c r="A763" s="29" t="inlineStr">
        <is>
          <t>AU22673</t>
        </is>
      </c>
      <c r="B763" s="30" t="inlineStr">
        <is>
          <t>NSW-QLD</t>
        </is>
      </c>
      <c r="C763" s="30" t="inlineStr">
        <is>
          <t>IVFN2021</t>
        </is>
      </c>
      <c r="D763" s="30" t="inlineStr">
        <is>
          <t>Full time</t>
        </is>
      </c>
      <c r="E763" s="42">
        <f>VLOOKUP(A763,'[1]Virtus SAMPLE PositionHistorySa'!$A:$L,12,0)</f>
        <v/>
      </c>
      <c r="F763" s="31" t="inlineStr">
        <is>
          <t>2.52</t>
        </is>
      </c>
      <c r="G763" s="32">
        <f>VLOOKUP(A763,Sheet3!A:K,10,0)/38</f>
        <v/>
      </c>
      <c r="H763" s="32">
        <f>F763-G763</f>
        <v/>
      </c>
      <c r="I763" s="29" t="n"/>
    </row>
    <row r="764">
      <c r="A764" s="29" t="inlineStr">
        <is>
          <t>AU22662</t>
        </is>
      </c>
      <c r="B764" s="30" t="inlineStr">
        <is>
          <t>NSW-QLD</t>
        </is>
      </c>
      <c r="C764" s="30" t="inlineStr">
        <is>
          <t>IVFS2023</t>
        </is>
      </c>
      <c r="D764" s="30" t="inlineStr">
        <is>
          <t>Full time</t>
        </is>
      </c>
      <c r="E764" s="42">
        <f>VLOOKUP(A764,'[1]Virtus SAMPLE PositionHistorySa'!$A:$L,12,0)</f>
        <v/>
      </c>
      <c r="F764" s="31" t="inlineStr">
        <is>
          <t>2.52</t>
        </is>
      </c>
      <c r="G764" s="32">
        <f>VLOOKUP(A764,Sheet3!A:K,10,0)/38</f>
        <v/>
      </c>
      <c r="H764" s="32">
        <f>F764-G764</f>
        <v/>
      </c>
      <c r="I764" s="29" t="n"/>
    </row>
    <row r="765">
      <c r="A765" s="29" t="inlineStr">
        <is>
          <t>AU22646</t>
        </is>
      </c>
      <c r="B765" s="30" t="inlineStr">
        <is>
          <t>NSW-QLD</t>
        </is>
      </c>
      <c r="C765" s="30" t="inlineStr">
        <is>
          <t>IVFN2021</t>
        </is>
      </c>
      <c r="D765" s="30" t="inlineStr">
        <is>
          <t>Full time</t>
        </is>
      </c>
      <c r="E765" s="42">
        <f>VLOOKUP(A765,'[1]Virtus SAMPLE PositionHistorySa'!$A:$L,12,0)</f>
        <v/>
      </c>
      <c r="F765" s="31" t="inlineStr">
        <is>
          <t>2.52</t>
        </is>
      </c>
      <c r="G765" s="32">
        <f>VLOOKUP(A765,Sheet3!A:K,10,0)/38</f>
        <v/>
      </c>
      <c r="H765" s="32">
        <f>F765-G765</f>
        <v/>
      </c>
      <c r="I765" s="29" t="n"/>
    </row>
    <row r="766">
      <c r="A766" s="29" t="inlineStr">
        <is>
          <t>AU22656</t>
        </is>
      </c>
      <c r="B766" s="30" t="inlineStr">
        <is>
          <t>NSW-QLD</t>
        </is>
      </c>
      <c r="C766" s="30" t="inlineStr">
        <is>
          <t>IVFN2021</t>
        </is>
      </c>
      <c r="D766" s="30" t="inlineStr">
        <is>
          <t>Full time</t>
        </is>
      </c>
      <c r="E766" s="42">
        <f>VLOOKUP(A766,'[1]Virtus SAMPLE PositionHistorySa'!$A:$L,12,0)</f>
        <v/>
      </c>
      <c r="F766" s="31" t="inlineStr">
        <is>
          <t>2.52</t>
        </is>
      </c>
      <c r="G766" s="32">
        <f>VLOOKUP(A766,Sheet3!A:K,10,0)/38</f>
        <v/>
      </c>
      <c r="H766" s="32">
        <f>F766-G766</f>
        <v/>
      </c>
      <c r="I766" s="29" t="n"/>
    </row>
    <row r="767">
      <c r="A767" s="29" t="inlineStr">
        <is>
          <t>AU23445</t>
        </is>
      </c>
      <c r="B767" s="30" t="inlineStr">
        <is>
          <t>NSW-QLD</t>
        </is>
      </c>
      <c r="C767" s="30" t="inlineStr">
        <is>
          <t>IVFS2023</t>
        </is>
      </c>
      <c r="D767" s="30" t="inlineStr">
        <is>
          <t>Casual</t>
        </is>
      </c>
      <c r="E767" s="42">
        <f>VLOOKUP(A767,'[1]Virtus SAMPLE PositionHistorySa'!$A:$L,12,0)</f>
        <v/>
      </c>
      <c r="F767" s="31" t="inlineStr">
        <is>
          <t>0.79</t>
        </is>
      </c>
      <c r="G767" s="32" t="n"/>
      <c r="H767" s="32" t="n"/>
      <c r="I767" s="29" t="n"/>
    </row>
    <row r="768">
      <c r="A768" s="29" t="n">
        <v>70004</v>
      </c>
      <c r="B768" s="30" t="inlineStr">
        <is>
          <t>NSW-QLD</t>
        </is>
      </c>
      <c r="C768" s="30" t="inlineStr">
        <is>
          <t>QN2025</t>
        </is>
      </c>
      <c r="D768" s="30" t="inlineStr">
        <is>
          <t>Full time</t>
        </is>
      </c>
      <c r="E768" s="42">
        <f>VLOOKUP(A768,'[1]Virtus SAMPLE PositionHistorySa'!$A:$L,12,0)</f>
        <v/>
      </c>
      <c r="F768" s="31" t="inlineStr">
        <is>
          <t>12.78</t>
        </is>
      </c>
      <c r="G768" s="32">
        <f>VLOOKUP(A768,Sheet3!A:K,10,0)/38</f>
        <v/>
      </c>
      <c r="H768" s="32">
        <f>F768-G768</f>
        <v/>
      </c>
      <c r="I768" s="29" t="n"/>
    </row>
    <row r="769">
      <c r="A769" s="29" t="n">
        <v>1326</v>
      </c>
      <c r="B769" s="30" t="inlineStr">
        <is>
          <t>VIC-TAS</t>
        </is>
      </c>
      <c r="C769" s="30" t="inlineStr">
        <is>
          <t>MIVFS2022</t>
        </is>
      </c>
      <c r="D769" s="30" t="inlineStr">
        <is>
          <t>Full time</t>
        </is>
      </c>
      <c r="E769" s="42">
        <f>VLOOKUP(A769,'[1]Virtus SAMPLE PositionHistorySa'!$A:$L,12,0)</f>
        <v/>
      </c>
      <c r="F769" s="31" t="inlineStr">
        <is>
          <t>3.39</t>
        </is>
      </c>
      <c r="G769" s="32">
        <f>VLOOKUP(A769,Sheet3!A:K,10,0)/38</f>
        <v/>
      </c>
      <c r="H769" s="32">
        <f>F769-G769</f>
        <v/>
      </c>
      <c r="I769" s="29" t="n"/>
    </row>
    <row r="770">
      <c r="A770" s="29" t="n">
        <v>80442</v>
      </c>
      <c r="B770" s="30" t="inlineStr">
        <is>
          <t>NSW-QLD</t>
        </is>
      </c>
      <c r="C770" s="30" t="inlineStr">
        <is>
          <t>IVFS2023</t>
        </is>
      </c>
      <c r="D770" s="30" t="inlineStr">
        <is>
          <t>Full time</t>
        </is>
      </c>
      <c r="E770" s="42">
        <f>VLOOKUP(A770,'[1]Virtus SAMPLE PositionHistorySa'!$A:$L,12,0)</f>
        <v/>
      </c>
      <c r="F770" s="31" t="inlineStr">
        <is>
          <t>3.39</t>
        </is>
      </c>
      <c r="G770" s="32">
        <f>VLOOKUP(A770,Sheet3!A:K,10,0)/38</f>
        <v/>
      </c>
      <c r="H770" s="32">
        <f>F770-G770</f>
        <v/>
      </c>
      <c r="I770" s="29" t="n"/>
    </row>
    <row r="771">
      <c r="A771" s="29" t="n">
        <v>1324</v>
      </c>
      <c r="B771" s="30" t="inlineStr">
        <is>
          <t>VIC-TAS</t>
        </is>
      </c>
      <c r="C771" s="30" t="inlineStr">
        <is>
          <t>MIVFN2023</t>
        </is>
      </c>
      <c r="D771" s="30" t="inlineStr">
        <is>
          <t>Casual</t>
        </is>
      </c>
      <c r="E771" s="42">
        <f>VLOOKUP(A771,'[1]Virtus SAMPLE PositionHistorySa'!$A:$L,12,0)</f>
        <v/>
      </c>
      <c r="F771" s="31" t="inlineStr">
        <is>
          <t>3.39</t>
        </is>
      </c>
      <c r="G771" s="32" t="n"/>
      <c r="H771" s="32" t="n"/>
      <c r="I771" s="29" t="n"/>
    </row>
    <row r="772">
      <c r="A772" s="29" t="n">
        <v>20887</v>
      </c>
      <c r="B772" s="30" t="inlineStr">
        <is>
          <t>NSW-QLD</t>
        </is>
      </c>
      <c r="C772" s="30" t="inlineStr">
        <is>
          <t>IVFN2021</t>
        </is>
      </c>
      <c r="D772" s="30" t="inlineStr">
        <is>
          <t>Part time</t>
        </is>
      </c>
      <c r="E772" s="42">
        <f>VLOOKUP(A772,'[1]Virtus SAMPLE PositionHistorySa'!$A:$L,12,0)</f>
        <v/>
      </c>
      <c r="F772" s="31" t="inlineStr">
        <is>
          <t>3.39</t>
        </is>
      </c>
      <c r="G772" s="32" t="n"/>
      <c r="H772" s="32" t="n"/>
      <c r="I772" s="29" t="n"/>
    </row>
    <row r="773">
      <c r="A773" s="29" t="n">
        <v>20888</v>
      </c>
      <c r="B773" s="30" t="inlineStr">
        <is>
          <t>NSW-QLD</t>
        </is>
      </c>
      <c r="C773" s="30" t="inlineStr">
        <is>
          <t>IVFN2021</t>
        </is>
      </c>
      <c r="D773" s="30" t="inlineStr">
        <is>
          <t>Part time</t>
        </is>
      </c>
      <c r="E773" s="42">
        <f>VLOOKUP(A773,'[1]Virtus SAMPLE PositionHistorySa'!$A:$L,12,0)</f>
        <v/>
      </c>
      <c r="F773" s="31" t="inlineStr">
        <is>
          <t>3.39</t>
        </is>
      </c>
      <c r="G773" s="32" t="n"/>
      <c r="H773" s="32" t="n"/>
      <c r="I773" s="29" t="n"/>
    </row>
    <row r="774">
      <c r="A774" s="29" t="n">
        <v>20190</v>
      </c>
      <c r="B774" s="30" t="inlineStr">
        <is>
          <t>NSW-QLD</t>
        </is>
      </c>
      <c r="C774" s="30" t="inlineStr">
        <is>
          <t>IVFS2023</t>
        </is>
      </c>
      <c r="D774" s="30" t="inlineStr">
        <is>
          <t>Full time</t>
        </is>
      </c>
      <c r="E774" s="42">
        <f>VLOOKUP(A774,'[1]Virtus SAMPLE PositionHistorySa'!$A:$L,12,0)</f>
        <v/>
      </c>
      <c r="F774" s="31" t="inlineStr">
        <is>
          <t>8.78</t>
        </is>
      </c>
      <c r="G774" s="32">
        <f>VLOOKUP(A774,Sheet3!A:K,10,0)/38</f>
        <v/>
      </c>
      <c r="H774" s="32">
        <f>F774-G774</f>
        <v/>
      </c>
      <c r="I774" s="29" t="n"/>
    </row>
    <row r="775">
      <c r="A775" s="29" t="n">
        <v>80081</v>
      </c>
      <c r="B775" s="30" t="inlineStr">
        <is>
          <t>NSW-QLD</t>
        </is>
      </c>
      <c r="C775" s="30" t="inlineStr">
        <is>
          <t>IVFS2023</t>
        </is>
      </c>
      <c r="D775" s="30" t="inlineStr">
        <is>
          <t>Full time</t>
        </is>
      </c>
      <c r="E775" s="42">
        <f>VLOOKUP(A775,'[1]Virtus SAMPLE PositionHistorySa'!$A:$L,12,0)</f>
        <v/>
      </c>
      <c r="F775" s="31" t="inlineStr">
        <is>
          <t>13.02</t>
        </is>
      </c>
      <c r="G775" s="32">
        <f>VLOOKUP(A775,Sheet3!A:K,10,0)/38</f>
        <v/>
      </c>
      <c r="H775" s="32">
        <f>F775-G775</f>
        <v/>
      </c>
      <c r="I775" s="29" t="n"/>
    </row>
    <row r="776">
      <c r="A776" s="29" t="n">
        <v>20813</v>
      </c>
      <c r="B776" s="30" t="inlineStr">
        <is>
          <t>NSW-QLD</t>
        </is>
      </c>
      <c r="C776" s="30" t="inlineStr">
        <is>
          <t>IVFS2023</t>
        </is>
      </c>
      <c r="D776" s="30" t="inlineStr">
        <is>
          <t>Full time</t>
        </is>
      </c>
      <c r="E776" s="42">
        <f>VLOOKUP(A776,'[1]Virtus SAMPLE PositionHistorySa'!$A:$L,12,0)</f>
        <v/>
      </c>
      <c r="F776" s="31" t="inlineStr">
        <is>
          <t>4.25</t>
        </is>
      </c>
      <c r="G776" s="32">
        <f>VLOOKUP(A776,Sheet3!A:K,10,0)/38</f>
        <v/>
      </c>
      <c r="H776" s="32">
        <f>F776-G776</f>
        <v/>
      </c>
      <c r="I776" s="29" t="n"/>
    </row>
    <row r="777">
      <c r="A777" s="29" t="inlineStr">
        <is>
          <t>AU22663</t>
        </is>
      </c>
      <c r="B777" s="30" t="inlineStr">
        <is>
          <t>NSW-QLD</t>
        </is>
      </c>
      <c r="C777" s="30" t="inlineStr">
        <is>
          <t>IVFS2023</t>
        </is>
      </c>
      <c r="D777" s="30" t="inlineStr">
        <is>
          <t>Casual</t>
        </is>
      </c>
      <c r="E777" s="42">
        <f>VLOOKUP(A777,'[1]Virtus SAMPLE PositionHistorySa'!$A:$L,12,0)</f>
        <v/>
      </c>
      <c r="F777" s="31" t="inlineStr">
        <is>
          <t>2.52</t>
        </is>
      </c>
      <c r="G777" s="32" t="n"/>
      <c r="H777" s="32" t="n"/>
      <c r="I777" s="29" t="n"/>
    </row>
    <row r="778">
      <c r="A778" s="29" t="n">
        <v>80055</v>
      </c>
      <c r="B778" s="30" t="inlineStr">
        <is>
          <t>NSW-QLD</t>
        </is>
      </c>
      <c r="C778" s="30" t="inlineStr">
        <is>
          <t>QN2025</t>
        </is>
      </c>
      <c r="D778" s="30" t="inlineStr">
        <is>
          <t>Part time</t>
        </is>
      </c>
      <c r="E778" s="42">
        <f>VLOOKUP(A778,'[1]Virtus SAMPLE PositionHistorySa'!$A:$L,12,0)</f>
        <v/>
      </c>
      <c r="F778" s="31" t="inlineStr">
        <is>
          <t>11.72</t>
        </is>
      </c>
      <c r="G778" s="32" t="n"/>
      <c r="H778" s="32" t="n"/>
      <c r="I778" s="29" t="n"/>
    </row>
    <row r="779">
      <c r="A779" s="29" t="n">
        <v>1441</v>
      </c>
      <c r="B779" s="30" t="inlineStr">
        <is>
          <t>VIC-TAS</t>
        </is>
      </c>
      <c r="C779" s="30" t="inlineStr">
        <is>
          <t>MIVFN2023</t>
        </is>
      </c>
      <c r="D779" s="30" t="inlineStr">
        <is>
          <t>Casual</t>
        </is>
      </c>
      <c r="E779" s="42">
        <f>VLOOKUP(A779,'[1]Virtus SAMPLE PositionHistorySa'!$A:$L,12,0)</f>
        <v/>
      </c>
      <c r="F779" s="31" t="inlineStr">
        <is>
          <t>3.38</t>
        </is>
      </c>
      <c r="G779" s="32" t="n"/>
      <c r="H779" s="32" t="n"/>
      <c r="I779" s="29" t="n"/>
    </row>
    <row r="780">
      <c r="A780" s="29" t="inlineStr">
        <is>
          <t>AU22641</t>
        </is>
      </c>
      <c r="B780" s="30" t="inlineStr">
        <is>
          <t>VIC-TAS</t>
        </is>
      </c>
      <c r="C780" s="30" t="inlineStr">
        <is>
          <t>TIVF2024</t>
        </is>
      </c>
      <c r="D780" s="30" t="inlineStr">
        <is>
          <t>Casual</t>
        </is>
      </c>
      <c r="E780" s="42">
        <f>VLOOKUP(A780,'[1]Virtus SAMPLE PositionHistorySa'!$A:$L,12,0)</f>
        <v/>
      </c>
      <c r="F780" s="31" t="inlineStr">
        <is>
          <t>2.51</t>
        </is>
      </c>
      <c r="G780" s="32" t="n"/>
      <c r="H780" s="32" t="n"/>
      <c r="I780" s="29" t="n"/>
    </row>
    <row r="781">
      <c r="A781" s="29" t="inlineStr">
        <is>
          <t>AU23457</t>
        </is>
      </c>
      <c r="B781" s="30" t="inlineStr">
        <is>
          <t>VIC-TAS</t>
        </is>
      </c>
      <c r="C781" s="30" t="inlineStr">
        <is>
          <t>TIVF2024</t>
        </is>
      </c>
      <c r="D781" s="30" t="inlineStr">
        <is>
          <t>Full time</t>
        </is>
      </c>
      <c r="E781" s="42">
        <f>VLOOKUP(A781,'[1]Virtus SAMPLE PositionHistorySa'!$A:$L,12,0)</f>
        <v/>
      </c>
      <c r="F781" s="31" t="inlineStr">
        <is>
          <t>0.78</t>
        </is>
      </c>
      <c r="G781" s="32">
        <f>VLOOKUP(A781,Sheet3!A:K,10,0)/38</f>
        <v/>
      </c>
      <c r="H781" s="32">
        <f>F781-G781</f>
        <v/>
      </c>
      <c r="I781" s="29" t="n"/>
    </row>
    <row r="782">
      <c r="A782" s="29" t="inlineStr">
        <is>
          <t>AU23440</t>
        </is>
      </c>
      <c r="B782" s="30" t="inlineStr">
        <is>
          <t>VIC-TAS</t>
        </is>
      </c>
      <c r="C782" s="30" t="inlineStr">
        <is>
          <t>MIVFS2022</t>
        </is>
      </c>
      <c r="D782" s="30" t="inlineStr">
        <is>
          <t>Full time</t>
        </is>
      </c>
      <c r="E782" s="42">
        <f>VLOOKUP(A782,'[1]Virtus SAMPLE PositionHistorySa'!$A:$L,12,0)</f>
        <v/>
      </c>
      <c r="F782" s="31" t="inlineStr">
        <is>
          <t>0.78</t>
        </is>
      </c>
      <c r="G782" s="32">
        <f>VLOOKUP(A782,Sheet3!A:K,10,0)/38</f>
        <v/>
      </c>
      <c r="H782" s="32">
        <f>F782-G782</f>
        <v/>
      </c>
      <c r="I782" s="29" t="n"/>
    </row>
    <row r="783">
      <c r="A783" s="29" t="inlineStr">
        <is>
          <t>AU23444</t>
        </is>
      </c>
      <c r="B783" s="30" t="inlineStr">
        <is>
          <t>NSW-QLD</t>
        </is>
      </c>
      <c r="C783" s="30" t="inlineStr">
        <is>
          <t>IVFS2023</t>
        </is>
      </c>
      <c r="D783" s="30" t="inlineStr">
        <is>
          <t>Casual</t>
        </is>
      </c>
      <c r="E783" s="42">
        <f>VLOOKUP(A783,'[1]Virtus SAMPLE PositionHistorySa'!$A:$L,12,0)</f>
        <v/>
      </c>
      <c r="F783" s="31" t="inlineStr">
        <is>
          <t>0.78</t>
        </is>
      </c>
      <c r="G783" s="32" t="n"/>
      <c r="H783" s="32" t="n"/>
      <c r="I783" s="29" t="n"/>
    </row>
    <row r="784">
      <c r="A784" s="29" t="inlineStr">
        <is>
          <t>AU23452</t>
        </is>
      </c>
      <c r="B784" s="30" t="inlineStr">
        <is>
          <t>NSW-QLD</t>
        </is>
      </c>
      <c r="C784" s="30" t="inlineStr">
        <is>
          <t>IVFS2023</t>
        </is>
      </c>
      <c r="D784" s="30" t="inlineStr">
        <is>
          <t>Casual</t>
        </is>
      </c>
      <c r="E784" s="42">
        <f>VLOOKUP(A784,'[1]Virtus SAMPLE PositionHistorySa'!$A:$L,12,0)</f>
        <v/>
      </c>
      <c r="F784" s="31" t="inlineStr">
        <is>
          <t>0.78</t>
        </is>
      </c>
      <c r="G784" s="32" t="n"/>
      <c r="H784" s="32" t="n"/>
      <c r="I784" s="29" t="n"/>
    </row>
    <row r="785">
      <c r="A785" s="29" t="n">
        <v>1096</v>
      </c>
      <c r="B785" s="30" t="inlineStr">
        <is>
          <t>VIC-TAS</t>
        </is>
      </c>
      <c r="C785" s="30" t="inlineStr">
        <is>
          <t>MIVFS2022</t>
        </is>
      </c>
      <c r="D785" s="30" t="inlineStr">
        <is>
          <t>Full time</t>
        </is>
      </c>
      <c r="E785" s="42">
        <f>VLOOKUP(A785,'[1]Virtus SAMPLE PositionHistorySa'!$A:$L,12,0)</f>
        <v/>
      </c>
      <c r="F785" s="31" t="inlineStr">
        <is>
          <t>5.98</t>
        </is>
      </c>
      <c r="G785" s="32">
        <f>VLOOKUP(A785,Sheet3!A:K,10,0)/38</f>
        <v/>
      </c>
      <c r="H785" s="32">
        <f>F785-G785</f>
        <v/>
      </c>
      <c r="I785" s="29" t="n"/>
    </row>
    <row r="786">
      <c r="A786" s="29" t="inlineStr">
        <is>
          <t>AU23029</t>
        </is>
      </c>
      <c r="B786" s="30" t="inlineStr">
        <is>
          <t>NSW-QLD</t>
        </is>
      </c>
      <c r="C786" s="30" t="inlineStr">
        <is>
          <t>IVFT2024</t>
        </is>
      </c>
      <c r="D786" s="30" t="inlineStr">
        <is>
          <t>Full time</t>
        </is>
      </c>
      <c r="E786" s="42">
        <f>VLOOKUP(A786,'[1]Virtus SAMPLE PositionHistorySa'!$A:$L,12,0)</f>
        <v/>
      </c>
      <c r="F786" s="31" t="inlineStr">
        <is>
          <t>1.64</t>
        </is>
      </c>
      <c r="G786" s="32">
        <f>VLOOKUP(A786,Sheet3!A:K,10,0)/38</f>
        <v/>
      </c>
      <c r="H786" s="32">
        <f>F786-G786</f>
        <v/>
      </c>
      <c r="I786" s="29" t="n"/>
    </row>
    <row r="787">
      <c r="A787" s="29" t="n">
        <v>20161</v>
      </c>
      <c r="B787" s="30" t="inlineStr">
        <is>
          <t>NSW-QLD</t>
        </is>
      </c>
      <c r="C787" s="30" t="inlineStr">
        <is>
          <t>IVFN2021</t>
        </is>
      </c>
      <c r="D787" s="30" t="inlineStr">
        <is>
          <t>Full time</t>
        </is>
      </c>
      <c r="E787" s="42">
        <f>VLOOKUP(A787,'[1]Virtus SAMPLE PositionHistorySa'!$A:$L,12,0)</f>
        <v/>
      </c>
      <c r="F787" s="31" t="inlineStr">
        <is>
          <t>9.95</t>
        </is>
      </c>
      <c r="G787" s="32">
        <f>VLOOKUP(A787,Sheet3!A:K,10,0)/38</f>
        <v/>
      </c>
      <c r="H787" s="32">
        <f>F787-G787</f>
        <v/>
      </c>
      <c r="I787" s="29" t="n"/>
    </row>
    <row r="788">
      <c r="A788" s="29" t="inlineStr">
        <is>
          <t>AU22672</t>
        </is>
      </c>
      <c r="B788" s="30" t="inlineStr">
        <is>
          <t>NSW-QLD</t>
        </is>
      </c>
      <c r="C788" s="30" t="inlineStr">
        <is>
          <t>IVFS2023</t>
        </is>
      </c>
      <c r="D788" s="30" t="inlineStr">
        <is>
          <t>Full time</t>
        </is>
      </c>
      <c r="E788" s="42">
        <f>VLOOKUP(A788,'[1]Virtus SAMPLE PositionHistorySa'!$A:$L,12,0)</f>
        <v/>
      </c>
      <c r="F788" s="31" t="inlineStr">
        <is>
          <t>2.51</t>
        </is>
      </c>
      <c r="G788" s="32">
        <f>VLOOKUP(A788,Sheet3!A:K,10,0)/38</f>
        <v/>
      </c>
      <c r="H788" s="32">
        <f>F788-G788</f>
        <v/>
      </c>
      <c r="I788" s="29" t="n"/>
    </row>
    <row r="789">
      <c r="A789" s="29" t="inlineStr">
        <is>
          <t>AU22613</t>
        </is>
      </c>
      <c r="B789" s="30" t="inlineStr">
        <is>
          <t>NSW-QLD</t>
        </is>
      </c>
      <c r="C789" s="30" t="inlineStr">
        <is>
          <t>QS2024</t>
        </is>
      </c>
      <c r="D789" s="30" t="inlineStr">
        <is>
          <t>Full time</t>
        </is>
      </c>
      <c r="E789" s="42">
        <f>VLOOKUP(A789,'[1]Virtus SAMPLE PositionHistorySa'!$A:$L,12,0)</f>
        <v/>
      </c>
      <c r="F789" s="31" t="inlineStr">
        <is>
          <t>2.51</t>
        </is>
      </c>
      <c r="G789" s="32">
        <f>VLOOKUP(A789,Sheet3!A:K,10,0)/38</f>
        <v/>
      </c>
      <c r="H789" s="32">
        <f>F789-G789</f>
        <v/>
      </c>
      <c r="I789" s="29" t="n"/>
    </row>
    <row r="790">
      <c r="A790" s="29" t="inlineStr">
        <is>
          <t>AU22588</t>
        </is>
      </c>
      <c r="B790" s="30" t="inlineStr">
        <is>
          <t>VIC-TAS</t>
        </is>
      </c>
      <c r="C790" s="30" t="inlineStr">
        <is>
          <t>MIVFN2023</t>
        </is>
      </c>
      <c r="D790" s="30" t="inlineStr">
        <is>
          <t>Part time</t>
        </is>
      </c>
      <c r="E790" s="42">
        <f>VLOOKUP(A790,'[1]Virtus SAMPLE PositionHistorySa'!$A:$L,12,0)</f>
        <v/>
      </c>
      <c r="F790" s="31" t="inlineStr">
        <is>
          <t>2.51</t>
        </is>
      </c>
      <c r="G790" s="32" t="n"/>
      <c r="H790" s="32" t="n"/>
      <c r="I790" s="29" t="n"/>
    </row>
    <row r="791">
      <c r="A791" s="29" t="inlineStr">
        <is>
          <t>AU22665</t>
        </is>
      </c>
      <c r="B791" s="30" t="inlineStr">
        <is>
          <t>NSW-QLD</t>
        </is>
      </c>
      <c r="C791" s="30" t="inlineStr">
        <is>
          <t>IVFN2021</t>
        </is>
      </c>
      <c r="D791" s="30" t="inlineStr">
        <is>
          <t>Part time</t>
        </is>
      </c>
      <c r="E791" s="42">
        <f>VLOOKUP(A791,'[1]Virtus SAMPLE PositionHistorySa'!$A:$L,12,0)</f>
        <v/>
      </c>
      <c r="F791" s="31" t="inlineStr">
        <is>
          <t>2.51</t>
        </is>
      </c>
      <c r="G791" s="32" t="n"/>
      <c r="H791" s="32" t="n"/>
      <c r="I791" s="29" t="n"/>
    </row>
    <row r="792">
      <c r="A792" s="29" t="inlineStr">
        <is>
          <t>AU23032</t>
        </is>
      </c>
      <c r="B792" s="30" t="inlineStr">
        <is>
          <t>NSW-QLD</t>
        </is>
      </c>
      <c r="C792" s="30" t="inlineStr">
        <is>
          <t>IVFT2024</t>
        </is>
      </c>
      <c r="D792" s="30" t="inlineStr">
        <is>
          <t>Full time</t>
        </is>
      </c>
      <c r="E792" s="42">
        <f>VLOOKUP(A792,'[1]Virtus SAMPLE PositionHistorySa'!$A:$L,12,0)</f>
        <v/>
      </c>
      <c r="F792" s="31" t="inlineStr">
        <is>
          <t>1.64</t>
        </is>
      </c>
      <c r="G792" s="32">
        <f>VLOOKUP(A792,Sheet3!A:K,10,0)/38</f>
        <v/>
      </c>
      <c r="H792" s="32">
        <f>F792-G792</f>
        <v/>
      </c>
      <c r="I792" s="29" t="n"/>
    </row>
    <row r="793">
      <c r="A793" s="29" t="n">
        <v>1132</v>
      </c>
      <c r="B793" s="30" t="inlineStr">
        <is>
          <t>VIC-TAS</t>
        </is>
      </c>
      <c r="C793" s="30" t="inlineStr">
        <is>
          <t>MIVFN2023</t>
        </is>
      </c>
      <c r="D793" s="30" t="inlineStr">
        <is>
          <t>Part time</t>
        </is>
      </c>
      <c r="E793" s="42">
        <f>VLOOKUP(A793,'[1]Virtus SAMPLE PositionHistorySa'!$A:$L,12,0)</f>
        <v/>
      </c>
      <c r="F793" s="31" t="inlineStr">
        <is>
          <t>3.37</t>
        </is>
      </c>
      <c r="G793" s="32" t="n"/>
      <c r="H793" s="32" t="n"/>
      <c r="I793" s="29" t="n"/>
    </row>
    <row r="794">
      <c r="A794" s="29" t="n">
        <v>141</v>
      </c>
      <c r="B794" s="30" t="inlineStr">
        <is>
          <t>VIC-TAS</t>
        </is>
      </c>
      <c r="C794" s="30" t="inlineStr">
        <is>
          <t>TIVF2024</t>
        </is>
      </c>
      <c r="D794" s="30" t="inlineStr">
        <is>
          <t>Casual</t>
        </is>
      </c>
      <c r="E794" s="42">
        <f>VLOOKUP(A794,'[1]Virtus SAMPLE PositionHistorySa'!$A:$L,12,0)</f>
        <v/>
      </c>
      <c r="F794" s="31" t="inlineStr">
        <is>
          <t>3.37</t>
        </is>
      </c>
      <c r="G794" s="32" t="n"/>
      <c r="H794" s="32" t="n"/>
      <c r="I794" s="29" t="n"/>
    </row>
    <row r="795">
      <c r="A795" s="29" t="inlineStr">
        <is>
          <t>AU22670</t>
        </is>
      </c>
      <c r="B795" s="30" t="inlineStr">
        <is>
          <t>NSW-QLD</t>
        </is>
      </c>
      <c r="C795" s="30" t="inlineStr">
        <is>
          <t>NSW</t>
        </is>
      </c>
      <c r="D795" s="30" t="inlineStr">
        <is>
          <t>Full time</t>
        </is>
      </c>
      <c r="E795" s="42">
        <f>VLOOKUP(A795,'[1]Virtus SAMPLE PositionHistorySa'!$A:$L,12,0)</f>
        <v/>
      </c>
      <c r="F795" s="31" t="inlineStr">
        <is>
          <t>2.50</t>
        </is>
      </c>
      <c r="G795" s="32">
        <f>VLOOKUP(A795,Sheet3!A:K,10,0)/38</f>
        <v/>
      </c>
      <c r="H795" s="32">
        <f>F795-G795</f>
        <v/>
      </c>
      <c r="I795" s="29" t="n"/>
    </row>
    <row r="796">
      <c r="A796" s="29" t="inlineStr">
        <is>
          <t>AU23033</t>
        </is>
      </c>
      <c r="B796" s="30" t="inlineStr">
        <is>
          <t>NSW-QLD</t>
        </is>
      </c>
      <c r="C796" s="30" t="inlineStr">
        <is>
          <t>QN2025</t>
        </is>
      </c>
      <c r="D796" s="30" t="inlineStr">
        <is>
          <t>Casual</t>
        </is>
      </c>
      <c r="E796" s="42">
        <f>VLOOKUP(A796,'[1]Virtus SAMPLE PositionHistorySa'!$A:$L,12,0)</f>
        <v/>
      </c>
      <c r="F796" s="31" t="inlineStr">
        <is>
          <t>2.46</t>
        </is>
      </c>
      <c r="G796" s="32" t="n"/>
      <c r="H796" s="32" t="n"/>
      <c r="I796" s="29" t="n"/>
    </row>
    <row r="797">
      <c r="A797" s="29" t="n">
        <v>60150</v>
      </c>
      <c r="B797" s="30" t="inlineStr">
        <is>
          <t>NSW-QLD</t>
        </is>
      </c>
      <c r="C797" s="30" t="inlineStr">
        <is>
          <t>QN2025</t>
        </is>
      </c>
      <c r="D797" s="30" t="inlineStr">
        <is>
          <t>Part time</t>
        </is>
      </c>
      <c r="E797" s="42">
        <f>VLOOKUP(A797,'[1]Virtus SAMPLE PositionHistorySa'!$A:$L,12,0)</f>
        <v/>
      </c>
      <c r="F797" s="31" t="inlineStr">
        <is>
          <t>12.85</t>
        </is>
      </c>
      <c r="G797" s="32" t="n"/>
      <c r="H797" s="32" t="n"/>
      <c r="I797" s="29" t="n"/>
    </row>
    <row r="798">
      <c r="A798" s="29" t="n">
        <v>910</v>
      </c>
      <c r="B798" s="30" t="inlineStr">
        <is>
          <t>VIC-TAS</t>
        </is>
      </c>
      <c r="C798" s="30" t="inlineStr">
        <is>
          <t>MIVFN2023</t>
        </is>
      </c>
      <c r="D798" s="30" t="inlineStr">
        <is>
          <t>Part time</t>
        </is>
      </c>
      <c r="E798" s="42">
        <f>VLOOKUP(A798,'[1]Virtus SAMPLE PositionHistorySa'!$A:$L,12,0)</f>
        <v/>
      </c>
      <c r="F798" s="31" t="inlineStr">
        <is>
          <t>8.57</t>
        </is>
      </c>
      <c r="G798" s="32" t="n"/>
      <c r="H798" s="32" t="n"/>
      <c r="I798" s="29" t="n"/>
    </row>
    <row r="799">
      <c r="A799" s="29" t="inlineStr">
        <is>
          <t>AU23400</t>
        </is>
      </c>
      <c r="B799" s="30" t="inlineStr">
        <is>
          <t>NSW-QLD</t>
        </is>
      </c>
      <c r="C799" s="30" t="inlineStr">
        <is>
          <t>IVFN2021</t>
        </is>
      </c>
      <c r="D799" s="30" t="inlineStr">
        <is>
          <t>Casual</t>
        </is>
      </c>
      <c r="E799" s="42">
        <f>VLOOKUP(A799,'[1]Virtus SAMPLE PositionHistorySa'!$A:$L,12,0)</f>
        <v/>
      </c>
      <c r="F799" s="31" t="inlineStr">
        <is>
          <t>4.23</t>
        </is>
      </c>
      <c r="G799" s="32" t="n"/>
      <c r="H799" s="32" t="n"/>
      <c r="I799" s="29" t="n"/>
    </row>
    <row r="800">
      <c r="A800" s="29" t="n">
        <v>80558</v>
      </c>
      <c r="B800" s="30" t="inlineStr">
        <is>
          <t>NSW-QLD</t>
        </is>
      </c>
      <c r="C800" s="30" t="inlineStr">
        <is>
          <t>QS2024</t>
        </is>
      </c>
      <c r="D800" s="30" t="inlineStr">
        <is>
          <t>Full time</t>
        </is>
      </c>
      <c r="E800" s="42">
        <f>VLOOKUP(A800,'[1]Virtus SAMPLE PositionHistorySa'!$A:$L,12,0)</f>
        <v/>
      </c>
      <c r="F800" s="31" t="inlineStr">
        <is>
          <t>3.34</t>
        </is>
      </c>
      <c r="G800" s="32">
        <f>VLOOKUP(A800,Sheet3!A:K,10,0)/38</f>
        <v/>
      </c>
      <c r="H800" s="32">
        <f>F800-G800</f>
        <v/>
      </c>
      <c r="I800" s="29" t="n"/>
    </row>
    <row r="801">
      <c r="A801" s="29" t="n">
        <v>20896</v>
      </c>
      <c r="B801" s="30" t="inlineStr">
        <is>
          <t>NSW-QLD</t>
        </is>
      </c>
      <c r="C801" s="30" t="inlineStr">
        <is>
          <t>IVFN2021</t>
        </is>
      </c>
      <c r="D801" s="30" t="inlineStr">
        <is>
          <t>Part time</t>
        </is>
      </c>
      <c r="E801" s="42">
        <f>VLOOKUP(A801,'[1]Virtus SAMPLE PositionHistorySa'!$A:$L,12,0)</f>
        <v/>
      </c>
      <c r="F801" s="31" t="inlineStr">
        <is>
          <t>3.34</t>
        </is>
      </c>
      <c r="G801" s="32" t="n"/>
      <c r="H801" s="32" t="n"/>
      <c r="I801" s="29" t="n"/>
    </row>
    <row r="802">
      <c r="A802" s="29" t="inlineStr">
        <is>
          <t>AU23078</t>
        </is>
      </c>
      <c r="B802" s="30" t="inlineStr">
        <is>
          <t>VIC-TAS</t>
        </is>
      </c>
      <c r="C802" s="30" t="inlineStr">
        <is>
          <t>VIC</t>
        </is>
      </c>
      <c r="D802" s="30">
        <f>VLOOKUP(A802,Sheet3!A:E,5,0)</f>
        <v/>
      </c>
      <c r="E802" s="42">
        <f>VLOOKUP(A802,'[1]Virtus SAMPLE PositionHistorySa'!$A:$L,12,0)</f>
        <v/>
      </c>
      <c r="F802" s="31" t="inlineStr">
        <is>
          <t>1.60</t>
        </is>
      </c>
      <c r="G802" s="32" t="n"/>
      <c r="H802" s="32" t="n"/>
      <c r="I802" s="29" t="n"/>
    </row>
    <row r="803">
      <c r="A803" s="29" t="n">
        <v>80538</v>
      </c>
      <c r="B803" s="30" t="inlineStr">
        <is>
          <t>NSW-QLD</t>
        </is>
      </c>
      <c r="C803" s="30" t="inlineStr">
        <is>
          <t>QN2025</t>
        </is>
      </c>
      <c r="D803" s="30" t="inlineStr">
        <is>
          <t>Casual</t>
        </is>
      </c>
      <c r="E803" s="42">
        <f>VLOOKUP(A803,'[1]Virtus SAMPLE PositionHistorySa'!$A:$L,12,0)</f>
        <v/>
      </c>
      <c r="F803" s="31" t="inlineStr">
        <is>
          <t>10.20</t>
        </is>
      </c>
      <c r="G803" s="32" t="n"/>
      <c r="H803" s="32" t="n"/>
      <c r="I803" s="29" t="n"/>
    </row>
    <row r="804">
      <c r="A804" s="29" t="inlineStr">
        <is>
          <t>AU22686</t>
        </is>
      </c>
      <c r="B804" s="30" t="inlineStr">
        <is>
          <t>VIC-TAS</t>
        </is>
      </c>
      <c r="C804" s="30" t="inlineStr">
        <is>
          <t>MIVFN2023</t>
        </is>
      </c>
      <c r="D804" s="30" t="inlineStr">
        <is>
          <t>Casual</t>
        </is>
      </c>
      <c r="E804" s="42">
        <f>VLOOKUP(A804,'[1]Virtus SAMPLE PositionHistorySa'!$A:$L,12,0)</f>
        <v/>
      </c>
      <c r="F804" s="31" t="inlineStr">
        <is>
          <t>2.47</t>
        </is>
      </c>
      <c r="G804" s="32" t="n"/>
      <c r="H804" s="32" t="n"/>
      <c r="I804" s="29" t="n"/>
    </row>
    <row r="805">
      <c r="A805" s="29" t="inlineStr">
        <is>
          <t>AU22824</t>
        </is>
      </c>
      <c r="B805" s="30" t="inlineStr">
        <is>
          <t>VIC-TAS</t>
        </is>
      </c>
      <c r="C805" s="30" t="inlineStr">
        <is>
          <t>MIVFN2023</t>
        </is>
      </c>
      <c r="D805" s="30" t="inlineStr">
        <is>
          <t>Part time</t>
        </is>
      </c>
      <c r="E805" s="42">
        <f>VLOOKUP(A805,'[1]Virtus SAMPLE PositionHistorySa'!$A:$L,12,0)</f>
        <v/>
      </c>
      <c r="F805" s="31" t="inlineStr">
        <is>
          <t>2.47</t>
        </is>
      </c>
      <c r="G805" s="32" t="n"/>
      <c r="H805" s="32" t="n"/>
      <c r="I805" s="29" t="n"/>
    </row>
    <row r="806">
      <c r="A806" s="29" t="inlineStr">
        <is>
          <t>AU23462</t>
        </is>
      </c>
      <c r="B806" s="30" t="inlineStr">
        <is>
          <t>VIC-TAS</t>
        </is>
      </c>
      <c r="C806" s="30" t="inlineStr">
        <is>
          <t>MIVFN2023</t>
        </is>
      </c>
      <c r="D806" s="30" t="inlineStr">
        <is>
          <t>Casual</t>
        </is>
      </c>
      <c r="E806" s="42">
        <f>VLOOKUP(A806,'[1]Virtus SAMPLE PositionHistorySa'!$A:$L,12,0)</f>
        <v/>
      </c>
      <c r="F806" s="31" t="inlineStr">
        <is>
          <t>0.73</t>
        </is>
      </c>
      <c r="G806" s="32" t="n"/>
      <c r="H806" s="32" t="n"/>
      <c r="I806" s="29" t="n"/>
    </row>
    <row r="807">
      <c r="A807" s="29" t="n">
        <v>873</v>
      </c>
      <c r="B807" s="30" t="inlineStr">
        <is>
          <t>VIC-TAS</t>
        </is>
      </c>
      <c r="C807" s="30" t="inlineStr">
        <is>
          <t>MIVFS2022</t>
        </is>
      </c>
      <c r="D807" s="30" t="inlineStr">
        <is>
          <t>Part time</t>
        </is>
      </c>
      <c r="E807" s="42">
        <f>VLOOKUP(A807,'[1]Virtus SAMPLE PositionHistorySa'!$A:$L,12,0)</f>
        <v/>
      </c>
      <c r="F807" s="31" t="inlineStr">
        <is>
          <t>18.78</t>
        </is>
      </c>
      <c r="G807" s="32" t="n"/>
      <c r="H807" s="32" t="n"/>
      <c r="I807" s="29" t="n"/>
    </row>
    <row r="808">
      <c r="A808" s="29" t="inlineStr">
        <is>
          <t>AU23047</t>
        </is>
      </c>
      <c r="B808" s="30" t="inlineStr">
        <is>
          <t>VIC-TAS</t>
        </is>
      </c>
      <c r="C808" s="30" t="inlineStr">
        <is>
          <t>MIVFS2022</t>
        </is>
      </c>
      <c r="D808" s="30" t="inlineStr">
        <is>
          <t>Full time</t>
        </is>
      </c>
      <c r="E808" s="42">
        <f>VLOOKUP(A808,'[1]Virtus SAMPLE PositionHistorySa'!$A:$L,12,0)</f>
        <v/>
      </c>
      <c r="F808" s="31" t="inlineStr">
        <is>
          <t>1.59</t>
        </is>
      </c>
      <c r="G808" s="32">
        <f>VLOOKUP(A808,Sheet3!A:K,10,0)/38</f>
        <v/>
      </c>
      <c r="H808" s="32">
        <f>F808-G808</f>
        <v/>
      </c>
      <c r="I808" s="29" t="n"/>
    </row>
    <row r="809">
      <c r="A809" s="29" t="inlineStr">
        <is>
          <t>AU23045</t>
        </is>
      </c>
      <c r="B809" s="30" t="inlineStr">
        <is>
          <t>VIC-TAS</t>
        </is>
      </c>
      <c r="C809" s="30" t="inlineStr">
        <is>
          <t>TIVF2024</t>
        </is>
      </c>
      <c r="D809" s="30" t="inlineStr">
        <is>
          <t>Part time</t>
        </is>
      </c>
      <c r="E809" s="42">
        <f>VLOOKUP(A809,'[1]Virtus SAMPLE PositionHistorySa'!$A:$L,12,0)</f>
        <v/>
      </c>
      <c r="F809" s="31" t="inlineStr">
        <is>
          <t>1.59</t>
        </is>
      </c>
      <c r="G809" s="32" t="n"/>
      <c r="H809" s="32" t="n"/>
      <c r="I809" s="29" t="n"/>
    </row>
    <row r="810">
      <c r="A810" s="29" t="n">
        <v>1331</v>
      </c>
      <c r="B810" s="30" t="inlineStr">
        <is>
          <t>VIC-TAS</t>
        </is>
      </c>
      <c r="C810" s="30" t="inlineStr">
        <is>
          <t>MIVFS2022</t>
        </is>
      </c>
      <c r="D810" s="30" t="inlineStr">
        <is>
          <t>Full time</t>
        </is>
      </c>
      <c r="E810" s="42">
        <f>VLOOKUP(A810,'[1]Virtus SAMPLE PositionHistorySa'!$A:$L,12,0)</f>
        <v/>
      </c>
      <c r="F810" s="31" t="inlineStr">
        <is>
          <t>3.31</t>
        </is>
      </c>
      <c r="G810" s="32">
        <f>VLOOKUP(A810,Sheet3!A:K,10,0)/38</f>
        <v/>
      </c>
      <c r="H810" s="32">
        <f>F810-G810</f>
        <v/>
      </c>
      <c r="I810" s="29" t="n"/>
    </row>
    <row r="811">
      <c r="A811" s="29" t="inlineStr">
        <is>
          <t>AU23057</t>
        </is>
      </c>
      <c r="B811" s="30" t="inlineStr">
        <is>
          <t>NSW-QLD</t>
        </is>
      </c>
      <c r="C811" s="30" t="inlineStr">
        <is>
          <t>IVFS2023</t>
        </is>
      </c>
      <c r="D811" s="30" t="inlineStr">
        <is>
          <t>Casual</t>
        </is>
      </c>
      <c r="E811" s="42">
        <f>VLOOKUP(A811,'[1]Virtus SAMPLE PositionHistorySa'!$A:$L,12,0)</f>
        <v/>
      </c>
      <c r="F811" s="31" t="inlineStr">
        <is>
          <t>1.58</t>
        </is>
      </c>
      <c r="G811" s="32" t="n"/>
      <c r="H811" s="32" t="n"/>
      <c r="I811" s="29" t="n"/>
    </row>
    <row r="812">
      <c r="A812" s="29" t="inlineStr">
        <is>
          <t>AU23519</t>
        </is>
      </c>
      <c r="B812" s="30" t="inlineStr">
        <is>
          <t>NSW-QLD</t>
        </is>
      </c>
      <c r="C812" s="30" t="inlineStr">
        <is>
          <t>QN2025</t>
        </is>
      </c>
      <c r="D812" s="30" t="inlineStr">
        <is>
          <t>Casual</t>
        </is>
      </c>
      <c r="E812" s="42">
        <f>VLOOKUP(A812,'[1]Virtus SAMPLE PositionHistorySa'!$A:$L,12,0)</f>
        <v/>
      </c>
      <c r="F812" s="31" t="inlineStr">
        <is>
          <t>1.06</t>
        </is>
      </c>
      <c r="G812" s="32" t="n"/>
      <c r="H812" s="32" t="n"/>
      <c r="I812" s="29" t="n"/>
    </row>
    <row r="813">
      <c r="A813" s="29" t="n">
        <v>20374</v>
      </c>
      <c r="B813" s="30" t="inlineStr">
        <is>
          <t>NSW-QLD</t>
        </is>
      </c>
      <c r="C813" s="30" t="inlineStr">
        <is>
          <t>IVFN2021</t>
        </is>
      </c>
      <c r="D813" s="30" t="inlineStr">
        <is>
          <t>Part time</t>
        </is>
      </c>
      <c r="E813" s="42">
        <f>VLOOKUP(A813,'[1]Virtus SAMPLE PositionHistorySa'!$A:$L,12,0)</f>
        <v/>
      </c>
      <c r="F813" s="31" t="inlineStr">
        <is>
          <t>10.23</t>
        </is>
      </c>
      <c r="G813" s="32" t="n"/>
      <c r="H813" s="32" t="n"/>
      <c r="I813" s="29" t="n"/>
    </row>
    <row r="814">
      <c r="A814" s="29" t="inlineStr">
        <is>
          <t>AU22710</t>
        </is>
      </c>
      <c r="B814" s="30" t="inlineStr">
        <is>
          <t>NSW-QLD</t>
        </is>
      </c>
      <c r="C814" s="30" t="inlineStr">
        <is>
          <t>QN2025</t>
        </is>
      </c>
      <c r="D814" s="30" t="inlineStr">
        <is>
          <t>Part time</t>
        </is>
      </c>
      <c r="E814" s="42">
        <f>VLOOKUP(A814,'[1]Virtus SAMPLE PositionHistorySa'!$A:$L,12,0)</f>
        <v/>
      </c>
      <c r="F814" s="31" t="inlineStr">
        <is>
          <t>3.48</t>
        </is>
      </c>
      <c r="G814" s="32" t="n"/>
      <c r="H814" s="32" t="n"/>
      <c r="I814" s="29" t="n"/>
    </row>
    <row r="815">
      <c r="A815" s="29" t="n">
        <v>80451</v>
      </c>
      <c r="B815" s="30" t="inlineStr">
        <is>
          <t>NSW-QLD</t>
        </is>
      </c>
      <c r="C815" s="30" t="inlineStr">
        <is>
          <t>QN2025</t>
        </is>
      </c>
      <c r="D815" s="30" t="inlineStr">
        <is>
          <t>Full time</t>
        </is>
      </c>
      <c r="E815" s="42">
        <f>VLOOKUP(A815,'[1]Virtus SAMPLE PositionHistorySa'!$A:$L,12,0)</f>
        <v/>
      </c>
      <c r="F815" s="31" t="inlineStr">
        <is>
          <t>4.78</t>
        </is>
      </c>
      <c r="G815" s="32">
        <f>VLOOKUP(A815,Sheet3!A:K,10,0)/38</f>
        <v/>
      </c>
      <c r="H815" s="32">
        <f>F815-G815</f>
        <v/>
      </c>
      <c r="I815" s="29" t="n"/>
    </row>
    <row r="816">
      <c r="A816" s="29" t="inlineStr">
        <is>
          <t>AU22749</t>
        </is>
      </c>
      <c r="B816" s="30" t="inlineStr">
        <is>
          <t>NSW-QLD</t>
        </is>
      </c>
      <c r="C816" s="30" t="inlineStr">
        <is>
          <t>QLD</t>
        </is>
      </c>
      <c r="D816" s="30" t="inlineStr">
        <is>
          <t>Full time</t>
        </is>
      </c>
      <c r="E816" s="42">
        <f>VLOOKUP(A816,'[1]Virtus SAMPLE PositionHistorySa'!$A:$L,12,0)</f>
        <v/>
      </c>
      <c r="F816" s="31" t="inlineStr">
        <is>
          <t>2.32</t>
        </is>
      </c>
      <c r="G816" s="32">
        <f>VLOOKUP(A816,Sheet3!A:K,10,0)/38</f>
        <v/>
      </c>
      <c r="H816" s="32">
        <f>F816-G816</f>
        <v/>
      </c>
      <c r="I816" s="29" t="n"/>
    </row>
    <row r="817">
      <c r="A817" s="29" t="n">
        <v>20274</v>
      </c>
      <c r="B817" s="30" t="inlineStr">
        <is>
          <t>NSW-QLD</t>
        </is>
      </c>
      <c r="C817" s="30" t="inlineStr">
        <is>
          <t>IVFS2023</t>
        </is>
      </c>
      <c r="D817" s="30" t="inlineStr">
        <is>
          <t>Part time</t>
        </is>
      </c>
      <c r="E817" s="42">
        <f>VLOOKUP(A817,'[1]Virtus SAMPLE PositionHistorySa'!$A:$L,12,0)</f>
        <v/>
      </c>
      <c r="F817" s="31" t="inlineStr">
        <is>
          <t>11.85</t>
        </is>
      </c>
      <c r="G817" s="32" t="n"/>
      <c r="H817" s="32" t="n"/>
      <c r="I817" s="29" t="n"/>
    </row>
    <row r="818">
      <c r="A818" s="29" t="n">
        <v>20831</v>
      </c>
      <c r="B818" s="30" t="inlineStr">
        <is>
          <t>NSW-QLD</t>
        </is>
      </c>
      <c r="C818" s="30" t="inlineStr">
        <is>
          <t>NSW</t>
        </is>
      </c>
      <c r="D818" s="30" t="inlineStr">
        <is>
          <t>Full time</t>
        </is>
      </c>
      <c r="E818" s="42">
        <f>VLOOKUP(A818,'[1]Virtus SAMPLE PositionHistorySa'!$A:$L,12,0)</f>
        <v/>
      </c>
      <c r="F818" s="31" t="inlineStr">
        <is>
          <t>4.05</t>
        </is>
      </c>
      <c r="G818" s="32">
        <f>VLOOKUP(A818,Sheet3!A:K,10,0)/38</f>
        <v/>
      </c>
      <c r="H818" s="32">
        <f>F818-G818</f>
        <v/>
      </c>
      <c r="I818" s="29" t="n"/>
    </row>
    <row r="819">
      <c r="A819" s="29" t="n">
        <v>45</v>
      </c>
      <c r="B819" s="30" t="inlineStr">
        <is>
          <t>VIC-TAS</t>
        </is>
      </c>
      <c r="C819" s="30" t="inlineStr">
        <is>
          <t>TIVF2024</t>
        </is>
      </c>
      <c r="D819" s="30" t="inlineStr">
        <is>
          <t>Part time</t>
        </is>
      </c>
      <c r="E819" s="42">
        <f>VLOOKUP(A819,'[1]Virtus SAMPLE PositionHistorySa'!$A:$L,12,0)</f>
        <v/>
      </c>
      <c r="F819" s="31" t="inlineStr">
        <is>
          <t>8.38</t>
        </is>
      </c>
      <c r="G819" s="32" t="n"/>
      <c r="H819" s="32" t="n"/>
      <c r="I819" s="29" t="n"/>
    </row>
    <row r="820">
      <c r="A820" s="29" t="n">
        <v>30378</v>
      </c>
      <c r="B820" s="30" t="inlineStr">
        <is>
          <t>NSW-QLD</t>
        </is>
      </c>
      <c r="C820" s="30" t="inlineStr">
        <is>
          <t>IVFN2021</t>
        </is>
      </c>
      <c r="D820" s="30" t="inlineStr">
        <is>
          <t>Part time</t>
        </is>
      </c>
      <c r="E820" s="42">
        <f>VLOOKUP(A820,'[1]Virtus SAMPLE PositionHistorySa'!$A:$L,12,0)</f>
        <v/>
      </c>
      <c r="F820" s="31" t="inlineStr">
        <is>
          <t>3.18</t>
        </is>
      </c>
      <c r="G820" s="32" t="n"/>
      <c r="H820" s="32" t="n"/>
      <c r="I820" s="29" t="n"/>
    </row>
    <row r="821">
      <c r="A821" s="29" t="n">
        <v>60022</v>
      </c>
      <c r="B821" s="30" t="inlineStr">
        <is>
          <t>NSW-QLD</t>
        </is>
      </c>
      <c r="C821" s="30" t="inlineStr">
        <is>
          <t>IVFS2023</t>
        </is>
      </c>
      <c r="D821" s="30" t="inlineStr">
        <is>
          <t>Full time</t>
        </is>
      </c>
      <c r="E821" s="42">
        <f>VLOOKUP(A821,'[1]Virtus SAMPLE PositionHistorySa'!$A:$L,12,0)</f>
        <v/>
      </c>
      <c r="F821" s="31" t="inlineStr">
        <is>
          <t>18.78</t>
        </is>
      </c>
      <c r="G821" s="32">
        <f>VLOOKUP(A821,Sheet3!A:K,10,0)/38</f>
        <v/>
      </c>
      <c r="H821" s="32">
        <f>F821-G821</f>
        <v/>
      </c>
      <c r="I821" s="29" t="n"/>
    </row>
    <row r="822">
      <c r="A822" s="29" t="n">
        <v>1156</v>
      </c>
      <c r="B822" s="30" t="inlineStr">
        <is>
          <t>VIC-TAS</t>
        </is>
      </c>
      <c r="C822" s="30" t="inlineStr">
        <is>
          <t>MIVFC2021</t>
        </is>
      </c>
      <c r="D822" s="30" t="inlineStr">
        <is>
          <t>Part time</t>
        </is>
      </c>
      <c r="E822" s="42">
        <f>VLOOKUP(A822,'[1]Virtus SAMPLE PositionHistorySa'!$A:$L,12,0)</f>
        <v/>
      </c>
      <c r="F822" s="31" t="inlineStr">
        <is>
          <t>9.83</t>
        </is>
      </c>
      <c r="G822" s="32" t="n"/>
      <c r="H822" s="32" t="n"/>
      <c r="I822" s="29" t="n"/>
    </row>
    <row r="823">
      <c r="A823" s="29" t="n">
        <v>1174</v>
      </c>
      <c r="B823" s="30" t="inlineStr">
        <is>
          <t>VIC-TAS</t>
        </is>
      </c>
      <c r="C823" s="30" t="inlineStr">
        <is>
          <t>MIVFN2023</t>
        </is>
      </c>
      <c r="D823" s="30" t="inlineStr">
        <is>
          <t>Part time</t>
        </is>
      </c>
      <c r="E823" s="42">
        <f>VLOOKUP(A823,'[1]Virtus SAMPLE PositionHistorySa'!$A:$L,12,0)</f>
        <v/>
      </c>
      <c r="F823" s="31" t="inlineStr">
        <is>
          <t>4.91</t>
        </is>
      </c>
      <c r="G823" s="32" t="n"/>
      <c r="H823" s="32" t="n"/>
      <c r="I823" s="29" t="n"/>
    </row>
    <row r="824">
      <c r="A824" s="29" t="inlineStr">
        <is>
          <t>AU23572</t>
        </is>
      </c>
      <c r="B824" s="30" t="inlineStr">
        <is>
          <t>VIC-TAS</t>
        </is>
      </c>
      <c r="C824" s="30" t="inlineStr">
        <is>
          <t>VIC</t>
        </is>
      </c>
      <c r="D824" s="30" t="inlineStr">
        <is>
          <t>Full time</t>
        </is>
      </c>
      <c r="E824" s="42">
        <f>VLOOKUP(A824,'[1]Virtus SAMPLE PositionHistorySa'!$A:$L,12,0)</f>
        <v/>
      </c>
      <c r="F824" s="31" t="inlineStr">
        <is>
          <t>0.58</t>
        </is>
      </c>
      <c r="G824" s="32">
        <f>VLOOKUP(A824,Sheet3!A:K,10,0)/38</f>
        <v/>
      </c>
      <c r="H824" s="32">
        <f>F824-G824</f>
        <v/>
      </c>
      <c r="I824" s="29" t="n"/>
    </row>
    <row r="825">
      <c r="A825" s="29" t="inlineStr">
        <is>
          <t>AU23512</t>
        </is>
      </c>
      <c r="B825" s="30" t="inlineStr">
        <is>
          <t>NSW-QLD</t>
        </is>
      </c>
      <c r="C825" s="30" t="inlineStr">
        <is>
          <t>IVFS2023</t>
        </is>
      </c>
      <c r="D825" s="30" t="inlineStr">
        <is>
          <t>Casual</t>
        </is>
      </c>
      <c r="E825" s="42">
        <f>VLOOKUP(A825,'[1]Virtus SAMPLE PositionHistorySa'!$A:$L,12,0)</f>
        <v/>
      </c>
      <c r="F825" s="31" t="inlineStr">
        <is>
          <t>0.58</t>
        </is>
      </c>
      <c r="G825" s="32" t="n"/>
      <c r="H825" s="32" t="n"/>
      <c r="I825" s="29" t="n"/>
    </row>
    <row r="826">
      <c r="A826" s="29" t="inlineStr">
        <is>
          <t>AU23517</t>
        </is>
      </c>
      <c r="B826" s="30" t="inlineStr">
        <is>
          <t>NSW-QLD</t>
        </is>
      </c>
      <c r="C826" s="30" t="inlineStr">
        <is>
          <t>IVFN2021</t>
        </is>
      </c>
      <c r="D826" s="30" t="inlineStr">
        <is>
          <t>Casual</t>
        </is>
      </c>
      <c r="E826" s="42">
        <f>VLOOKUP(A826,'[1]Virtus SAMPLE PositionHistorySa'!$A:$L,12,0)</f>
        <v/>
      </c>
      <c r="F826" s="31" t="inlineStr">
        <is>
          <t>0.58</t>
        </is>
      </c>
      <c r="G826" s="32" t="n"/>
      <c r="H826" s="32" t="n"/>
      <c r="I826" s="29" t="n"/>
    </row>
    <row r="827">
      <c r="A827" s="29" t="inlineStr">
        <is>
          <t>AU21031</t>
        </is>
      </c>
      <c r="B827" s="30" t="inlineStr">
        <is>
          <t>VIC-TAS</t>
        </is>
      </c>
      <c r="C827" s="30" t="inlineStr">
        <is>
          <t>MIVFS2022</t>
        </is>
      </c>
      <c r="D827" s="30" t="inlineStr">
        <is>
          <t>Full time</t>
        </is>
      </c>
      <c r="E827" s="42">
        <f>VLOOKUP(A827,'[1]Virtus SAMPLE PositionHistorySa'!$A:$L,12,0)</f>
        <v/>
      </c>
      <c r="F827" s="31" t="inlineStr">
        <is>
          <t>41.02</t>
        </is>
      </c>
      <c r="G827" s="32">
        <f>VLOOKUP(A827,Sheet3!A:K,10,0)/38</f>
        <v/>
      </c>
      <c r="H827" s="32">
        <f>F827-G827</f>
        <v/>
      </c>
      <c r="I827" s="29" t="n"/>
    </row>
    <row r="828">
      <c r="A828" s="29" t="n">
        <v>80079</v>
      </c>
      <c r="B828" s="30" t="inlineStr">
        <is>
          <t>NSW-QLD</t>
        </is>
      </c>
      <c r="C828" s="30" t="inlineStr">
        <is>
          <t>IVFS2023</t>
        </is>
      </c>
      <c r="D828" s="30" t="inlineStr">
        <is>
          <t>Full time</t>
        </is>
      </c>
      <c r="E828" s="42">
        <f>VLOOKUP(A828,'[1]Virtus SAMPLE PositionHistorySa'!$A:$L,12,0)</f>
        <v/>
      </c>
      <c r="F828" s="31" t="inlineStr">
        <is>
          <t>0.00</t>
        </is>
      </c>
      <c r="G828" s="32">
        <f>VLOOKUP(A828,Sheet3!A:K,10,0)/38</f>
        <v/>
      </c>
      <c r="H828" s="32">
        <f>F828-G828</f>
        <v/>
      </c>
      <c r="I828" s="29" t="n"/>
    </row>
    <row r="829">
      <c r="A829" s="29" t="n">
        <v>30171</v>
      </c>
      <c r="B829" s="30" t="inlineStr">
        <is>
          <t>NSW-QLD</t>
        </is>
      </c>
      <c r="C829" s="30" t="inlineStr">
        <is>
          <t>IVFS2023</t>
        </is>
      </c>
      <c r="D829" s="30" t="inlineStr">
        <is>
          <t>Casual</t>
        </is>
      </c>
      <c r="E829" s="42">
        <f>VLOOKUP(A829,'[1]Virtus SAMPLE PositionHistorySa'!$A:$L,12,0)</f>
        <v/>
      </c>
      <c r="F829" s="31" t="inlineStr">
        <is>
          <t>5.78</t>
        </is>
      </c>
      <c r="G829" s="32" t="n"/>
      <c r="H829" s="32" t="n"/>
      <c r="I829" s="29" t="n"/>
    </row>
    <row r="830">
      <c r="A830" s="29" t="inlineStr">
        <is>
          <t>AU23096</t>
        </is>
      </c>
      <c r="B830" s="30" t="inlineStr">
        <is>
          <t>NSW-QLD</t>
        </is>
      </c>
      <c r="C830" s="30" t="inlineStr">
        <is>
          <t>IVFN2021</t>
        </is>
      </c>
      <c r="D830" s="30" t="inlineStr">
        <is>
          <t>Casual</t>
        </is>
      </c>
      <c r="E830" s="42">
        <f>VLOOKUP(A830,'[1]Virtus SAMPLE PositionHistorySa'!$A:$L,12,0)</f>
        <v/>
      </c>
      <c r="F830" s="31" t="inlineStr">
        <is>
          <t>1.45</t>
        </is>
      </c>
      <c r="G830" s="32" t="n"/>
      <c r="H830" s="32" t="n"/>
      <c r="I830" s="29" t="n"/>
    </row>
    <row r="831">
      <c r="A831" s="29" t="inlineStr">
        <is>
          <t>AU23085</t>
        </is>
      </c>
      <c r="B831" s="30" t="inlineStr">
        <is>
          <t>NSW-QLD</t>
        </is>
      </c>
      <c r="C831" s="30" t="inlineStr">
        <is>
          <t>IVFS2023</t>
        </is>
      </c>
      <c r="D831" s="30" t="inlineStr">
        <is>
          <t>Full time</t>
        </is>
      </c>
      <c r="E831" s="42">
        <f>VLOOKUP(A831,'[1]Virtus SAMPLE PositionHistorySa'!$A:$L,12,0)</f>
        <v/>
      </c>
      <c r="F831" s="31" t="inlineStr">
        <is>
          <t>1.44</t>
        </is>
      </c>
      <c r="G831" s="32">
        <f>VLOOKUP(A831,Sheet3!A:K,10,0)/38</f>
        <v/>
      </c>
      <c r="H831" s="32">
        <f>F831-G831</f>
        <v/>
      </c>
      <c r="I831" s="29" t="n"/>
    </row>
    <row r="832">
      <c r="A832" s="29" t="inlineStr">
        <is>
          <t>AU23088</t>
        </is>
      </c>
      <c r="B832" s="30" t="inlineStr">
        <is>
          <t>VIC-TAS</t>
        </is>
      </c>
      <c r="C832" s="30" t="inlineStr">
        <is>
          <t>TIVF2024</t>
        </is>
      </c>
      <c r="D832" s="30" t="inlineStr">
        <is>
          <t>Casual</t>
        </is>
      </c>
      <c r="E832" s="42">
        <f>VLOOKUP(A832,'[1]Virtus SAMPLE PositionHistorySa'!$A:$L,12,0)</f>
        <v/>
      </c>
      <c r="F832" s="31" t="inlineStr">
        <is>
          <t>1.44</t>
        </is>
      </c>
      <c r="G832" s="32" t="n"/>
      <c r="H832" s="32" t="n"/>
      <c r="I832" s="29" t="n"/>
    </row>
    <row r="833">
      <c r="A833" s="29" t="inlineStr">
        <is>
          <t>AU23468</t>
        </is>
      </c>
      <c r="B833" s="30" t="inlineStr">
        <is>
          <t>NSW-QLD</t>
        </is>
      </c>
      <c r="C833" s="30" t="inlineStr">
        <is>
          <t>IVFS2023</t>
        </is>
      </c>
      <c r="D833" s="30" t="inlineStr">
        <is>
          <t>Casual</t>
        </is>
      </c>
      <c r="E833" s="42">
        <f>VLOOKUP(A833,'[1]Virtus SAMPLE PositionHistorySa'!$A:$L,12,0)</f>
        <v/>
      </c>
      <c r="F833" s="31" t="inlineStr">
        <is>
          <t>0.57</t>
        </is>
      </c>
      <c r="G833" s="32" t="n"/>
      <c r="H833" s="32" t="n"/>
      <c r="I833" s="29" t="n"/>
    </row>
    <row r="834">
      <c r="A834" s="29" t="n">
        <v>30006</v>
      </c>
      <c r="B834" s="30" t="inlineStr">
        <is>
          <t>NSW-QLD</t>
        </is>
      </c>
      <c r="C834" s="30" t="inlineStr">
        <is>
          <t>IVFS2023</t>
        </is>
      </c>
      <c r="D834" s="30" t="inlineStr">
        <is>
          <t>Part time</t>
        </is>
      </c>
      <c r="E834" s="42">
        <f>VLOOKUP(A834,'[1]Virtus SAMPLE PositionHistorySa'!$A:$L,12,0)</f>
        <v/>
      </c>
      <c r="F834" s="31" t="inlineStr">
        <is>
          <t>0.00</t>
        </is>
      </c>
      <c r="G834" s="32" t="n"/>
      <c r="H834" s="32" t="n"/>
      <c r="I834" s="29" t="n"/>
    </row>
    <row r="835">
      <c r="A835" s="29" t="inlineStr">
        <is>
          <t>AU22767</t>
        </is>
      </c>
      <c r="B835" s="30" t="inlineStr">
        <is>
          <t>VIC-TAS</t>
        </is>
      </c>
      <c r="C835" s="30" t="inlineStr">
        <is>
          <t>MIVFN2023</t>
        </is>
      </c>
      <c r="D835" s="30" t="inlineStr">
        <is>
          <t>Full time</t>
        </is>
      </c>
      <c r="E835" s="42">
        <f>VLOOKUP(A835,'[1]Virtus SAMPLE PositionHistorySa'!$A:$L,12,0)</f>
        <v/>
      </c>
      <c r="F835" s="31" t="inlineStr">
        <is>
          <t>2.31</t>
        </is>
      </c>
      <c r="G835" s="32">
        <f>VLOOKUP(A835,Sheet3!A:K,10,0)/38</f>
        <v/>
      </c>
      <c r="H835" s="32">
        <f>F835-G835</f>
        <v/>
      </c>
      <c r="I835" s="29" t="n"/>
    </row>
    <row r="836">
      <c r="A836" s="29" t="inlineStr">
        <is>
          <t>AU22766</t>
        </is>
      </c>
      <c r="B836" s="30" t="inlineStr">
        <is>
          <t>VIC-TAS</t>
        </is>
      </c>
      <c r="C836" s="30" t="inlineStr">
        <is>
          <t>MIVFN2023</t>
        </is>
      </c>
      <c r="D836" s="30" t="inlineStr">
        <is>
          <t>Part time</t>
        </is>
      </c>
      <c r="E836" s="42">
        <f>VLOOKUP(A836,'[1]Virtus SAMPLE PositionHistorySa'!$A:$L,12,0)</f>
        <v/>
      </c>
      <c r="F836" s="31" t="inlineStr">
        <is>
          <t>2.31</t>
        </is>
      </c>
      <c r="G836" s="32" t="n"/>
      <c r="H836" s="32" t="n"/>
      <c r="I836" s="29" t="n"/>
    </row>
    <row r="837">
      <c r="A837" s="29" t="inlineStr">
        <is>
          <t>AU22769</t>
        </is>
      </c>
      <c r="B837" s="30" t="inlineStr">
        <is>
          <t>VIC-TAS</t>
        </is>
      </c>
      <c r="C837" s="30" t="inlineStr">
        <is>
          <t>MIVFN2023</t>
        </is>
      </c>
      <c r="D837" s="30" t="inlineStr">
        <is>
          <t>Part time</t>
        </is>
      </c>
      <c r="E837" s="42">
        <f>VLOOKUP(A837,'[1]Virtus SAMPLE PositionHistorySa'!$A:$L,12,0)</f>
        <v/>
      </c>
      <c r="F837" s="31" t="inlineStr">
        <is>
          <t>2.31</t>
        </is>
      </c>
      <c r="G837" s="32" t="n"/>
      <c r="H837" s="32" t="n"/>
      <c r="I837" s="29" t="n"/>
    </row>
    <row r="838">
      <c r="A838" s="29" t="n">
        <v>90032</v>
      </c>
      <c r="B838" s="30" t="inlineStr">
        <is>
          <t>NSW-QLD</t>
        </is>
      </c>
      <c r="C838" s="30" t="inlineStr">
        <is>
          <t>NSW</t>
        </is>
      </c>
      <c r="D838" s="30" t="inlineStr">
        <is>
          <t>Full time</t>
        </is>
      </c>
      <c r="E838" s="42">
        <f>VLOOKUP(A838,'[1]Virtus SAMPLE PositionHistorySa'!$A:$L,12,0)</f>
        <v/>
      </c>
      <c r="F838" s="31" t="inlineStr">
        <is>
          <t>17.04</t>
        </is>
      </c>
      <c r="G838" s="32">
        <f>VLOOKUP(A838,Sheet3!A:K,10,0)/38</f>
        <v/>
      </c>
      <c r="H838" s="32">
        <f>F838-G838</f>
        <v/>
      </c>
      <c r="I838" s="29" t="n"/>
    </row>
    <row r="839">
      <c r="A839" s="29" t="n">
        <v>1040</v>
      </c>
      <c r="B839" s="30" t="inlineStr">
        <is>
          <t>VIC-TAS</t>
        </is>
      </c>
      <c r="C839" s="30" t="inlineStr">
        <is>
          <t>VIC</t>
        </is>
      </c>
      <c r="D839" s="30" t="inlineStr">
        <is>
          <t>Part time</t>
        </is>
      </c>
      <c r="E839" s="42">
        <f>VLOOKUP(A839,'[1]Virtus SAMPLE PositionHistorySa'!$A:$L,12,0)</f>
        <v/>
      </c>
      <c r="F839" s="31" t="inlineStr">
        <is>
          <t>6.64</t>
        </is>
      </c>
      <c r="G839" s="32" t="n"/>
      <c r="H839" s="32" t="n"/>
      <c r="I839" s="29" t="n"/>
    </row>
    <row r="840">
      <c r="A840" s="29" t="n">
        <v>1445</v>
      </c>
      <c r="B840" s="30" t="inlineStr">
        <is>
          <t>VIC-TAS</t>
        </is>
      </c>
      <c r="C840" s="30" t="inlineStr">
        <is>
          <t>MIVFS2022</t>
        </is>
      </c>
      <c r="D840" s="30" t="inlineStr">
        <is>
          <t>Full time</t>
        </is>
      </c>
      <c r="E840" s="42">
        <f>VLOOKUP(A840,'[1]Virtus SAMPLE PositionHistorySa'!$A:$L,12,0)</f>
        <v/>
      </c>
      <c r="F840" s="31" t="inlineStr">
        <is>
          <t>3.17</t>
        </is>
      </c>
      <c r="G840" s="32">
        <f>VLOOKUP(A840,Sheet3!A:K,10,0)/38</f>
        <v/>
      </c>
      <c r="H840" s="32">
        <f>F840-G840</f>
        <v/>
      </c>
      <c r="I840" s="29" t="n"/>
    </row>
    <row r="841">
      <c r="A841" s="29" t="n">
        <v>19055</v>
      </c>
      <c r="B841" s="30" t="inlineStr">
        <is>
          <t>NSW-QLD</t>
        </is>
      </c>
      <c r="C841" s="30" t="inlineStr">
        <is>
          <t>VIC</t>
        </is>
      </c>
      <c r="D841" s="30" t="inlineStr">
        <is>
          <t>Full time</t>
        </is>
      </c>
      <c r="E841" s="42">
        <f>VLOOKUP(A841,'[1]Virtus SAMPLE PositionHistorySa'!$A:$L,12,0)</f>
        <v/>
      </c>
      <c r="F841" s="31" t="inlineStr">
        <is>
          <t>3.17</t>
        </is>
      </c>
      <c r="G841" s="32">
        <f>VLOOKUP(A841,Sheet3!A:K,10,0)/38</f>
        <v/>
      </c>
      <c r="H841" s="32">
        <f>F841-G841</f>
        <v/>
      </c>
      <c r="I841" s="29" t="n"/>
    </row>
    <row r="842">
      <c r="A842" s="29" t="n">
        <v>50208</v>
      </c>
      <c r="B842" s="30" t="inlineStr">
        <is>
          <t>NSW-QLD</t>
        </is>
      </c>
      <c r="C842" s="30" t="inlineStr">
        <is>
          <t>IVFN2021</t>
        </is>
      </c>
      <c r="D842" s="30" t="inlineStr">
        <is>
          <t>Casual</t>
        </is>
      </c>
      <c r="E842" s="42">
        <f>VLOOKUP(A842,'[1]Virtus SAMPLE PositionHistorySa'!$A:$L,12,0)</f>
        <v/>
      </c>
      <c r="F842" s="31" t="inlineStr">
        <is>
          <t>3.17</t>
        </is>
      </c>
      <c r="G842" s="32" t="n"/>
      <c r="H842" s="32" t="n"/>
      <c r="I842" s="29" t="n"/>
    </row>
    <row r="843">
      <c r="A843" s="29" t="n">
        <v>60048</v>
      </c>
      <c r="B843" s="30" t="inlineStr">
        <is>
          <t>NSW-QLD</t>
        </is>
      </c>
      <c r="C843" s="30" t="inlineStr">
        <is>
          <t>IVFS2023</t>
        </is>
      </c>
      <c r="D843" s="30" t="inlineStr">
        <is>
          <t>Part time</t>
        </is>
      </c>
      <c r="E843" s="42">
        <f>VLOOKUP(A843,'[1]Virtus SAMPLE PositionHistorySa'!$A:$L,12,0)</f>
        <v/>
      </c>
      <c r="F843" s="31" t="inlineStr">
        <is>
          <t>3.17</t>
        </is>
      </c>
      <c r="G843" s="32" t="n"/>
      <c r="H843" s="32" t="n"/>
      <c r="I843" s="29" t="n"/>
    </row>
    <row r="844">
      <c r="A844" s="29" t="n">
        <v>931</v>
      </c>
      <c r="B844" s="30" t="inlineStr">
        <is>
          <t>VIC-TAS</t>
        </is>
      </c>
      <c r="C844" s="30" t="inlineStr">
        <is>
          <t>MIVFN2023</t>
        </is>
      </c>
      <c r="D844" s="30" t="inlineStr">
        <is>
          <t>Part time</t>
        </is>
      </c>
      <c r="E844" s="42">
        <f>VLOOKUP(A844,'[1]Virtus SAMPLE PositionHistorySa'!$A:$L,12,0)</f>
        <v/>
      </c>
      <c r="F844" s="31" t="inlineStr">
        <is>
          <t>8.37</t>
        </is>
      </c>
      <c r="G844" s="32" t="n"/>
      <c r="H844" s="32" t="n"/>
      <c r="I844" s="29" t="n"/>
    </row>
    <row r="845">
      <c r="A845" s="29" t="n">
        <v>50195</v>
      </c>
      <c r="B845" s="30" t="inlineStr">
        <is>
          <t>NSW-QLD</t>
        </is>
      </c>
      <c r="C845" s="30" t="inlineStr">
        <is>
          <t>IVFN2021</t>
        </is>
      </c>
      <c r="D845" s="30" t="inlineStr">
        <is>
          <t>Part time</t>
        </is>
      </c>
      <c r="E845" s="42">
        <f>VLOOKUP(A845,'[1]Virtus SAMPLE PositionHistorySa'!$A:$L,12,0)</f>
        <v/>
      </c>
      <c r="F845" s="31" t="inlineStr">
        <is>
          <t>4.03</t>
        </is>
      </c>
      <c r="G845" s="32" t="n"/>
      <c r="H845" s="32" t="n"/>
      <c r="I845" s="29" t="n"/>
    </row>
    <row r="846">
      <c r="A846" s="29" t="n">
        <v>40150</v>
      </c>
      <c r="B846" s="30" t="inlineStr">
        <is>
          <t>NSW-QLD</t>
        </is>
      </c>
      <c r="C846" s="30" t="inlineStr">
        <is>
          <t>IVFN2021</t>
        </is>
      </c>
      <c r="D846" s="30" t="inlineStr">
        <is>
          <t>Casual</t>
        </is>
      </c>
      <c r="E846" s="42">
        <f>VLOOKUP(A846,'[1]Virtus SAMPLE PositionHistorySa'!$A:$L,12,0)</f>
        <v/>
      </c>
      <c r="F846" s="31" t="inlineStr">
        <is>
          <t>3.17</t>
        </is>
      </c>
      <c r="G846" s="32" t="n"/>
      <c r="H846" s="32" t="n"/>
      <c r="I846" s="29" t="n"/>
    </row>
    <row r="847">
      <c r="A847" s="29" t="n">
        <v>80167</v>
      </c>
      <c r="B847" s="30" t="inlineStr">
        <is>
          <t>NSW-QLD</t>
        </is>
      </c>
      <c r="C847" s="30" t="inlineStr">
        <is>
          <t>QS2024</t>
        </is>
      </c>
      <c r="D847" s="30" t="inlineStr">
        <is>
          <t>Part time</t>
        </is>
      </c>
      <c r="E847" s="42">
        <f>VLOOKUP(A847,'[1]Virtus SAMPLE PositionHistorySa'!$A:$L,12,0)</f>
        <v/>
      </c>
      <c r="F847" s="31" t="inlineStr">
        <is>
          <t>9.23</t>
        </is>
      </c>
      <c r="G847" s="32" t="n"/>
      <c r="H847" s="32" t="n"/>
      <c r="I847" s="29" t="n"/>
    </row>
    <row r="848">
      <c r="A848" s="29" t="n">
        <v>1160</v>
      </c>
      <c r="B848" s="30" t="inlineStr">
        <is>
          <t>VIC-TAS</t>
        </is>
      </c>
      <c r="C848" s="30" t="inlineStr">
        <is>
          <t>MIVFC2021</t>
        </is>
      </c>
      <c r="D848" s="30" t="inlineStr">
        <is>
          <t>Part time</t>
        </is>
      </c>
      <c r="E848" s="42">
        <f>VLOOKUP(A848,'[1]Virtus SAMPLE PositionHistorySa'!$A:$L,12,0)</f>
        <v/>
      </c>
      <c r="F848" s="31" t="inlineStr">
        <is>
          <t>9.80</t>
        </is>
      </c>
      <c r="G848" s="32" t="n"/>
      <c r="H848" s="32" t="n"/>
      <c r="I848" s="29" t="n"/>
    </row>
    <row r="849">
      <c r="A849" s="29" t="inlineStr">
        <is>
          <t>AU23523</t>
        </is>
      </c>
      <c r="B849" s="30" t="inlineStr">
        <is>
          <t>VIC-TAS</t>
        </is>
      </c>
      <c r="C849" s="30" t="inlineStr">
        <is>
          <t>MIVFN2023</t>
        </is>
      </c>
      <c r="D849" s="30" t="inlineStr">
        <is>
          <t>Full time</t>
        </is>
      </c>
      <c r="E849" s="42">
        <f>VLOOKUP(A849,'[1]Virtus SAMPLE PositionHistorySa'!$A:$L,12,0)</f>
        <v/>
      </c>
      <c r="F849" s="31" t="inlineStr">
        <is>
          <t>0.56</t>
        </is>
      </c>
      <c r="G849" s="32">
        <f>VLOOKUP(A849,Sheet3!A:K,10,0)/38</f>
        <v/>
      </c>
      <c r="H849" s="32">
        <f>F849-G849</f>
        <v/>
      </c>
      <c r="I849" s="29" t="n"/>
    </row>
    <row r="850">
      <c r="A850" s="29" t="inlineStr">
        <is>
          <t>AU23526</t>
        </is>
      </c>
      <c r="B850" s="30" t="inlineStr">
        <is>
          <t>VIC-TAS</t>
        </is>
      </c>
      <c r="C850" s="30" t="inlineStr">
        <is>
          <t>MIVFN2023</t>
        </is>
      </c>
      <c r="D850" s="30" t="inlineStr">
        <is>
          <t>Full time</t>
        </is>
      </c>
      <c r="E850" s="42">
        <f>VLOOKUP(A850,'[1]Virtus SAMPLE PositionHistorySa'!$A:$L,12,0)</f>
        <v/>
      </c>
      <c r="F850" s="31" t="inlineStr">
        <is>
          <t>0.56</t>
        </is>
      </c>
      <c r="G850" s="32">
        <f>VLOOKUP(A850,Sheet3!A:K,10,0)/38</f>
        <v/>
      </c>
      <c r="H850" s="32">
        <f>F850-G850</f>
        <v/>
      </c>
      <c r="I850" s="29" t="n"/>
    </row>
    <row r="851">
      <c r="A851" s="29" t="inlineStr">
        <is>
          <t>AU23531</t>
        </is>
      </c>
      <c r="B851" s="30" t="inlineStr">
        <is>
          <t>VIC-TAS</t>
        </is>
      </c>
      <c r="C851" s="30" t="inlineStr">
        <is>
          <t>MIVFN2023</t>
        </is>
      </c>
      <c r="D851" s="30" t="inlineStr">
        <is>
          <t>Full time</t>
        </is>
      </c>
      <c r="E851" s="42">
        <f>VLOOKUP(A851,'[1]Virtus SAMPLE PositionHistorySa'!$A:$L,12,0)</f>
        <v/>
      </c>
      <c r="F851" s="31" t="inlineStr">
        <is>
          <t>0.56</t>
        </is>
      </c>
      <c r="G851" s="32">
        <f>VLOOKUP(A851,Sheet3!A:K,10,0)/38</f>
        <v/>
      </c>
      <c r="H851" s="32">
        <f>F851-G851</f>
        <v/>
      </c>
      <c r="I851" s="29" t="n"/>
    </row>
    <row r="852">
      <c r="A852" s="29" t="inlineStr">
        <is>
          <t>AU23513</t>
        </is>
      </c>
      <c r="B852" s="30" t="inlineStr">
        <is>
          <t>NSW-QLD</t>
        </is>
      </c>
      <c r="C852" s="30" t="inlineStr">
        <is>
          <t>NSW</t>
        </is>
      </c>
      <c r="D852" s="30" t="inlineStr">
        <is>
          <t>Full time</t>
        </is>
      </c>
      <c r="E852" s="42">
        <f>VLOOKUP(A852,'[1]Virtus SAMPLE PositionHistorySa'!$A:$L,12,0)</f>
        <v/>
      </c>
      <c r="F852" s="31" t="inlineStr">
        <is>
          <t>0.56</t>
        </is>
      </c>
      <c r="G852" s="32">
        <f>VLOOKUP(A852,Sheet3!A:K,10,0)/38</f>
        <v/>
      </c>
      <c r="H852" s="32">
        <f>F852-G852</f>
        <v/>
      </c>
      <c r="I852" s="29" t="n"/>
    </row>
    <row r="853">
      <c r="A853" s="29" t="inlineStr">
        <is>
          <t>AU23521</t>
        </is>
      </c>
      <c r="B853" s="30" t="inlineStr">
        <is>
          <t>VIC-TAS</t>
        </is>
      </c>
      <c r="C853" s="30" t="inlineStr">
        <is>
          <t>MIVFN2023</t>
        </is>
      </c>
      <c r="D853" s="30" t="inlineStr">
        <is>
          <t>Part time</t>
        </is>
      </c>
      <c r="E853" s="42">
        <f>VLOOKUP(A853,'[1]Virtus SAMPLE PositionHistorySa'!$A:$L,12,0)</f>
        <v/>
      </c>
      <c r="F853" s="31" t="inlineStr">
        <is>
          <t>0.56</t>
        </is>
      </c>
      <c r="G853" s="32" t="n"/>
      <c r="H853" s="32" t="n"/>
      <c r="I853" s="29" t="n"/>
    </row>
    <row r="854">
      <c r="A854" s="29" t="inlineStr">
        <is>
          <t>AU23525</t>
        </is>
      </c>
      <c r="B854" s="30" t="inlineStr">
        <is>
          <t>VIC-TAS</t>
        </is>
      </c>
      <c r="C854" s="30" t="inlineStr">
        <is>
          <t>MIVFN2023</t>
        </is>
      </c>
      <c r="D854" s="30" t="inlineStr">
        <is>
          <t>Part time</t>
        </is>
      </c>
      <c r="E854" s="42">
        <f>VLOOKUP(A854,'[1]Virtus SAMPLE PositionHistorySa'!$A:$L,12,0)</f>
        <v/>
      </c>
      <c r="F854" s="31" t="inlineStr">
        <is>
          <t>0.56</t>
        </is>
      </c>
      <c r="G854" s="32" t="n"/>
      <c r="H854" s="32" t="n"/>
      <c r="I854" s="29" t="n"/>
    </row>
    <row r="855">
      <c r="A855" s="29" t="inlineStr">
        <is>
          <t>AU23529</t>
        </is>
      </c>
      <c r="B855" s="30" t="inlineStr">
        <is>
          <t>VIC-TAS</t>
        </is>
      </c>
      <c r="C855" s="30" t="inlineStr">
        <is>
          <t>MIVFN2023</t>
        </is>
      </c>
      <c r="D855" s="30" t="inlineStr">
        <is>
          <t>Casual</t>
        </is>
      </c>
      <c r="E855" s="42">
        <f>VLOOKUP(A855,'[1]Virtus SAMPLE PositionHistorySa'!$A:$L,12,0)</f>
        <v/>
      </c>
      <c r="F855" s="31" t="inlineStr">
        <is>
          <t>0.56</t>
        </is>
      </c>
      <c r="G855" s="32" t="n"/>
      <c r="H855" s="32" t="n"/>
      <c r="I855" s="29" t="n"/>
    </row>
    <row r="856">
      <c r="A856" s="29" t="inlineStr">
        <is>
          <t>AU23538</t>
        </is>
      </c>
      <c r="B856" s="30" t="inlineStr">
        <is>
          <t>VIC-TAS</t>
        </is>
      </c>
      <c r="C856" s="30" t="inlineStr">
        <is>
          <t>MIVFN2023</t>
        </is>
      </c>
      <c r="D856" s="30" t="inlineStr">
        <is>
          <t>Casual</t>
        </is>
      </c>
      <c r="E856" s="42">
        <f>VLOOKUP(A856,'[1]Virtus SAMPLE PositionHistorySa'!$A:$L,12,0)</f>
        <v/>
      </c>
      <c r="F856" s="31" t="inlineStr">
        <is>
          <t>0.56</t>
        </is>
      </c>
      <c r="G856" s="32" t="n"/>
      <c r="H856" s="32" t="n"/>
      <c r="I856" s="29" t="n"/>
    </row>
    <row r="857">
      <c r="A857" s="29" t="inlineStr">
        <is>
          <t>AU23540</t>
        </is>
      </c>
      <c r="B857" s="30" t="inlineStr">
        <is>
          <t>NSW-QLD</t>
        </is>
      </c>
      <c r="C857" s="30" t="inlineStr">
        <is>
          <t>QN2025</t>
        </is>
      </c>
      <c r="D857" s="30" t="inlineStr">
        <is>
          <t>Casual</t>
        </is>
      </c>
      <c r="E857" s="42">
        <f>VLOOKUP(A857,'[1]Virtus SAMPLE PositionHistorySa'!$A:$L,12,0)</f>
        <v/>
      </c>
      <c r="F857" s="31" t="inlineStr">
        <is>
          <t>0.84</t>
        </is>
      </c>
      <c r="G857" s="32" t="n"/>
      <c r="H857" s="32" t="n"/>
      <c r="I857" s="29" t="n"/>
    </row>
    <row r="858">
      <c r="A858" s="29" t="inlineStr">
        <is>
          <t>AU23542</t>
        </is>
      </c>
      <c r="B858" s="30" t="inlineStr">
        <is>
          <t>VIC-TAS</t>
        </is>
      </c>
      <c r="C858" s="30" t="inlineStr">
        <is>
          <t>MIVFN2023</t>
        </is>
      </c>
      <c r="D858" s="30">
        <f>VLOOKUP(A858,Sheet3!A:E,5,0)</f>
        <v/>
      </c>
      <c r="E858" s="42">
        <f>VLOOKUP(A858,'[1]Virtus SAMPLE PositionHistorySa'!$A:$L,12,0)</f>
        <v/>
      </c>
      <c r="F858" s="31" t="inlineStr">
        <is>
          <t>0.56</t>
        </is>
      </c>
      <c r="G858" s="32" t="n"/>
      <c r="H858" s="32" t="n"/>
      <c r="I858" s="29" t="n"/>
    </row>
    <row r="859">
      <c r="A859" s="29" t="n">
        <v>20169</v>
      </c>
      <c r="B859" s="30" t="inlineStr">
        <is>
          <t>NSW-QLD</t>
        </is>
      </c>
      <c r="C859" s="30" t="inlineStr">
        <is>
          <t>IVFS2023</t>
        </is>
      </c>
      <c r="D859" s="30" t="inlineStr">
        <is>
          <t>Full time</t>
        </is>
      </c>
      <c r="E859" s="42">
        <f>VLOOKUP(A859,'[1]Virtus SAMPLE PositionHistorySa'!$A:$L,12,0)</f>
        <v/>
      </c>
      <c r="F859" s="31" t="inlineStr">
        <is>
          <t>4.43</t>
        </is>
      </c>
      <c r="G859" s="32">
        <f>VLOOKUP(A859,Sheet3!A:K,10,0)/38</f>
        <v/>
      </c>
      <c r="H859" s="32">
        <f>F859-G859</f>
        <v/>
      </c>
      <c r="I859" s="29" t="n"/>
    </row>
    <row r="860">
      <c r="A860" s="29" t="n">
        <v>60185</v>
      </c>
      <c r="B860" s="30" t="inlineStr">
        <is>
          <t>NSW-QLD</t>
        </is>
      </c>
      <c r="C860" s="30" t="inlineStr">
        <is>
          <t>IVFS2023</t>
        </is>
      </c>
      <c r="D860" s="30" t="inlineStr">
        <is>
          <t>Full time</t>
        </is>
      </c>
      <c r="E860" s="42">
        <f>VLOOKUP(A860,'[1]Virtus SAMPLE PositionHistorySa'!$A:$L,12,0)</f>
        <v/>
      </c>
      <c r="F860" s="31" t="inlineStr">
        <is>
          <t>3.16</t>
        </is>
      </c>
      <c r="G860" s="32">
        <f>VLOOKUP(A860,Sheet3!A:K,10,0)/38</f>
        <v/>
      </c>
      <c r="H860" s="32">
        <f>F860-G860</f>
        <v/>
      </c>
      <c r="I860" s="29" t="n"/>
    </row>
    <row r="861">
      <c r="A861" s="29" t="n">
        <v>91009</v>
      </c>
      <c r="B861" s="30" t="inlineStr">
        <is>
          <t>NSW-QLD</t>
        </is>
      </c>
      <c r="C861" s="30" t="inlineStr">
        <is>
          <t>IVFS2023</t>
        </is>
      </c>
      <c r="D861" s="30" t="inlineStr">
        <is>
          <t>Full time</t>
        </is>
      </c>
      <c r="E861" s="42">
        <f>VLOOKUP(A861,'[1]Virtus SAMPLE PositionHistorySa'!$A:$L,12,0)</f>
        <v/>
      </c>
      <c r="F861" s="31" t="inlineStr">
        <is>
          <t>4.89</t>
        </is>
      </c>
      <c r="G861" s="32">
        <f>VLOOKUP(A861,Sheet3!A:K,10,0)/38</f>
        <v/>
      </c>
      <c r="H861" s="32">
        <f>F861-G861</f>
        <v/>
      </c>
      <c r="I861" s="29" t="n"/>
    </row>
    <row r="862">
      <c r="A862" s="29" t="inlineStr">
        <is>
          <t>AU23091</t>
        </is>
      </c>
      <c r="B862" s="30" t="inlineStr">
        <is>
          <t>VIC-TAS</t>
        </is>
      </c>
      <c r="C862" s="30" t="inlineStr">
        <is>
          <t>MIVFN2023</t>
        </is>
      </c>
      <c r="D862" s="30" t="inlineStr">
        <is>
          <t>Part time</t>
        </is>
      </c>
      <c r="E862" s="42">
        <f>VLOOKUP(A862,'[1]Virtus SAMPLE PositionHistorySa'!$A:$L,12,0)</f>
        <v/>
      </c>
      <c r="F862" s="31" t="inlineStr">
        <is>
          <t>1.43</t>
        </is>
      </c>
      <c r="G862" s="32" t="n"/>
      <c r="H862" s="32" t="n"/>
      <c r="I862" s="29" t="n"/>
    </row>
    <row r="863">
      <c r="A863" s="29" t="inlineStr">
        <is>
          <t>AU23095</t>
        </is>
      </c>
      <c r="B863" s="30" t="inlineStr">
        <is>
          <t>NSW-QLD</t>
        </is>
      </c>
      <c r="C863" s="30" t="inlineStr">
        <is>
          <t>IVFN2021</t>
        </is>
      </c>
      <c r="D863" s="30" t="inlineStr">
        <is>
          <t>Part time</t>
        </is>
      </c>
      <c r="E863" s="42">
        <f>VLOOKUP(A863,'[1]Virtus SAMPLE PositionHistorySa'!$A:$L,12,0)</f>
        <v/>
      </c>
      <c r="F863" s="31" t="inlineStr">
        <is>
          <t>1.43</t>
        </is>
      </c>
      <c r="G863" s="32" t="n"/>
      <c r="H863" s="32" t="n"/>
      <c r="I863" s="29" t="n"/>
    </row>
    <row r="864">
      <c r="A864" s="29" t="inlineStr">
        <is>
          <t>AU23097</t>
        </is>
      </c>
      <c r="B864" s="30" t="inlineStr">
        <is>
          <t>NSW-QLD</t>
        </is>
      </c>
      <c r="C864" s="30" t="inlineStr">
        <is>
          <t>IVFN2021</t>
        </is>
      </c>
      <c r="D864" s="30" t="inlineStr">
        <is>
          <t>Casual</t>
        </is>
      </c>
      <c r="E864" s="42">
        <f>VLOOKUP(A864,'[1]Virtus SAMPLE PositionHistorySa'!$A:$L,12,0)</f>
        <v/>
      </c>
      <c r="F864" s="31" t="inlineStr">
        <is>
          <t>1.43</t>
        </is>
      </c>
      <c r="G864" s="32" t="n"/>
      <c r="H864" s="32" t="n"/>
      <c r="I864" s="29" t="n"/>
    </row>
    <row r="865">
      <c r="A865" s="29" t="inlineStr">
        <is>
          <t>AU23533</t>
        </is>
      </c>
      <c r="B865" s="30" t="inlineStr">
        <is>
          <t>VIC-TAS</t>
        </is>
      </c>
      <c r="C865" s="30" t="inlineStr">
        <is>
          <t>MIVFN2023</t>
        </is>
      </c>
      <c r="D865" s="30" t="inlineStr">
        <is>
          <t>Casual</t>
        </is>
      </c>
      <c r="E865" s="42">
        <f>VLOOKUP(A865,'[1]Virtus SAMPLE PositionHistorySa'!$A:$L,12,0)</f>
        <v/>
      </c>
      <c r="F865" s="31" t="inlineStr">
        <is>
          <t>0.56</t>
        </is>
      </c>
      <c r="G865" s="32" t="n"/>
      <c r="H865" s="32" t="n"/>
      <c r="I865" s="29" t="n"/>
    </row>
    <row r="866">
      <c r="A866" s="29" t="n">
        <v>80102</v>
      </c>
      <c r="B866" s="30" t="inlineStr">
        <is>
          <t>NSW-QLD</t>
        </is>
      </c>
      <c r="C866" s="30" t="inlineStr">
        <is>
          <t>QS2024</t>
        </is>
      </c>
      <c r="D866" s="30" t="inlineStr">
        <is>
          <t>Part time</t>
        </is>
      </c>
      <c r="E866" s="42">
        <f>VLOOKUP(A866,'[1]Virtus SAMPLE PositionHistorySa'!$A:$L,12,0)</f>
        <v/>
      </c>
      <c r="F866" s="31" t="inlineStr">
        <is>
          <t>32.47</t>
        </is>
      </c>
      <c r="G866" s="32" t="n"/>
      <c r="H866" s="32" t="n"/>
      <c r="I866" s="29" t="n"/>
    </row>
    <row r="867">
      <c r="A867" s="29" t="n">
        <v>80065</v>
      </c>
      <c r="B867" s="30" t="inlineStr">
        <is>
          <t>NSW-QLD</t>
        </is>
      </c>
      <c r="C867" s="30" t="inlineStr">
        <is>
          <t>QN2025</t>
        </is>
      </c>
      <c r="D867" s="30" t="inlineStr">
        <is>
          <t>Part time</t>
        </is>
      </c>
      <c r="E867" s="42">
        <f>VLOOKUP(A867,'[1]Virtus SAMPLE PositionHistorySa'!$A:$L,12,0)</f>
        <v/>
      </c>
      <c r="F867" s="31" t="inlineStr">
        <is>
          <t>12.85</t>
        </is>
      </c>
      <c r="G867" s="32" t="n"/>
      <c r="H867" s="32" t="n"/>
      <c r="I867" s="29" t="n"/>
    </row>
    <row r="868">
      <c r="A868" s="29" t="n">
        <v>725</v>
      </c>
      <c r="B868" s="30" t="inlineStr">
        <is>
          <t>VIC-TAS</t>
        </is>
      </c>
      <c r="C868" s="30" t="inlineStr">
        <is>
          <t>MIVFS2022</t>
        </is>
      </c>
      <c r="D868" s="30" t="inlineStr">
        <is>
          <t>Full time</t>
        </is>
      </c>
      <c r="E868" s="42">
        <f>VLOOKUP(A868,'[1]Virtus SAMPLE PositionHistorySa'!$A:$L,12,0)</f>
        <v/>
      </c>
      <c r="F868" s="31" t="inlineStr">
        <is>
          <t>21.91</t>
        </is>
      </c>
      <c r="G868" s="32">
        <f>VLOOKUP(A868,Sheet3!A:K,10,0)/38</f>
        <v/>
      </c>
      <c r="H868" s="32">
        <f>F868-G868</f>
        <v/>
      </c>
      <c r="I868" s="29" t="n"/>
    </row>
    <row r="869">
      <c r="A869" s="29" t="n">
        <v>726</v>
      </c>
      <c r="B869" s="30" t="inlineStr">
        <is>
          <t>VIC-TAS</t>
        </is>
      </c>
      <c r="C869" s="30" t="inlineStr">
        <is>
          <t>IVFS2023</t>
        </is>
      </c>
      <c r="D869" s="30" t="inlineStr">
        <is>
          <t>Full time</t>
        </is>
      </c>
      <c r="E869" s="42">
        <f>VLOOKUP(A869,'[1]Virtus SAMPLE PositionHistorySa'!$A:$L,12,0)</f>
        <v/>
      </c>
      <c r="F869" s="31" t="inlineStr">
        <is>
          <t>10.96</t>
        </is>
      </c>
      <c r="G869" s="32">
        <f>VLOOKUP(A869,Sheet3!A:K,10,0)/38</f>
        <v/>
      </c>
      <c r="H869" s="32">
        <f>F869-G869</f>
        <v/>
      </c>
      <c r="I869" s="29" t="n"/>
    </row>
    <row r="870">
      <c r="A870" s="29" t="n">
        <v>40050</v>
      </c>
      <c r="B870" s="30" t="inlineStr">
        <is>
          <t>NSW-QLD</t>
        </is>
      </c>
      <c r="C870" s="30" t="inlineStr">
        <is>
          <t>IVFN2021</t>
        </is>
      </c>
      <c r="D870" s="30" t="inlineStr">
        <is>
          <t>Casual</t>
        </is>
      </c>
      <c r="E870" s="42">
        <f>VLOOKUP(A870,'[1]Virtus SAMPLE PositionHistorySa'!$A:$L,12,0)</f>
        <v/>
      </c>
      <c r="F870" s="31" t="inlineStr">
        <is>
          <t>10.96</t>
        </is>
      </c>
      <c r="G870" s="32" t="n"/>
      <c r="H870" s="32" t="n"/>
      <c r="I870" s="29" t="n"/>
    </row>
    <row r="871">
      <c r="A871" s="29" t="inlineStr">
        <is>
          <t>AU22750</t>
        </is>
      </c>
      <c r="B871" s="30" t="inlineStr">
        <is>
          <t>NSW-QLD</t>
        </is>
      </c>
      <c r="C871" s="30" t="inlineStr">
        <is>
          <t>NSW</t>
        </is>
      </c>
      <c r="D871" s="30" t="inlineStr">
        <is>
          <t>Full time</t>
        </is>
      </c>
      <c r="E871" s="42">
        <f>VLOOKUP(A871,'[1]Virtus SAMPLE PositionHistorySa'!$A:$L,12,0)</f>
        <v/>
      </c>
      <c r="F871" s="31" t="inlineStr">
        <is>
          <t>2.29</t>
        </is>
      </c>
      <c r="G871" s="32">
        <f>VLOOKUP(A871,Sheet3!A:K,10,0)/38</f>
        <v/>
      </c>
      <c r="H871" s="32">
        <f>F871-G871</f>
        <v/>
      </c>
      <c r="I871" s="29" t="n"/>
    </row>
    <row r="872">
      <c r="A872" s="29" t="inlineStr">
        <is>
          <t>AU22768</t>
        </is>
      </c>
      <c r="B872" s="30" t="inlineStr">
        <is>
          <t>NSW-QLD</t>
        </is>
      </c>
      <c r="C872" s="30" t="inlineStr">
        <is>
          <t>QS2024</t>
        </is>
      </c>
      <c r="D872" s="30" t="inlineStr">
        <is>
          <t>Full time</t>
        </is>
      </c>
      <c r="E872" s="42">
        <f>VLOOKUP(A872,'[1]Virtus SAMPLE PositionHistorySa'!$A:$L,12,0)</f>
        <v/>
      </c>
      <c r="F872" s="31" t="inlineStr">
        <is>
          <t>2.29</t>
        </is>
      </c>
      <c r="G872" s="32">
        <f>VLOOKUP(A872,Sheet3!A:K,10,0)/38</f>
        <v/>
      </c>
      <c r="H872" s="32">
        <f>F872-G872</f>
        <v/>
      </c>
      <c r="I872" s="29" t="n"/>
    </row>
    <row r="873">
      <c r="A873" s="29" t="inlineStr">
        <is>
          <t>AU23089</t>
        </is>
      </c>
      <c r="B873" s="30" t="inlineStr">
        <is>
          <t>NSW-QLD</t>
        </is>
      </c>
      <c r="C873" s="30" t="inlineStr">
        <is>
          <t>NSW</t>
        </is>
      </c>
      <c r="D873" s="30" t="inlineStr">
        <is>
          <t>Full time</t>
        </is>
      </c>
      <c r="E873" s="42">
        <f>VLOOKUP(A873,'[1]Virtus SAMPLE PositionHistorySa'!$A:$L,12,0)</f>
        <v/>
      </c>
      <c r="F873" s="31" t="inlineStr">
        <is>
          <t>1.42</t>
        </is>
      </c>
      <c r="G873" s="32">
        <f>VLOOKUP(A873,Sheet3!A:K,10,0)/38</f>
        <v/>
      </c>
      <c r="H873" s="32">
        <f>F873-G873</f>
        <v/>
      </c>
      <c r="I873" s="29" t="n"/>
    </row>
    <row r="874">
      <c r="A874" s="29" t="n">
        <v>20914</v>
      </c>
      <c r="B874" s="30" t="inlineStr">
        <is>
          <t>NSW-QLD</t>
        </is>
      </c>
      <c r="C874" s="30" t="inlineStr">
        <is>
          <t>IVFN2021</t>
        </is>
      </c>
      <c r="D874" s="30" t="inlineStr">
        <is>
          <t>Part time</t>
        </is>
      </c>
      <c r="E874" s="42">
        <f>VLOOKUP(A874,'[1]Virtus SAMPLE PositionHistorySa'!$A:$L,12,0)</f>
        <v/>
      </c>
      <c r="F874" s="31" t="inlineStr">
        <is>
          <t>3.15</t>
        </is>
      </c>
      <c r="G874" s="32" t="n"/>
      <c r="H874" s="32" t="n"/>
      <c r="I874" s="29" t="n"/>
    </row>
    <row r="875">
      <c r="A875" s="29" t="n">
        <v>50209</v>
      </c>
      <c r="B875" s="30" t="inlineStr">
        <is>
          <t>NSW-QLD</t>
        </is>
      </c>
      <c r="C875" s="30" t="inlineStr">
        <is>
          <t>IVFS2023</t>
        </is>
      </c>
      <c r="D875" s="30" t="inlineStr">
        <is>
          <t>Casual</t>
        </is>
      </c>
      <c r="E875" s="42">
        <f>VLOOKUP(A875,'[1]Virtus SAMPLE PositionHistorySa'!$A:$L,12,0)</f>
        <v/>
      </c>
      <c r="F875" s="31" t="inlineStr">
        <is>
          <t>3.15</t>
        </is>
      </c>
      <c r="G875" s="32" t="n"/>
      <c r="H875" s="32" t="n"/>
      <c r="I875" s="29" t="n"/>
    </row>
    <row r="876">
      <c r="A876" s="29" t="inlineStr">
        <is>
          <t>AU23110</t>
        </is>
      </c>
      <c r="B876" s="30" t="inlineStr">
        <is>
          <t>VIC-TAS</t>
        </is>
      </c>
      <c r="C876" s="30" t="inlineStr">
        <is>
          <t>IVFS2023</t>
        </is>
      </c>
      <c r="D876" s="30" t="inlineStr">
        <is>
          <t>Part time</t>
        </is>
      </c>
      <c r="E876" s="42">
        <f>VLOOKUP(A876,'[1]Virtus SAMPLE PositionHistorySa'!$A:$L,12,0)</f>
        <v/>
      </c>
      <c r="F876" s="31" t="inlineStr">
        <is>
          <t>1.42</t>
        </is>
      </c>
      <c r="G876" s="32" t="n"/>
      <c r="H876" s="32" t="n"/>
      <c r="I876" s="29" t="n"/>
    </row>
    <row r="877">
      <c r="A877" s="29" t="n">
        <v>20666</v>
      </c>
      <c r="B877" s="30" t="inlineStr">
        <is>
          <t>NSW-QLD</t>
        </is>
      </c>
      <c r="C877" s="30" t="inlineStr">
        <is>
          <t>IVFN2021</t>
        </is>
      </c>
      <c r="D877" s="30" t="inlineStr">
        <is>
          <t>Full time</t>
        </is>
      </c>
      <c r="E877" s="42">
        <f>VLOOKUP(A877,'[1]Virtus SAMPLE PositionHistorySa'!$A:$L,12,0)</f>
        <v/>
      </c>
      <c r="F877" s="31" t="inlineStr">
        <is>
          <t>5.72</t>
        </is>
      </c>
      <c r="G877" s="32">
        <f>VLOOKUP(A877,Sheet3!A:K,10,0)/38</f>
        <v/>
      </c>
      <c r="H877" s="32">
        <f>F877-G877</f>
        <v/>
      </c>
      <c r="I877" s="29" t="n"/>
    </row>
    <row r="878">
      <c r="A878" s="29" t="n">
        <v>20667</v>
      </c>
      <c r="B878" s="30" t="inlineStr">
        <is>
          <t>NSW-QLD</t>
        </is>
      </c>
      <c r="C878" s="30" t="inlineStr">
        <is>
          <t>IVFS2023</t>
        </is>
      </c>
      <c r="D878" s="30" t="inlineStr">
        <is>
          <t>Part time</t>
        </is>
      </c>
      <c r="E878" s="42">
        <f>VLOOKUP(A878,'[1]Virtus SAMPLE PositionHistorySa'!$A:$L,12,0)</f>
        <v/>
      </c>
      <c r="F878" s="31" t="inlineStr">
        <is>
          <t>5.72</t>
        </is>
      </c>
      <c r="G878" s="32" t="n"/>
      <c r="H878" s="32" t="n"/>
      <c r="I878" s="29" t="n"/>
    </row>
    <row r="879">
      <c r="A879" s="29" t="inlineStr">
        <is>
          <t>AU22777</t>
        </is>
      </c>
      <c r="B879" s="30" t="inlineStr">
        <is>
          <t>NSW-QLD</t>
        </is>
      </c>
      <c r="C879" s="30" t="inlineStr">
        <is>
          <t>IVFN2021</t>
        </is>
      </c>
      <c r="D879" s="30" t="inlineStr">
        <is>
          <t>Full time</t>
        </is>
      </c>
      <c r="E879" s="42">
        <f>VLOOKUP(A879,'[1]Virtus SAMPLE PositionHistorySa'!$A:$L,12,0)</f>
        <v/>
      </c>
      <c r="F879" s="31" t="inlineStr">
        <is>
          <t>2.26</t>
        </is>
      </c>
      <c r="G879" s="32">
        <f>VLOOKUP(A879,Sheet3!A:K,10,0)/38</f>
        <v/>
      </c>
      <c r="H879" s="32">
        <f>F879-G879</f>
        <v/>
      </c>
      <c r="I879" s="29" t="n"/>
    </row>
    <row r="880">
      <c r="A880" s="29" t="inlineStr">
        <is>
          <t>AU22789</t>
        </is>
      </c>
      <c r="B880" s="30" t="inlineStr">
        <is>
          <t>VIC-TAS</t>
        </is>
      </c>
      <c r="C880" s="30" t="inlineStr">
        <is>
          <t>MIVFC2021</t>
        </is>
      </c>
      <c r="D880" s="30" t="inlineStr">
        <is>
          <t>Part time</t>
        </is>
      </c>
      <c r="E880" s="42">
        <f>VLOOKUP(A880,'[1]Virtus SAMPLE PositionHistorySa'!$A:$L,12,0)</f>
        <v/>
      </c>
      <c r="F880" s="31" t="inlineStr">
        <is>
          <t>4.51</t>
        </is>
      </c>
      <c r="G880" s="32" t="n"/>
      <c r="H880" s="32" t="n"/>
      <c r="I880" s="29" t="n"/>
    </row>
    <row r="881">
      <c r="A881" s="29" t="inlineStr">
        <is>
          <t>AU23128</t>
        </is>
      </c>
      <c r="B881" s="30" t="inlineStr">
        <is>
          <t>VIC-TAS</t>
        </is>
      </c>
      <c r="C881" s="30" t="inlineStr">
        <is>
          <t>MIVFS2022</t>
        </is>
      </c>
      <c r="D881" s="30" t="inlineStr">
        <is>
          <t>Full time</t>
        </is>
      </c>
      <c r="E881" s="42">
        <f>VLOOKUP(A881,'[1]Virtus SAMPLE PositionHistorySa'!$A:$L,12,0)</f>
        <v/>
      </c>
      <c r="F881" s="31" t="inlineStr">
        <is>
          <t>1.39</t>
        </is>
      </c>
      <c r="G881" s="32">
        <f>VLOOKUP(A881,Sheet3!A:K,10,0)/38</f>
        <v/>
      </c>
      <c r="H881" s="32">
        <f>F881-G881</f>
        <v/>
      </c>
      <c r="I881" s="29" t="n"/>
    </row>
    <row r="882">
      <c r="A882" s="29" t="n">
        <v>932</v>
      </c>
      <c r="B882" s="30" t="inlineStr">
        <is>
          <t>VIC-TAS</t>
        </is>
      </c>
      <c r="C882" s="30" t="inlineStr">
        <is>
          <t>MIVFN2023</t>
        </is>
      </c>
      <c r="D882" s="30" t="inlineStr">
        <is>
          <t>Casual</t>
        </is>
      </c>
      <c r="E882" s="42">
        <f>VLOOKUP(A882,'[1]Virtus SAMPLE PositionHistorySa'!$A:$L,12,0)</f>
        <v/>
      </c>
      <c r="F882" s="31" t="inlineStr">
        <is>
          <t>8.32</t>
        </is>
      </c>
      <c r="G882" s="32" t="n"/>
      <c r="H882" s="32" t="n"/>
      <c r="I882" s="29" t="n"/>
    </row>
    <row r="883">
      <c r="A883" s="29" t="n">
        <v>147</v>
      </c>
      <c r="B883" s="30" t="inlineStr">
        <is>
          <t>VIC-TAS</t>
        </is>
      </c>
      <c r="C883" s="30" t="inlineStr">
        <is>
          <t>TIVF2024</t>
        </is>
      </c>
      <c r="D883" s="30" t="inlineStr">
        <is>
          <t>Full time</t>
        </is>
      </c>
      <c r="E883" s="42">
        <f>VLOOKUP(A883,'[1]Virtus SAMPLE PositionHistorySa'!$A:$L,12,0)</f>
        <v/>
      </c>
      <c r="F883" s="31" t="inlineStr">
        <is>
          <t>3.12</t>
        </is>
      </c>
      <c r="G883" s="32">
        <f>VLOOKUP(A883,Sheet3!A:K,10,0)/38</f>
        <v/>
      </c>
      <c r="H883" s="32">
        <f>F883-G883</f>
        <v/>
      </c>
      <c r="I883" s="29" t="n"/>
    </row>
    <row r="884">
      <c r="A884" s="29" t="inlineStr">
        <is>
          <t>AU23574</t>
        </is>
      </c>
      <c r="B884" s="30" t="inlineStr">
        <is>
          <t>NSW-QLD</t>
        </is>
      </c>
      <c r="C884" s="30" t="inlineStr">
        <is>
          <t>QN2025</t>
        </is>
      </c>
      <c r="D884" s="30" t="inlineStr">
        <is>
          <t>Casual</t>
        </is>
      </c>
      <c r="E884" s="42">
        <f>VLOOKUP(A884,'[1]Virtus SAMPLE PositionHistorySa'!$A:$L,12,0)</f>
        <v/>
      </c>
      <c r="F884" s="31" t="inlineStr">
        <is>
          <t>0.78</t>
        </is>
      </c>
      <c r="G884" s="32" t="n"/>
      <c r="H884" s="32" t="n"/>
      <c r="I884" s="29" t="n"/>
    </row>
    <row r="885">
      <c r="A885" s="29" t="n">
        <v>20840</v>
      </c>
      <c r="B885" s="30" t="inlineStr">
        <is>
          <t>NSW-QLD</t>
        </is>
      </c>
      <c r="C885" s="30" t="inlineStr">
        <is>
          <t>IVFN2021</t>
        </is>
      </c>
      <c r="D885" s="30" t="inlineStr">
        <is>
          <t>Casual</t>
        </is>
      </c>
      <c r="E885" s="42">
        <f>VLOOKUP(A885,'[1]Virtus SAMPLE PositionHistorySa'!$A:$L,12,0)</f>
        <v/>
      </c>
      <c r="F885" s="31" t="inlineStr">
        <is>
          <t>3.98</t>
        </is>
      </c>
      <c r="G885" s="32" t="n"/>
      <c r="H885" s="32" t="n"/>
      <c r="I885" s="29" t="n"/>
    </row>
    <row r="886">
      <c r="A886" s="29" t="n">
        <v>50160</v>
      </c>
      <c r="B886" s="30" t="inlineStr">
        <is>
          <t>NSW-QLD</t>
        </is>
      </c>
      <c r="C886" s="30" t="inlineStr">
        <is>
          <t>IVFN2021</t>
        </is>
      </c>
      <c r="D886" s="30" t="inlineStr">
        <is>
          <t>Part time</t>
        </is>
      </c>
      <c r="E886" s="42">
        <f>VLOOKUP(A886,'[1]Virtus SAMPLE PositionHistorySa'!$A:$L,12,0)</f>
        <v/>
      </c>
      <c r="F886" s="31" t="inlineStr">
        <is>
          <t>4.85</t>
        </is>
      </c>
      <c r="G886" s="32" t="n"/>
      <c r="H886" s="32" t="n"/>
      <c r="I886" s="29" t="n"/>
    </row>
    <row r="887">
      <c r="A887" s="29" t="n">
        <v>20430</v>
      </c>
      <c r="B887" s="30" t="inlineStr">
        <is>
          <t>NSW-QLD</t>
        </is>
      </c>
      <c r="C887" s="30" t="inlineStr">
        <is>
          <t>IVFS2023</t>
        </is>
      </c>
      <c r="D887" s="30" t="inlineStr">
        <is>
          <t>Part time</t>
        </is>
      </c>
      <c r="E887" s="42">
        <f>VLOOKUP(A887,'[1]Virtus SAMPLE PositionHistorySa'!$A:$L,12,0)</f>
        <v/>
      </c>
      <c r="F887" s="31" t="inlineStr">
        <is>
          <t>9.18</t>
        </is>
      </c>
      <c r="G887" s="32" t="n"/>
      <c r="H887" s="32" t="n"/>
      <c r="I887" s="29" t="n"/>
    </row>
    <row r="888">
      <c r="A888" s="29" t="inlineStr">
        <is>
          <t>AU23534</t>
        </is>
      </c>
      <c r="B888" s="30" t="inlineStr">
        <is>
          <t>VIC-TAS</t>
        </is>
      </c>
      <c r="C888" s="30" t="inlineStr">
        <is>
          <t>MIVFS2022</t>
        </is>
      </c>
      <c r="D888" s="30" t="inlineStr">
        <is>
          <t>Full time</t>
        </is>
      </c>
      <c r="E888" s="42">
        <f>VLOOKUP(A888,'[1]Virtus SAMPLE PositionHistorySa'!$A:$L,12,0)</f>
        <v/>
      </c>
      <c r="F888" s="31" t="inlineStr">
        <is>
          <t>0.51</t>
        </is>
      </c>
      <c r="G888" s="32">
        <f>VLOOKUP(A888,Sheet3!A:K,10,0)/38</f>
        <v/>
      </c>
      <c r="H888" s="32">
        <f>F888-G888</f>
        <v/>
      </c>
      <c r="I888" s="29" t="n"/>
    </row>
    <row r="889">
      <c r="A889" s="29" t="inlineStr">
        <is>
          <t>AU23559</t>
        </is>
      </c>
      <c r="B889" s="30" t="inlineStr">
        <is>
          <t>NSW-QLD</t>
        </is>
      </c>
      <c r="C889" s="30" t="inlineStr">
        <is>
          <t>IVFN2021</t>
        </is>
      </c>
      <c r="D889" s="30" t="inlineStr">
        <is>
          <t>Part time</t>
        </is>
      </c>
      <c r="E889" s="42">
        <f>VLOOKUP(A889,'[1]Virtus SAMPLE PositionHistorySa'!$A:$L,12,0)</f>
        <v/>
      </c>
      <c r="F889" s="31" t="inlineStr">
        <is>
          <t>0.51</t>
        </is>
      </c>
      <c r="G889" s="32" t="n"/>
      <c r="H889" s="32" t="n"/>
      <c r="I889" s="29" t="n"/>
    </row>
    <row r="890">
      <c r="A890" s="29" t="inlineStr">
        <is>
          <t>AU23561</t>
        </is>
      </c>
      <c r="B890" s="30" t="inlineStr">
        <is>
          <t>NSW-QLD</t>
        </is>
      </c>
      <c r="C890" s="30" t="inlineStr">
        <is>
          <t>IVFN2021</t>
        </is>
      </c>
      <c r="D890" s="30" t="inlineStr">
        <is>
          <t>Casual</t>
        </is>
      </c>
      <c r="E890" s="42">
        <f>VLOOKUP(A890,'[1]Virtus SAMPLE PositionHistorySa'!$A:$L,12,0)</f>
        <v/>
      </c>
      <c r="F890" s="31" t="inlineStr">
        <is>
          <t>0.51</t>
        </is>
      </c>
      <c r="G890" s="32" t="n"/>
      <c r="H890" s="32" t="n"/>
      <c r="I890" s="29" t="n"/>
    </row>
    <row r="891">
      <c r="A891" s="29" t="inlineStr">
        <is>
          <t>AU23563</t>
        </is>
      </c>
      <c r="B891" s="30" t="inlineStr">
        <is>
          <t>VIC-TAS</t>
        </is>
      </c>
      <c r="C891" s="30" t="inlineStr">
        <is>
          <t>MIVFS2022</t>
        </is>
      </c>
      <c r="D891" s="30">
        <f>VLOOKUP(A891,Sheet3!A:E,5,0)</f>
        <v/>
      </c>
      <c r="E891" s="42">
        <f>VLOOKUP(A891,'[1]Virtus SAMPLE PositionHistorySa'!$A:$L,12,0)</f>
        <v/>
      </c>
      <c r="F891" s="31" t="inlineStr">
        <is>
          <t>0.51</t>
        </is>
      </c>
      <c r="G891" s="32" t="n"/>
      <c r="H891" s="32" t="n"/>
      <c r="I891" s="29" t="n"/>
    </row>
    <row r="892">
      <c r="A892" s="29" t="inlineStr">
        <is>
          <t>AU23573</t>
        </is>
      </c>
      <c r="B892" s="30" t="inlineStr">
        <is>
          <t>NSW-QLD</t>
        </is>
      </c>
      <c r="C892" s="30" t="inlineStr">
        <is>
          <t>QN2025</t>
        </is>
      </c>
      <c r="D892" s="30" t="inlineStr">
        <is>
          <t>Casual</t>
        </is>
      </c>
      <c r="E892" s="42">
        <f>VLOOKUP(A892,'[1]Virtus SAMPLE PositionHistorySa'!$A:$L,12,0)</f>
        <v/>
      </c>
      <c r="F892" s="31" t="inlineStr">
        <is>
          <t>0.77</t>
        </is>
      </c>
      <c r="G892" s="32" t="n"/>
      <c r="H892" s="32" t="n"/>
      <c r="I892" s="29" t="n"/>
    </row>
    <row r="893">
      <c r="A893" s="29" t="inlineStr">
        <is>
          <t>AU23134</t>
        </is>
      </c>
      <c r="B893" s="30" t="inlineStr">
        <is>
          <t>NSW-QLD</t>
        </is>
      </c>
      <c r="C893" s="30" t="inlineStr">
        <is>
          <t>IVFN2021</t>
        </is>
      </c>
      <c r="D893" s="30" t="inlineStr">
        <is>
          <t>Full time</t>
        </is>
      </c>
      <c r="E893" s="42">
        <f>VLOOKUP(A893,'[1]Virtus SAMPLE PositionHistorySa'!$A:$L,12,0)</f>
        <v/>
      </c>
      <c r="F893" s="31" t="inlineStr">
        <is>
          <t>1.38</t>
        </is>
      </c>
      <c r="G893" s="32">
        <f>VLOOKUP(A893,Sheet3!A:K,10,0)/38</f>
        <v/>
      </c>
      <c r="H893" s="32">
        <f>F893-G893</f>
        <v/>
      </c>
      <c r="I893" s="29" t="n"/>
    </row>
    <row r="894">
      <c r="A894" s="29" t="inlineStr">
        <is>
          <t>AU23140</t>
        </is>
      </c>
      <c r="B894" s="30" t="inlineStr">
        <is>
          <t>NSW-QLD</t>
        </is>
      </c>
      <c r="C894" s="30" t="inlineStr">
        <is>
          <t>IVFN2021</t>
        </is>
      </c>
      <c r="D894" s="30" t="inlineStr">
        <is>
          <t>Full time</t>
        </is>
      </c>
      <c r="E894" s="42">
        <f>VLOOKUP(A894,'[1]Virtus SAMPLE PositionHistorySa'!$A:$L,12,0)</f>
        <v/>
      </c>
      <c r="F894" s="31" t="inlineStr">
        <is>
          <t>1.38</t>
        </is>
      </c>
      <c r="G894" s="32">
        <f>VLOOKUP(A894,Sheet3!A:K,10,0)/38</f>
        <v/>
      </c>
      <c r="H894" s="32">
        <f>F894-G894</f>
        <v/>
      </c>
      <c r="I894" s="29" t="n"/>
    </row>
    <row r="895">
      <c r="A895" s="29" t="inlineStr">
        <is>
          <t>AU23133</t>
        </is>
      </c>
      <c r="B895" s="30" t="inlineStr">
        <is>
          <t>NSW-QLD</t>
        </is>
      </c>
      <c r="C895" s="30" t="inlineStr">
        <is>
          <t>QLD</t>
        </is>
      </c>
      <c r="D895" s="30" t="inlineStr">
        <is>
          <t>Part time</t>
        </is>
      </c>
      <c r="E895" s="42">
        <f>VLOOKUP(A895,'[1]Virtus SAMPLE PositionHistorySa'!$A:$L,12,0)</f>
        <v/>
      </c>
      <c r="F895" s="31" t="inlineStr">
        <is>
          <t>1.38</t>
        </is>
      </c>
      <c r="G895" s="32" t="n"/>
      <c r="H895" s="32" t="n"/>
      <c r="I895" s="29" t="n"/>
    </row>
    <row r="896">
      <c r="A896" s="29" t="inlineStr">
        <is>
          <t>AU23136</t>
        </is>
      </c>
      <c r="B896" s="30" t="inlineStr">
        <is>
          <t>NSW-QLD</t>
        </is>
      </c>
      <c r="C896" s="30" t="inlineStr">
        <is>
          <t>QS2024</t>
        </is>
      </c>
      <c r="D896" s="30">
        <f>VLOOKUP(A896,Sheet3!A:E,5,0)</f>
        <v/>
      </c>
      <c r="E896" s="42">
        <f>VLOOKUP(A896,'[1]Virtus SAMPLE PositionHistorySa'!$A:$L,12,0)</f>
        <v/>
      </c>
      <c r="F896" s="31" t="inlineStr">
        <is>
          <t>1.38</t>
        </is>
      </c>
      <c r="G896" s="32" t="n"/>
      <c r="H896" s="32" t="n"/>
      <c r="I896" s="29" t="n"/>
    </row>
    <row r="897">
      <c r="A897" s="29" t="n">
        <v>1046</v>
      </c>
      <c r="B897" s="30" t="inlineStr">
        <is>
          <t>VIC-TAS</t>
        </is>
      </c>
      <c r="C897" s="30" t="inlineStr">
        <is>
          <t>MIVFN2023</t>
        </is>
      </c>
      <c r="D897" s="30" t="inlineStr">
        <is>
          <t>Full time</t>
        </is>
      </c>
      <c r="E897" s="42">
        <f>VLOOKUP(A897,'[1]Virtus SAMPLE PositionHistorySa'!$A:$L,12,0)</f>
        <v/>
      </c>
      <c r="F897" s="31" t="inlineStr">
        <is>
          <t>6.58</t>
        </is>
      </c>
      <c r="G897" s="32">
        <f>VLOOKUP(A897,Sheet3!A:K,10,0)/38</f>
        <v/>
      </c>
      <c r="H897" s="32">
        <f>F897-G897</f>
        <v/>
      </c>
      <c r="I897" s="29" t="n"/>
    </row>
    <row r="898">
      <c r="A898" s="29" t="n">
        <v>1043</v>
      </c>
      <c r="B898" s="30" t="inlineStr">
        <is>
          <t>VIC-TAS</t>
        </is>
      </c>
      <c r="C898" s="30" t="inlineStr">
        <is>
          <t>MIVFN2023</t>
        </is>
      </c>
      <c r="D898" s="30" t="inlineStr">
        <is>
          <t>Full time</t>
        </is>
      </c>
      <c r="E898" s="42">
        <f>VLOOKUP(A898,'[1]Virtus SAMPLE PositionHistorySa'!$A:$L,12,0)</f>
        <v/>
      </c>
      <c r="F898" s="31" t="inlineStr">
        <is>
          <t>6.58</t>
        </is>
      </c>
      <c r="G898" s="32">
        <f>VLOOKUP(A898,Sheet3!A:K,10,0)/38</f>
        <v/>
      </c>
      <c r="H898" s="32">
        <f>F898-G898</f>
        <v/>
      </c>
      <c r="I898" s="29" t="n"/>
    </row>
    <row r="899">
      <c r="A899" s="29" t="inlineStr">
        <is>
          <t>AU23524</t>
        </is>
      </c>
      <c r="B899" s="30" t="inlineStr">
        <is>
          <t>VIC-TAS</t>
        </is>
      </c>
      <c r="C899" s="30" t="inlineStr">
        <is>
          <t>VIC</t>
        </is>
      </c>
      <c r="D899" s="30">
        <f>VLOOKUP(A899,Sheet3!A:E,5,0)</f>
        <v/>
      </c>
      <c r="E899" s="42">
        <f>VLOOKUP(A899,'[1]Virtus SAMPLE PositionHistorySa'!$A:$L,12,0)</f>
        <v/>
      </c>
      <c r="F899" s="31" t="inlineStr">
        <is>
          <t>0.51</t>
        </is>
      </c>
      <c r="G899" s="32" t="n"/>
      <c r="H899" s="32" t="n"/>
      <c r="I899" s="29" t="n"/>
    </row>
    <row r="900">
      <c r="A900" s="29" t="inlineStr">
        <is>
          <t>AU22799</t>
        </is>
      </c>
      <c r="B900" s="30" t="inlineStr">
        <is>
          <t>NSW-QLD</t>
        </is>
      </c>
      <c r="C900" s="30" t="inlineStr">
        <is>
          <t>QS2024</t>
        </is>
      </c>
      <c r="D900" s="30" t="inlineStr">
        <is>
          <t>Full time</t>
        </is>
      </c>
      <c r="E900" s="42">
        <f>VLOOKUP(A900,'[1]Virtus SAMPLE PositionHistorySa'!$A:$L,12,0)</f>
        <v/>
      </c>
      <c r="F900" s="31" t="inlineStr">
        <is>
          <t>2.24</t>
        </is>
      </c>
      <c r="G900" s="32">
        <f>VLOOKUP(A900,Sheet3!A:K,10,0)/38</f>
        <v/>
      </c>
      <c r="H900" s="32">
        <f>F900-G900</f>
        <v/>
      </c>
      <c r="I900" s="29" t="n"/>
    </row>
    <row r="901">
      <c r="A901" s="29" t="inlineStr">
        <is>
          <t>AU22788</t>
        </is>
      </c>
      <c r="B901" s="30" t="inlineStr">
        <is>
          <t>NSW-QLD</t>
        </is>
      </c>
      <c r="C901" s="30" t="inlineStr">
        <is>
          <t>QS2024</t>
        </is>
      </c>
      <c r="D901" s="30" t="inlineStr">
        <is>
          <t>Part time</t>
        </is>
      </c>
      <c r="E901" s="42">
        <f>VLOOKUP(A901,'[1]Virtus SAMPLE PositionHistorySa'!$A:$L,12,0)</f>
        <v/>
      </c>
      <c r="F901" s="31" t="inlineStr">
        <is>
          <t>2.24</t>
        </is>
      </c>
      <c r="G901" s="32" t="n"/>
      <c r="H901" s="32" t="n"/>
      <c r="I901" s="29" t="n"/>
    </row>
    <row r="902">
      <c r="A902" s="29" t="inlineStr">
        <is>
          <t>AU22791</t>
        </is>
      </c>
      <c r="B902" s="30" t="inlineStr">
        <is>
          <t>NSW-QLD</t>
        </is>
      </c>
      <c r="C902" s="30" t="inlineStr">
        <is>
          <t>QN2025</t>
        </is>
      </c>
      <c r="D902" s="30" t="inlineStr">
        <is>
          <t>Part time</t>
        </is>
      </c>
      <c r="E902" s="42">
        <f>VLOOKUP(A902,'[1]Virtus SAMPLE PositionHistorySa'!$A:$L,12,0)</f>
        <v/>
      </c>
      <c r="F902" s="31" t="inlineStr">
        <is>
          <t>3.36</t>
        </is>
      </c>
      <c r="G902" s="32" t="n"/>
      <c r="H902" s="32" t="n"/>
      <c r="I902" s="29" t="n"/>
    </row>
    <row r="903">
      <c r="A903" s="29" t="n">
        <v>90019</v>
      </c>
      <c r="B903" s="30" t="inlineStr">
        <is>
          <t>NSW-QLD</t>
        </is>
      </c>
      <c r="C903" s="30" t="inlineStr">
        <is>
          <t>IVFS2023</t>
        </is>
      </c>
      <c r="D903" s="30" t="inlineStr">
        <is>
          <t>Full time</t>
        </is>
      </c>
      <c r="E903" s="42">
        <f>VLOOKUP(A903,'[1]Virtus SAMPLE PositionHistorySa'!$A:$L,12,0)</f>
        <v/>
      </c>
      <c r="F903" s="31" t="inlineStr">
        <is>
          <t>11.64</t>
        </is>
      </c>
      <c r="G903" s="32">
        <f>VLOOKUP(A903,Sheet3!A:K,10,0)/38</f>
        <v/>
      </c>
      <c r="H903" s="32">
        <f>F903-G903</f>
        <v/>
      </c>
      <c r="I903" s="29" t="n"/>
    </row>
    <row r="904">
      <c r="A904" s="29" t="n">
        <v>20522</v>
      </c>
      <c r="B904" s="30" t="inlineStr">
        <is>
          <t>NSW-QLD</t>
        </is>
      </c>
      <c r="C904" s="30" t="inlineStr">
        <is>
          <t>IVFS2023</t>
        </is>
      </c>
      <c r="D904" s="30" t="inlineStr">
        <is>
          <t>Full time</t>
        </is>
      </c>
      <c r="E904" s="42">
        <f>VLOOKUP(A904,'[1]Virtus SAMPLE PositionHistorySa'!$A:$L,12,0)</f>
        <v/>
      </c>
      <c r="F904" s="31" t="inlineStr">
        <is>
          <t>8.30</t>
        </is>
      </c>
      <c r="G904" s="32">
        <f>VLOOKUP(A904,Sheet3!A:K,10,0)/38</f>
        <v/>
      </c>
      <c r="H904" s="32">
        <f>F904-G904</f>
        <v/>
      </c>
      <c r="I904" s="29" t="n"/>
    </row>
    <row r="905">
      <c r="A905" s="29" t="n">
        <v>20918</v>
      </c>
      <c r="B905" s="30" t="inlineStr">
        <is>
          <t>NSW-QLD</t>
        </is>
      </c>
      <c r="C905" s="30" t="inlineStr">
        <is>
          <t>IVFT2024</t>
        </is>
      </c>
      <c r="D905" s="30" t="inlineStr">
        <is>
          <t>Full time</t>
        </is>
      </c>
      <c r="E905" s="42">
        <f>VLOOKUP(A905,'[1]Virtus SAMPLE PositionHistorySa'!$A:$L,12,0)</f>
        <v/>
      </c>
      <c r="F905" s="31" t="inlineStr">
        <is>
          <t>3.10</t>
        </is>
      </c>
      <c r="G905" s="32">
        <f>VLOOKUP(A905,Sheet3!A:K,10,0)/38</f>
        <v/>
      </c>
      <c r="H905" s="32">
        <f>F905-G905</f>
        <v/>
      </c>
      <c r="I905" s="29" t="n"/>
    </row>
    <row r="906">
      <c r="A906" s="29" t="n">
        <v>1449</v>
      </c>
      <c r="B906" s="30" t="inlineStr">
        <is>
          <t>VIC-TAS</t>
        </is>
      </c>
      <c r="C906" s="30" t="inlineStr">
        <is>
          <t>MIVFC2021</t>
        </is>
      </c>
      <c r="D906" s="30" t="inlineStr">
        <is>
          <t>Part time</t>
        </is>
      </c>
      <c r="E906" s="42">
        <f>VLOOKUP(A906,'[1]Virtus SAMPLE PositionHistorySa'!$A:$L,12,0)</f>
        <v/>
      </c>
      <c r="F906" s="31" t="inlineStr">
        <is>
          <t>6.21</t>
        </is>
      </c>
      <c r="G906" s="32" t="n"/>
      <c r="H906" s="32" t="n"/>
      <c r="I906" s="29" t="n"/>
    </row>
    <row r="907">
      <c r="A907" s="29" t="n">
        <v>50212</v>
      </c>
      <c r="B907" s="30" t="inlineStr">
        <is>
          <t>NSW-QLD</t>
        </is>
      </c>
      <c r="C907" s="30" t="inlineStr">
        <is>
          <t>IVFS2023</t>
        </is>
      </c>
      <c r="D907" s="30" t="inlineStr">
        <is>
          <t>Casual</t>
        </is>
      </c>
      <c r="E907" s="42">
        <f>VLOOKUP(A907,'[1]Virtus SAMPLE PositionHistorySa'!$A:$L,12,0)</f>
        <v/>
      </c>
      <c r="F907" s="31" t="inlineStr">
        <is>
          <t>3.10</t>
        </is>
      </c>
      <c r="G907" s="32" t="n"/>
      <c r="H907" s="32" t="n"/>
      <c r="I907" s="29" t="n"/>
    </row>
    <row r="908">
      <c r="A908" s="29" t="inlineStr">
        <is>
          <t>AU22796</t>
        </is>
      </c>
      <c r="B908" s="30" t="inlineStr">
        <is>
          <t>NSW-QLD</t>
        </is>
      </c>
      <c r="C908" s="30" t="inlineStr">
        <is>
          <t>IVFS2023</t>
        </is>
      </c>
      <c r="D908" s="30" t="inlineStr">
        <is>
          <t>Casual</t>
        </is>
      </c>
      <c r="E908" s="42">
        <f>VLOOKUP(A908,'[1]Virtus SAMPLE PositionHistorySa'!$A:$L,12,0)</f>
        <v/>
      </c>
      <c r="F908" s="31" t="inlineStr">
        <is>
          <t>2.24</t>
        </is>
      </c>
      <c r="G908" s="32" t="n"/>
      <c r="H908" s="32" t="n"/>
      <c r="I908" s="29" t="n"/>
    </row>
    <row r="909">
      <c r="A909" s="29" t="n">
        <v>20521</v>
      </c>
      <c r="B909" s="30" t="inlineStr">
        <is>
          <t>NSW-QLD</t>
        </is>
      </c>
      <c r="C909" s="30" t="inlineStr">
        <is>
          <t>IVFS2023</t>
        </is>
      </c>
      <c r="D909" s="30" t="inlineStr">
        <is>
          <t>Full time</t>
        </is>
      </c>
      <c r="E909" s="42">
        <f>VLOOKUP(A909,'[1]Virtus SAMPLE PositionHistorySa'!$A:$L,12,0)</f>
        <v/>
      </c>
      <c r="F909" s="31" t="inlineStr">
        <is>
          <t>8.30</t>
        </is>
      </c>
      <c r="G909" s="32">
        <f>VLOOKUP(A909,Sheet3!A:K,10,0)/38</f>
        <v/>
      </c>
      <c r="H909" s="32">
        <f>F909-G909</f>
        <v/>
      </c>
      <c r="I909" s="29" t="n"/>
    </row>
    <row r="910">
      <c r="A910" s="29" t="n">
        <v>80402</v>
      </c>
      <c r="B910" s="30" t="inlineStr">
        <is>
          <t>NSW-QLD</t>
        </is>
      </c>
      <c r="C910" s="30" t="inlineStr">
        <is>
          <t>QS2024</t>
        </is>
      </c>
      <c r="D910" s="30" t="inlineStr">
        <is>
          <t>Full time</t>
        </is>
      </c>
      <c r="E910" s="42">
        <f>VLOOKUP(A910,'[1]Virtus SAMPLE PositionHistorySa'!$A:$L,12,0)</f>
        <v/>
      </c>
      <c r="F910" s="31" t="inlineStr">
        <is>
          <t>3.97</t>
        </is>
      </c>
      <c r="G910" s="32">
        <f>VLOOKUP(A910,Sheet3!A:K,10,0)/38</f>
        <v/>
      </c>
      <c r="H910" s="32">
        <f>F910-G910</f>
        <v/>
      </c>
      <c r="I910" s="29" t="n"/>
    </row>
    <row r="911">
      <c r="A911" s="29" t="n">
        <v>20021</v>
      </c>
      <c r="B911" s="30" t="inlineStr">
        <is>
          <t>NSW-QLD</t>
        </is>
      </c>
      <c r="C911" s="30" t="inlineStr">
        <is>
          <t>NSW</t>
        </is>
      </c>
      <c r="D911" s="30" t="inlineStr">
        <is>
          <t>Full time</t>
        </is>
      </c>
      <c r="E911" s="42">
        <f>VLOOKUP(A911,'[1]Virtus SAMPLE PositionHistorySa'!$A:$L,12,0)</f>
        <v/>
      </c>
      <c r="F911" s="31" t="inlineStr">
        <is>
          <t>9.05</t>
        </is>
      </c>
      <c r="G911" s="32">
        <f>VLOOKUP(A911,Sheet3!A:K,10,0)/38</f>
        <v/>
      </c>
      <c r="H911" s="32">
        <f>F911-G911</f>
        <v/>
      </c>
      <c r="I911" s="29" t="n"/>
    </row>
    <row r="912">
      <c r="A912" s="29" t="inlineStr">
        <is>
          <t>AU22797</t>
        </is>
      </c>
      <c r="B912" s="30" t="inlineStr">
        <is>
          <t>NSW-QLD</t>
        </is>
      </c>
      <c r="C912" s="30" t="inlineStr">
        <is>
          <t>IVFS2023</t>
        </is>
      </c>
      <c r="D912" s="30" t="inlineStr">
        <is>
          <t>Part time</t>
        </is>
      </c>
      <c r="E912" s="42">
        <f>VLOOKUP(A912,'[1]Virtus SAMPLE PositionHistorySa'!$A:$L,12,0)</f>
        <v/>
      </c>
      <c r="F912" s="31" t="inlineStr">
        <is>
          <t>2.23</t>
        </is>
      </c>
      <c r="G912" s="32" t="n"/>
      <c r="H912" s="32" t="n"/>
      <c r="I912" s="29" t="n"/>
    </row>
    <row r="913">
      <c r="A913" s="29" t="n">
        <v>19010</v>
      </c>
      <c r="B913" s="30" t="inlineStr">
        <is>
          <t>NSW-QLD</t>
        </is>
      </c>
      <c r="C913" s="30" t="inlineStr">
        <is>
          <t>VIC</t>
        </is>
      </c>
      <c r="D913" s="30" t="inlineStr">
        <is>
          <t>Full time</t>
        </is>
      </c>
      <c r="E913" s="42">
        <f>VLOOKUP(A913,'[1]Virtus SAMPLE PositionHistorySa'!$A:$L,12,0)</f>
        <v/>
      </c>
      <c r="F913" s="31" t="inlineStr">
        <is>
          <t>10.03</t>
        </is>
      </c>
      <c r="G913" s="32">
        <f>VLOOKUP(A913,Sheet3!A:K,10,0)/38</f>
        <v/>
      </c>
      <c r="H913" s="32">
        <f>F913-G913</f>
        <v/>
      </c>
      <c r="I913" s="29" t="n"/>
    </row>
    <row r="914">
      <c r="A914" s="29" t="n">
        <v>103</v>
      </c>
      <c r="B914" s="30" t="inlineStr">
        <is>
          <t>VIC-TAS</t>
        </is>
      </c>
      <c r="C914" s="30" t="inlineStr">
        <is>
          <t>TIVF2024</t>
        </is>
      </c>
      <c r="D914" s="30" t="inlineStr">
        <is>
          <t>Part time</t>
        </is>
      </c>
      <c r="E914" s="42">
        <f>VLOOKUP(A914,'[1]Virtus SAMPLE PositionHistorySa'!$A:$L,12,0)</f>
        <v/>
      </c>
      <c r="F914" s="31" t="inlineStr">
        <is>
          <t>4.83</t>
        </is>
      </c>
      <c r="G914" s="32" t="n"/>
      <c r="H914" s="32" t="n"/>
      <c r="I914" s="29" t="n"/>
    </row>
    <row r="915">
      <c r="A915" s="29" t="inlineStr">
        <is>
          <t>AU23581</t>
        </is>
      </c>
      <c r="B915" s="30" t="inlineStr">
        <is>
          <t>NSW-QLD</t>
        </is>
      </c>
      <c r="C915" s="30" t="inlineStr">
        <is>
          <t>IVFS2023</t>
        </is>
      </c>
      <c r="D915" s="30" t="inlineStr">
        <is>
          <t>Full time</t>
        </is>
      </c>
      <c r="E915" s="42">
        <f>VLOOKUP(A915,'[1]Virtus SAMPLE PositionHistorySa'!$A:$L,12,0)</f>
        <v/>
      </c>
      <c r="F915" s="31" t="inlineStr">
        <is>
          <t>0.50</t>
        </is>
      </c>
      <c r="G915" s="32">
        <f>VLOOKUP(A915,Sheet3!A:K,10,0)/38</f>
        <v/>
      </c>
      <c r="H915" s="32">
        <f>F915-G915</f>
        <v/>
      </c>
      <c r="I915" s="29" t="n"/>
    </row>
    <row r="916">
      <c r="A916" s="29" t="inlineStr">
        <is>
          <t>AU23560</t>
        </is>
      </c>
      <c r="B916" s="30" t="inlineStr">
        <is>
          <t>NSW-QLD</t>
        </is>
      </c>
      <c r="C916" s="30" t="inlineStr">
        <is>
          <t>IVFN2021</t>
        </is>
      </c>
      <c r="D916" s="30" t="inlineStr">
        <is>
          <t>Full time</t>
        </is>
      </c>
      <c r="E916" s="42">
        <f>VLOOKUP(A916,'[1]Virtus SAMPLE PositionHistorySa'!$A:$L,12,0)</f>
        <v/>
      </c>
      <c r="F916" s="31" t="inlineStr">
        <is>
          <t>0.50</t>
        </is>
      </c>
      <c r="G916" s="32">
        <f>VLOOKUP(A916,Sheet3!A:K,10,0)/38</f>
        <v/>
      </c>
      <c r="H916" s="32">
        <f>F916-G916</f>
        <v/>
      </c>
      <c r="I916" s="29" t="n"/>
    </row>
    <row r="917">
      <c r="A917" s="29" t="inlineStr">
        <is>
          <t>AU23570</t>
        </is>
      </c>
      <c r="B917" s="30" t="inlineStr">
        <is>
          <t>NSW-QLD</t>
        </is>
      </c>
      <c r="C917" s="30" t="inlineStr">
        <is>
          <t>QN2025</t>
        </is>
      </c>
      <c r="D917" s="30" t="inlineStr">
        <is>
          <t>Casual</t>
        </is>
      </c>
      <c r="E917" s="42">
        <f>VLOOKUP(A917,'[1]Virtus SAMPLE PositionHistorySa'!$A:$L,12,0)</f>
        <v/>
      </c>
      <c r="F917" s="31" t="inlineStr">
        <is>
          <t>0.74</t>
        </is>
      </c>
      <c r="G917" s="32" t="n"/>
      <c r="H917" s="32" t="n"/>
      <c r="I917" s="29" t="n"/>
    </row>
    <row r="918">
      <c r="A918" s="29" t="inlineStr">
        <is>
          <t>AU23571</t>
        </is>
      </c>
      <c r="B918" s="30" t="inlineStr">
        <is>
          <t>NSW-QLD</t>
        </is>
      </c>
      <c r="C918" s="30" t="inlineStr">
        <is>
          <t>QS2024</t>
        </is>
      </c>
      <c r="D918" s="30">
        <f>VLOOKUP(A918,Sheet3!A:E,5,0)</f>
        <v/>
      </c>
      <c r="E918" s="42">
        <f>VLOOKUP(A918,'[1]Virtus SAMPLE PositionHistorySa'!$A:$L,12,0)</f>
        <v/>
      </c>
      <c r="F918" s="31" t="inlineStr">
        <is>
          <t>0.50</t>
        </is>
      </c>
      <c r="G918" s="32" t="n"/>
      <c r="H918" s="32" t="n"/>
      <c r="I918" s="29" t="n"/>
    </row>
    <row r="919">
      <c r="A919" s="29" t="inlineStr">
        <is>
          <t>AU23582</t>
        </is>
      </c>
      <c r="B919" s="30" t="inlineStr">
        <is>
          <t>VIC-TAS</t>
        </is>
      </c>
      <c r="C919" s="30" t="inlineStr">
        <is>
          <t>MIVFS2022</t>
        </is>
      </c>
      <c r="D919" s="30">
        <f>VLOOKUP(A919,Sheet3!A:E,5,0)</f>
        <v/>
      </c>
      <c r="E919" s="42">
        <f>VLOOKUP(A919,'[1]Virtus SAMPLE PositionHistorySa'!$A:$L,12,0)</f>
        <v/>
      </c>
      <c r="F919" s="31" t="inlineStr">
        <is>
          <t>0.50</t>
        </is>
      </c>
      <c r="G919" s="32" t="n"/>
      <c r="H919" s="32" t="n"/>
      <c r="I919" s="29" t="n"/>
    </row>
    <row r="920">
      <c r="A920" s="29" t="inlineStr">
        <is>
          <t>AU23588</t>
        </is>
      </c>
      <c r="B920" s="30" t="inlineStr">
        <is>
          <t>VIC-TAS</t>
        </is>
      </c>
      <c r="C920" s="30" t="inlineStr">
        <is>
          <t>IVFS2023</t>
        </is>
      </c>
      <c r="D920" s="30" t="inlineStr">
        <is>
          <t>Casual</t>
        </is>
      </c>
      <c r="E920" s="42">
        <f>VLOOKUP(A920,'[1]Virtus SAMPLE PositionHistorySa'!$A:$L,12,0)</f>
        <v/>
      </c>
      <c r="F920" s="31" t="inlineStr">
        <is>
          <t>0.50</t>
        </is>
      </c>
      <c r="G920" s="32" t="n"/>
      <c r="H920" s="32" t="n"/>
      <c r="I920" s="29" t="n"/>
    </row>
    <row r="921">
      <c r="A921" s="29" t="inlineStr">
        <is>
          <t>AU23595</t>
        </is>
      </c>
      <c r="B921" s="30" t="inlineStr">
        <is>
          <t>VIC-TAS</t>
        </is>
      </c>
      <c r="C921" s="30" t="inlineStr">
        <is>
          <t>IVFS2023</t>
        </is>
      </c>
      <c r="D921" s="30" t="inlineStr">
        <is>
          <t>Casual</t>
        </is>
      </c>
      <c r="E921" s="42">
        <f>VLOOKUP(A921,'[1]Virtus SAMPLE PositionHistorySa'!$A:$L,12,0)</f>
        <v/>
      </c>
      <c r="F921" s="31" t="inlineStr">
        <is>
          <t>0.50</t>
        </is>
      </c>
      <c r="G921" s="32" t="n"/>
      <c r="H921" s="32" t="n"/>
      <c r="I921" s="29" t="n"/>
    </row>
    <row r="922">
      <c r="A922" s="29" t="n">
        <v>20152</v>
      </c>
      <c r="B922" s="30" t="inlineStr">
        <is>
          <t>NSW-QLD</t>
        </is>
      </c>
      <c r="C922" s="30" t="inlineStr">
        <is>
          <t>NSW</t>
        </is>
      </c>
      <c r="D922" s="30" t="inlineStr">
        <is>
          <t>Part time</t>
        </is>
      </c>
      <c r="E922" s="42">
        <f>VLOOKUP(A922,'[1]Virtus SAMPLE PositionHistorySa'!$A:$L,12,0)</f>
        <v/>
      </c>
      <c r="F922" s="31" t="inlineStr">
        <is>
          <t>4.03</t>
        </is>
      </c>
      <c r="G922" s="32" t="n"/>
      <c r="H922" s="32" t="n"/>
      <c r="I922" s="29" t="n"/>
    </row>
    <row r="923">
      <c r="A923" s="29" t="n">
        <v>20917</v>
      </c>
      <c r="B923" s="30" t="inlineStr">
        <is>
          <t>NSW-QLD</t>
        </is>
      </c>
      <c r="C923" s="30" t="inlineStr">
        <is>
          <t>NSW</t>
        </is>
      </c>
      <c r="D923" s="30" t="inlineStr">
        <is>
          <t>Full time</t>
        </is>
      </c>
      <c r="E923" s="42">
        <f>VLOOKUP(A923,'[1]Virtus SAMPLE PositionHistorySa'!$A:$L,12,0)</f>
        <v/>
      </c>
      <c r="F923" s="31" t="inlineStr">
        <is>
          <t>9.89</t>
        </is>
      </c>
      <c r="G923" s="32">
        <f>VLOOKUP(A923,Sheet3!A:K,10,0)/38</f>
        <v/>
      </c>
      <c r="H923" s="32">
        <f>F923-G923</f>
        <v/>
      </c>
      <c r="I923" s="29" t="n"/>
    </row>
    <row r="924">
      <c r="A924" s="29" t="n">
        <v>80123</v>
      </c>
      <c r="B924" s="30" t="inlineStr">
        <is>
          <t>NSW-QLD</t>
        </is>
      </c>
      <c r="C924" s="30" t="inlineStr">
        <is>
          <t>QS2024</t>
        </is>
      </c>
      <c r="D924" s="30" t="inlineStr">
        <is>
          <t>Full time</t>
        </is>
      </c>
      <c r="E924" s="42">
        <f>VLOOKUP(A924,'[1]Virtus SAMPLE PositionHistorySa'!$A:$L,12,0)</f>
        <v/>
      </c>
      <c r="F924" s="31" t="inlineStr">
        <is>
          <t>0.09</t>
        </is>
      </c>
      <c r="G924" s="32">
        <f>VLOOKUP(A924,Sheet3!A:K,10,0)/38</f>
        <v/>
      </c>
      <c r="H924" s="32">
        <f>F924-G924</f>
        <v/>
      </c>
      <c r="I924" s="29" t="n"/>
    </row>
    <row r="925">
      <c r="A925" s="29" t="n">
        <v>50198</v>
      </c>
      <c r="B925" s="30" t="inlineStr">
        <is>
          <t>NSW-QLD</t>
        </is>
      </c>
      <c r="C925" s="30" t="inlineStr">
        <is>
          <t>IVFN2021</t>
        </is>
      </c>
      <c r="D925" s="30" t="inlineStr">
        <is>
          <t>Casual</t>
        </is>
      </c>
      <c r="E925" s="42">
        <f>VLOOKUP(A925,'[1]Virtus SAMPLE PositionHistorySa'!$A:$L,12,0)</f>
        <v/>
      </c>
      <c r="F925" s="31" t="inlineStr">
        <is>
          <t>3.96</t>
        </is>
      </c>
      <c r="G925" s="32" t="n"/>
      <c r="H925" s="32" t="n"/>
      <c r="I925" s="29" t="n"/>
    </row>
    <row r="926">
      <c r="A926" s="29" t="inlineStr">
        <is>
          <t>AU23141</t>
        </is>
      </c>
      <c r="B926" s="30" t="inlineStr">
        <is>
          <t>NSW-QLD</t>
        </is>
      </c>
      <c r="C926" s="30" t="inlineStr">
        <is>
          <t>IVFS2023</t>
        </is>
      </c>
      <c r="D926" s="30" t="inlineStr">
        <is>
          <t>Casual</t>
        </is>
      </c>
      <c r="E926" s="42">
        <f>VLOOKUP(A926,'[1]Virtus SAMPLE PositionHistorySa'!$A:$L,12,0)</f>
        <v/>
      </c>
      <c r="F926" s="31" t="inlineStr">
        <is>
          <t>1.36</t>
        </is>
      </c>
      <c r="G926" s="32" t="n"/>
      <c r="H926" s="32" t="n"/>
      <c r="I926" s="29" t="n"/>
    </row>
    <row r="927">
      <c r="A927" s="29" t="inlineStr">
        <is>
          <t>AU23577</t>
        </is>
      </c>
      <c r="B927" s="30" t="inlineStr">
        <is>
          <t>NSW-QLD</t>
        </is>
      </c>
      <c r="C927" s="30" t="inlineStr">
        <is>
          <t>NSW</t>
        </is>
      </c>
      <c r="D927" s="30">
        <f>VLOOKUP(A927,Sheet3!A:E,5,0)</f>
        <v/>
      </c>
      <c r="E927" s="42">
        <f>VLOOKUP(A927,'[1]Virtus SAMPLE PositionHistorySa'!$A:$L,12,0)</f>
        <v/>
      </c>
      <c r="F927" s="31" t="inlineStr">
        <is>
          <t>0.49</t>
        </is>
      </c>
      <c r="G927" s="32" t="n"/>
      <c r="H927" s="32" t="n"/>
      <c r="I927" s="29" t="n"/>
    </row>
    <row r="928">
      <c r="A928" s="29" t="inlineStr">
        <is>
          <t>AU23616</t>
        </is>
      </c>
      <c r="B928" s="30" t="inlineStr">
        <is>
          <t>NSW-QLD</t>
        </is>
      </c>
      <c r="C928" s="30" t="inlineStr">
        <is>
          <t>IVFN2021</t>
        </is>
      </c>
      <c r="D928" s="30" t="inlineStr">
        <is>
          <t>Casual</t>
        </is>
      </c>
      <c r="E928" s="42">
        <f>VLOOKUP(A928,'[1]Virtus SAMPLE PositionHistorySa'!$A:$L,12,0)</f>
        <v/>
      </c>
      <c r="F928" s="31" t="inlineStr">
        <is>
          <t>0.49</t>
        </is>
      </c>
      <c r="G928" s="32" t="n"/>
      <c r="H928" s="32" t="n"/>
      <c r="I928" s="29" t="n"/>
    </row>
    <row r="929">
      <c r="A929" s="29" t="n">
        <v>56</v>
      </c>
      <c r="B929" s="30" t="inlineStr">
        <is>
          <t>VIC-TAS</t>
        </is>
      </c>
      <c r="C929" s="30" t="inlineStr">
        <is>
          <t>TIVF2024</t>
        </is>
      </c>
      <c r="D929" s="30" t="inlineStr">
        <is>
          <t>Part time</t>
        </is>
      </c>
      <c r="E929" s="42">
        <f>VLOOKUP(A929,'[1]Virtus SAMPLE PositionHistorySa'!$A:$L,12,0)</f>
        <v/>
      </c>
      <c r="F929" s="31" t="inlineStr">
        <is>
          <t>7.42</t>
        </is>
      </c>
      <c r="G929" s="32" t="n"/>
      <c r="H929" s="32" t="n"/>
      <c r="I929" s="29" t="n"/>
    </row>
    <row r="930">
      <c r="A930" s="29" t="inlineStr">
        <is>
          <t>AU22801</t>
        </is>
      </c>
      <c r="B930" s="30" t="inlineStr">
        <is>
          <t>NSW-QLD</t>
        </is>
      </c>
      <c r="C930" s="30" t="inlineStr">
        <is>
          <t>QS2024</t>
        </is>
      </c>
      <c r="D930" s="30" t="inlineStr">
        <is>
          <t>Part time</t>
        </is>
      </c>
      <c r="E930" s="42">
        <f>VLOOKUP(A930,'[1]Virtus SAMPLE PositionHistorySa'!$A:$L,12,0)</f>
        <v/>
      </c>
      <c r="F930" s="31" t="inlineStr">
        <is>
          <t>2.22</t>
        </is>
      </c>
      <c r="G930" s="32" t="n"/>
      <c r="H930" s="32" t="n"/>
      <c r="I930" s="29" t="n"/>
    </row>
    <row r="931">
      <c r="A931" s="29" t="inlineStr">
        <is>
          <t>AU22803</t>
        </is>
      </c>
      <c r="B931" s="30" t="inlineStr">
        <is>
          <t>NSW-QLD</t>
        </is>
      </c>
      <c r="C931" s="30" t="inlineStr">
        <is>
          <t>IVFS2023</t>
        </is>
      </c>
      <c r="D931" s="30" t="inlineStr">
        <is>
          <t>Part time</t>
        </is>
      </c>
      <c r="E931" s="42">
        <f>VLOOKUP(A931,'[1]Virtus SAMPLE PositionHistorySa'!$A:$L,12,0)</f>
        <v/>
      </c>
      <c r="F931" s="31" t="inlineStr">
        <is>
          <t>2.22</t>
        </is>
      </c>
      <c r="G931" s="32" t="n"/>
      <c r="H931" s="32" t="n"/>
      <c r="I931" s="29" t="n"/>
    </row>
    <row r="932">
      <c r="A932" s="29" t="inlineStr">
        <is>
          <t>AU22806</t>
        </is>
      </c>
      <c r="B932" s="30" t="inlineStr">
        <is>
          <t>VIC-TAS</t>
        </is>
      </c>
      <c r="C932" s="30" t="inlineStr">
        <is>
          <t>MIVFN2023</t>
        </is>
      </c>
      <c r="D932" s="30" t="inlineStr">
        <is>
          <t>Part time</t>
        </is>
      </c>
      <c r="E932" s="42">
        <f>VLOOKUP(A932,'[1]Virtus SAMPLE PositionHistorySa'!$A:$L,12,0)</f>
        <v/>
      </c>
      <c r="F932" s="31" t="inlineStr">
        <is>
          <t>2.22</t>
        </is>
      </c>
      <c r="G932" s="32" t="n"/>
      <c r="H932" s="32" t="n"/>
      <c r="I932" s="29" t="n"/>
    </row>
    <row r="933">
      <c r="A933" s="29" t="inlineStr">
        <is>
          <t>AU23151</t>
        </is>
      </c>
      <c r="B933" s="30" t="inlineStr">
        <is>
          <t>NSW-QLD</t>
        </is>
      </c>
      <c r="C933" s="30" t="inlineStr">
        <is>
          <t>IVFN2021</t>
        </is>
      </c>
      <c r="D933" s="30" t="inlineStr">
        <is>
          <t>Casual</t>
        </is>
      </c>
      <c r="E933" s="42">
        <f>VLOOKUP(A933,'[1]Virtus SAMPLE PositionHistorySa'!$A:$L,12,0)</f>
        <v/>
      </c>
      <c r="F933" s="31" t="inlineStr">
        <is>
          <t>1.35</t>
        </is>
      </c>
      <c r="G933" s="32" t="n"/>
      <c r="H933" s="32" t="n"/>
      <c r="I933" s="29" t="n"/>
    </row>
    <row r="934">
      <c r="A934" s="29" t="n">
        <v>1459</v>
      </c>
      <c r="B934" s="30" t="inlineStr">
        <is>
          <t>VIC-TAS</t>
        </is>
      </c>
      <c r="C934" s="30" t="inlineStr">
        <is>
          <t>MIVFN2023</t>
        </is>
      </c>
      <c r="D934" s="30" t="inlineStr">
        <is>
          <t>Casual</t>
        </is>
      </c>
      <c r="E934" s="42">
        <f>VLOOKUP(A934,'[1]Virtus SAMPLE PositionHistorySa'!$A:$L,12,0)</f>
        <v/>
      </c>
      <c r="F934" s="31" t="inlineStr">
        <is>
          <t>3.09</t>
        </is>
      </c>
      <c r="G934" s="32" t="n"/>
      <c r="H934" s="32" t="n"/>
      <c r="I934" s="29" t="n"/>
    </row>
    <row r="935">
      <c r="A935" s="29" t="n">
        <v>148</v>
      </c>
      <c r="B935" s="30" t="inlineStr">
        <is>
          <t>VIC-TAS</t>
        </is>
      </c>
      <c r="C935" s="30" t="inlineStr">
        <is>
          <t>TIVF2024</t>
        </is>
      </c>
      <c r="D935" s="30" t="inlineStr">
        <is>
          <t>Part time</t>
        </is>
      </c>
      <c r="E935" s="42">
        <f>VLOOKUP(A935,'[1]Virtus SAMPLE PositionHistorySa'!$A:$L,12,0)</f>
        <v/>
      </c>
      <c r="F935" s="31" t="inlineStr">
        <is>
          <t>3.09</t>
        </is>
      </c>
      <c r="G935" s="32" t="n"/>
      <c r="H935" s="32" t="n"/>
      <c r="I935" s="29" t="n"/>
    </row>
    <row r="936">
      <c r="A936" s="29" t="inlineStr">
        <is>
          <t>AU22828</t>
        </is>
      </c>
      <c r="B936" s="30" t="inlineStr">
        <is>
          <t>VIC-TAS</t>
        </is>
      </c>
      <c r="C936" s="30" t="inlineStr">
        <is>
          <t>MIVFS2022</t>
        </is>
      </c>
      <c r="D936" s="30" t="inlineStr">
        <is>
          <t>Full time</t>
        </is>
      </c>
      <c r="E936" s="42">
        <f>VLOOKUP(A936,'[1]Virtus SAMPLE PositionHistorySa'!$A:$L,12,0)</f>
        <v/>
      </c>
      <c r="F936" s="31" t="inlineStr">
        <is>
          <t>2.22</t>
        </is>
      </c>
      <c r="G936" s="32">
        <f>VLOOKUP(A936,Sheet3!A:K,10,0)/38</f>
        <v/>
      </c>
      <c r="H936" s="32">
        <f>F936-G936</f>
        <v/>
      </c>
      <c r="I936" s="29" t="n"/>
    </row>
    <row r="937">
      <c r="A937" s="29" t="n">
        <v>50199</v>
      </c>
      <c r="B937" s="30" t="inlineStr">
        <is>
          <t>NSW-QLD</t>
        </is>
      </c>
      <c r="C937" s="30" t="inlineStr">
        <is>
          <t>IVFS2023</t>
        </is>
      </c>
      <c r="D937" s="30" t="inlineStr">
        <is>
          <t>Part time</t>
        </is>
      </c>
      <c r="E937" s="42">
        <f>VLOOKUP(A937,'[1]Virtus SAMPLE PositionHistorySa'!$A:$L,12,0)</f>
        <v/>
      </c>
      <c r="F937" s="31" t="inlineStr">
        <is>
          <t>3.95</t>
        </is>
      </c>
      <c r="G937" s="32" t="n"/>
      <c r="H937" s="32" t="n"/>
      <c r="I937" s="29" t="n"/>
    </row>
    <row r="938">
      <c r="A938" s="29" t="n">
        <v>1456</v>
      </c>
      <c r="B938" s="30" t="inlineStr">
        <is>
          <t>VIC-TAS</t>
        </is>
      </c>
      <c r="C938" s="30" t="inlineStr">
        <is>
          <t>MIVFN2023</t>
        </is>
      </c>
      <c r="D938" s="30" t="inlineStr">
        <is>
          <t>Part time</t>
        </is>
      </c>
      <c r="E938" s="42">
        <f>VLOOKUP(A938,'[1]Virtus SAMPLE PositionHistorySa'!$A:$L,12,0)</f>
        <v/>
      </c>
      <c r="F938" s="31" t="inlineStr">
        <is>
          <t>3.08</t>
        </is>
      </c>
      <c r="G938" s="32" t="n"/>
      <c r="H938" s="32" t="n"/>
      <c r="I938" s="29" t="n"/>
    </row>
    <row r="939">
      <c r="A939" s="29" t="n">
        <v>1458</v>
      </c>
      <c r="B939" s="30" t="inlineStr">
        <is>
          <t>VIC-TAS</t>
        </is>
      </c>
      <c r="C939" s="30" t="inlineStr">
        <is>
          <t>MIVFN2023</t>
        </is>
      </c>
      <c r="D939" s="30" t="inlineStr">
        <is>
          <t>Part time</t>
        </is>
      </c>
      <c r="E939" s="42">
        <f>VLOOKUP(A939,'[1]Virtus SAMPLE PositionHistorySa'!$A:$L,12,0)</f>
        <v/>
      </c>
      <c r="F939" s="31" t="inlineStr">
        <is>
          <t>3.08</t>
        </is>
      </c>
      <c r="G939" s="32" t="n"/>
      <c r="H939" s="32" t="n"/>
      <c r="I939" s="29" t="n"/>
    </row>
    <row r="940">
      <c r="A940" s="29" t="inlineStr">
        <is>
          <t>AU22812</t>
        </is>
      </c>
      <c r="B940" s="30" t="inlineStr">
        <is>
          <t>NSW-QLD</t>
        </is>
      </c>
      <c r="C940" s="30" t="inlineStr">
        <is>
          <t>IVFS2023</t>
        </is>
      </c>
      <c r="D940" s="30" t="inlineStr">
        <is>
          <t>Full time</t>
        </is>
      </c>
      <c r="E940" s="42">
        <f>VLOOKUP(A940,'[1]Virtus SAMPLE PositionHistorySa'!$A:$L,12,0)</f>
        <v/>
      </c>
      <c r="F940" s="31" t="inlineStr">
        <is>
          <t>2.22</t>
        </is>
      </c>
      <c r="G940" s="32">
        <f>VLOOKUP(A940,Sheet3!A:K,10,0)/38</f>
        <v/>
      </c>
      <c r="H940" s="32">
        <f>F940-G940</f>
        <v/>
      </c>
      <c r="I940" s="29" t="n"/>
    </row>
    <row r="941">
      <c r="A941" s="29" t="inlineStr">
        <is>
          <t>AU23554</t>
        </is>
      </c>
      <c r="B941" s="30" t="inlineStr">
        <is>
          <t>VIC-TAS</t>
        </is>
      </c>
      <c r="C941" s="30" t="inlineStr">
        <is>
          <t>MIVFS2022</t>
        </is>
      </c>
      <c r="D941" s="30" t="inlineStr">
        <is>
          <t>Full time</t>
        </is>
      </c>
      <c r="E941" s="42">
        <f>VLOOKUP(A941,'[1]Virtus SAMPLE PositionHistorySa'!$A:$L,12,0)</f>
        <v/>
      </c>
      <c r="F941" s="31" t="inlineStr">
        <is>
          <t>0.48</t>
        </is>
      </c>
      <c r="G941" s="32">
        <f>VLOOKUP(A941,Sheet3!A:K,10,0)/38</f>
        <v/>
      </c>
      <c r="H941" s="32">
        <f>F941-G941</f>
        <v/>
      </c>
      <c r="I941" s="29" t="n"/>
    </row>
    <row r="942">
      <c r="A942" s="29" t="inlineStr">
        <is>
          <t>AU23565</t>
        </is>
      </c>
      <c r="B942" s="30" t="inlineStr">
        <is>
          <t>NSW-QLD</t>
        </is>
      </c>
      <c r="C942" s="30" t="inlineStr">
        <is>
          <t>QN2025</t>
        </is>
      </c>
      <c r="D942" s="30" t="inlineStr">
        <is>
          <t>Part time</t>
        </is>
      </c>
      <c r="E942" s="42">
        <f>VLOOKUP(A942,'[1]Virtus SAMPLE PositionHistorySa'!$A:$L,12,0)</f>
        <v/>
      </c>
      <c r="F942" s="31" t="inlineStr">
        <is>
          <t>0.72</t>
        </is>
      </c>
      <c r="G942" s="32" t="n"/>
      <c r="H942" s="32" t="n"/>
      <c r="I942" s="29" t="n"/>
    </row>
    <row r="943">
      <c r="A943" s="29" t="inlineStr">
        <is>
          <t>AU23580</t>
        </is>
      </c>
      <c r="B943" s="30" t="inlineStr">
        <is>
          <t>VIC-TAS</t>
        </is>
      </c>
      <c r="C943" s="30" t="inlineStr">
        <is>
          <t>MIVFN2023</t>
        </is>
      </c>
      <c r="D943" s="30" t="inlineStr">
        <is>
          <t>Part time</t>
        </is>
      </c>
      <c r="E943" s="42">
        <f>VLOOKUP(A943,'[1]Virtus SAMPLE PositionHistorySa'!$A:$L,12,0)</f>
        <v/>
      </c>
      <c r="F943" s="31" t="inlineStr">
        <is>
          <t>0.48</t>
        </is>
      </c>
      <c r="G943" s="32" t="n"/>
      <c r="H943" s="32" t="n"/>
      <c r="I943" s="29" t="n"/>
    </row>
    <row r="944">
      <c r="A944" s="29" t="inlineStr">
        <is>
          <t>AU23591</t>
        </is>
      </c>
      <c r="B944" s="30" t="inlineStr">
        <is>
          <t>VIC-TAS</t>
        </is>
      </c>
      <c r="C944" s="30" t="inlineStr">
        <is>
          <t>MIVFN2023</t>
        </is>
      </c>
      <c r="D944" s="30">
        <f>VLOOKUP(A944,Sheet3!A:E,5,0)</f>
        <v/>
      </c>
      <c r="E944" s="42">
        <f>VLOOKUP(A944,'[1]Virtus SAMPLE PositionHistorySa'!$A:$L,12,0)</f>
        <v/>
      </c>
      <c r="F944" s="31" t="inlineStr">
        <is>
          <t>0.48</t>
        </is>
      </c>
      <c r="G944" s="32" t="n"/>
      <c r="H944" s="32" t="n"/>
      <c r="I944" s="29" t="n"/>
    </row>
    <row r="945">
      <c r="A945" s="29" t="n">
        <v>20732</v>
      </c>
      <c r="B945" s="30" t="inlineStr">
        <is>
          <t>NSW-QLD</t>
        </is>
      </c>
      <c r="C945" s="30" t="inlineStr">
        <is>
          <t>NSW</t>
        </is>
      </c>
      <c r="D945" s="30" t="inlineStr">
        <is>
          <t>Part time</t>
        </is>
      </c>
      <c r="E945" s="42">
        <f>VLOOKUP(A945,'[1]Virtus SAMPLE PositionHistorySa'!$A:$L,12,0)</f>
        <v/>
      </c>
      <c r="F945" s="31" t="inlineStr">
        <is>
          <t>4.78</t>
        </is>
      </c>
      <c r="G945" s="32" t="n"/>
      <c r="H945" s="32" t="n"/>
      <c r="I945" s="29" t="n"/>
    </row>
    <row r="946">
      <c r="A946" s="29" t="inlineStr">
        <is>
          <t>AU23599</t>
        </is>
      </c>
      <c r="B946" s="30" t="inlineStr">
        <is>
          <t>NSW-QLD</t>
        </is>
      </c>
      <c r="C946" s="30" t="inlineStr">
        <is>
          <t>IVFT2024</t>
        </is>
      </c>
      <c r="D946" s="30" t="inlineStr">
        <is>
          <t>Full time</t>
        </is>
      </c>
      <c r="E946" s="42">
        <f>VLOOKUP(A946,'[1]Virtus SAMPLE PositionHistorySa'!$A:$L,12,0)</f>
        <v/>
      </c>
      <c r="F946" s="31" t="inlineStr">
        <is>
          <t>0.45</t>
        </is>
      </c>
      <c r="G946" s="32">
        <f>VLOOKUP(A946,Sheet3!A:K,10,0)/38</f>
        <v/>
      </c>
      <c r="H946" s="32">
        <f>F946-G946</f>
        <v/>
      </c>
      <c r="I946" s="29" t="n"/>
    </row>
    <row r="947">
      <c r="A947" s="29" t="inlineStr">
        <is>
          <t>AU23566</t>
        </is>
      </c>
      <c r="B947" s="30" t="inlineStr">
        <is>
          <t>NSW-QLD</t>
        </is>
      </c>
      <c r="C947" s="30" t="inlineStr">
        <is>
          <t>QN2025</t>
        </is>
      </c>
      <c r="D947" s="30" t="inlineStr">
        <is>
          <t>Part time</t>
        </is>
      </c>
      <c r="E947" s="42">
        <f>VLOOKUP(A947,'[1]Virtus SAMPLE PositionHistorySa'!$A:$L,12,0)</f>
        <v/>
      </c>
      <c r="F947" s="31" t="inlineStr">
        <is>
          <t>0.67</t>
        </is>
      </c>
      <c r="G947" s="32" t="n"/>
      <c r="H947" s="32" t="n"/>
      <c r="I947" s="29" t="n"/>
    </row>
    <row r="948">
      <c r="A948" s="29" t="inlineStr">
        <is>
          <t>AU23568</t>
        </is>
      </c>
      <c r="B948" s="30" t="inlineStr">
        <is>
          <t>VIC-TAS</t>
        </is>
      </c>
      <c r="C948" s="30" t="inlineStr">
        <is>
          <t>MIVFC2021</t>
        </is>
      </c>
      <c r="D948" s="30" t="inlineStr">
        <is>
          <t>Part time</t>
        </is>
      </c>
      <c r="E948" s="42">
        <f>VLOOKUP(A948,'[1]Virtus SAMPLE PositionHistorySa'!$A:$L,12,0)</f>
        <v/>
      </c>
      <c r="F948" s="31" t="inlineStr">
        <is>
          <t>0.89</t>
        </is>
      </c>
      <c r="G948" s="32" t="n"/>
      <c r="H948" s="32" t="n"/>
      <c r="I948" s="29" t="n"/>
    </row>
    <row r="949">
      <c r="A949" s="29" t="inlineStr">
        <is>
          <t>AU23578</t>
        </is>
      </c>
      <c r="B949" s="30" t="inlineStr">
        <is>
          <t>NSW-QLD</t>
        </is>
      </c>
      <c r="C949" s="30" t="inlineStr">
        <is>
          <t>IVFS2023</t>
        </is>
      </c>
      <c r="D949" s="30" t="inlineStr">
        <is>
          <t>Part time</t>
        </is>
      </c>
      <c r="E949" s="42">
        <f>VLOOKUP(A949,'[1]Virtus SAMPLE PositionHistorySa'!$A:$L,12,0)</f>
        <v/>
      </c>
      <c r="F949" s="31" t="inlineStr">
        <is>
          <t>0.45</t>
        </is>
      </c>
      <c r="G949" s="32" t="n"/>
      <c r="H949" s="32" t="n"/>
      <c r="I949" s="29" t="n"/>
    </row>
    <row r="950">
      <c r="A950" s="29" t="inlineStr">
        <is>
          <t>AU23602</t>
        </is>
      </c>
      <c r="B950" s="30" t="inlineStr">
        <is>
          <t>NSW-QLD</t>
        </is>
      </c>
      <c r="C950" s="30" t="inlineStr">
        <is>
          <t>NSW</t>
        </is>
      </c>
      <c r="D950" s="30">
        <f>VLOOKUP(A950,Sheet3!A:E,5,0)</f>
        <v/>
      </c>
      <c r="E950" s="42">
        <f>VLOOKUP(A950,'[1]Virtus SAMPLE PositionHistorySa'!$A:$L,12,0)</f>
        <v/>
      </c>
      <c r="F950" s="31" t="inlineStr">
        <is>
          <t>0.45</t>
        </is>
      </c>
      <c r="G950" s="32" t="n"/>
      <c r="H950" s="32" t="n"/>
      <c r="I950" s="29" t="n"/>
    </row>
    <row r="951">
      <c r="A951" s="29" t="inlineStr">
        <is>
          <t>AU23606</t>
        </is>
      </c>
      <c r="B951" s="30" t="inlineStr">
        <is>
          <t>NSW-QLD</t>
        </is>
      </c>
      <c r="C951" s="30" t="inlineStr">
        <is>
          <t>IVFS2023</t>
        </is>
      </c>
      <c r="D951" s="30" t="inlineStr">
        <is>
          <t>Casual</t>
        </is>
      </c>
      <c r="E951" s="42">
        <f>VLOOKUP(A951,'[1]Virtus SAMPLE PositionHistorySa'!$A:$L,12,0)</f>
        <v/>
      </c>
      <c r="F951" s="31" t="inlineStr">
        <is>
          <t>0.45</t>
        </is>
      </c>
      <c r="G951" s="32" t="n"/>
      <c r="H951" s="32" t="n"/>
      <c r="I951" s="29" t="n"/>
    </row>
    <row r="952">
      <c r="A952" s="29" t="n">
        <v>20678</v>
      </c>
      <c r="B952" s="30" t="inlineStr">
        <is>
          <t>NSW-QLD</t>
        </is>
      </c>
      <c r="C952" s="30" t="inlineStr">
        <is>
          <t>NSW</t>
        </is>
      </c>
      <c r="D952" s="30" t="inlineStr">
        <is>
          <t>Part time</t>
        </is>
      </c>
      <c r="E952" s="42">
        <f>VLOOKUP(A952,'[1]Virtus SAMPLE PositionHistorySa'!$A:$L,12,0)</f>
        <v/>
      </c>
      <c r="F952" s="31" t="inlineStr">
        <is>
          <t>5.65</t>
        </is>
      </c>
      <c r="G952" s="32" t="n"/>
      <c r="H952" s="32" t="n"/>
      <c r="I952" s="29" t="n"/>
    </row>
    <row r="953">
      <c r="A953" s="29" t="n">
        <v>521</v>
      </c>
      <c r="B953" s="30" t="inlineStr">
        <is>
          <t>VIC-TAS</t>
        </is>
      </c>
      <c r="C953" s="30" t="inlineStr">
        <is>
          <t>MIVFS2022</t>
        </is>
      </c>
      <c r="D953" s="30" t="inlineStr">
        <is>
          <t>Full time</t>
        </is>
      </c>
      <c r="E953" s="42">
        <f>VLOOKUP(A953,'[1]Virtus SAMPLE PositionHistorySa'!$A:$L,12,0)</f>
        <v/>
      </c>
      <c r="F953" s="31" t="inlineStr">
        <is>
          <t>23.42</t>
        </is>
      </c>
      <c r="G953" s="32">
        <f>VLOOKUP(A953,Sheet3!A:K,10,0)/38</f>
        <v/>
      </c>
      <c r="H953" s="32">
        <f>F953-G953</f>
        <v/>
      </c>
      <c r="I953" s="29" t="n"/>
    </row>
    <row r="954">
      <c r="A954" s="29" t="n">
        <v>20</v>
      </c>
      <c r="B954" s="30" t="inlineStr">
        <is>
          <t>VIC-TAS</t>
        </is>
      </c>
      <c r="C954" s="30" t="inlineStr">
        <is>
          <t>TIVF2024</t>
        </is>
      </c>
      <c r="D954" s="30" t="inlineStr">
        <is>
          <t>Casual</t>
        </is>
      </c>
      <c r="E954" s="42">
        <f>VLOOKUP(A954,'[1]Virtus SAMPLE PositionHistorySa'!$A:$L,12,0)</f>
        <v/>
      </c>
      <c r="F954" s="31" t="inlineStr">
        <is>
          <t>10.71</t>
        </is>
      </c>
      <c r="G954" s="32" t="n"/>
      <c r="H954" s="32" t="n"/>
      <c r="I954" s="29" t="n"/>
    </row>
    <row r="955">
      <c r="A955" s="29" t="n">
        <v>20616</v>
      </c>
      <c r="B955" s="30" t="inlineStr">
        <is>
          <t>NSW-QLD</t>
        </is>
      </c>
      <c r="C955" s="30" t="inlineStr">
        <is>
          <t>IVFT2024</t>
        </is>
      </c>
      <c r="D955" s="30" t="inlineStr">
        <is>
          <t>Full time</t>
        </is>
      </c>
      <c r="E955" s="42">
        <f>VLOOKUP(A955,'[1]Virtus SAMPLE PositionHistorySa'!$A:$L,12,0)</f>
        <v/>
      </c>
      <c r="F955" s="31" t="inlineStr">
        <is>
          <t>6.51</t>
        </is>
      </c>
      <c r="G955" s="32">
        <f>VLOOKUP(A955,Sheet3!A:K,10,0)/38</f>
        <v/>
      </c>
      <c r="H955" s="32">
        <f>F955-G955</f>
        <v/>
      </c>
      <c r="I955" s="29" t="n"/>
    </row>
    <row r="956">
      <c r="A956" s="29" t="inlineStr">
        <is>
          <t>AU23158</t>
        </is>
      </c>
      <c r="B956" s="30" t="inlineStr">
        <is>
          <t>NSW-QLD</t>
        </is>
      </c>
      <c r="C956" s="30" t="inlineStr">
        <is>
          <t>IVFS2023</t>
        </is>
      </c>
      <c r="D956" s="30" t="inlineStr">
        <is>
          <t>Casual</t>
        </is>
      </c>
      <c r="E956" s="42">
        <f>VLOOKUP(A956,'[1]Virtus SAMPLE PositionHistorySa'!$A:$L,12,0)</f>
        <v/>
      </c>
      <c r="F956" s="31" t="inlineStr">
        <is>
          <t>1.31</t>
        </is>
      </c>
      <c r="G956" s="32" t="n"/>
      <c r="H956" s="32" t="n"/>
      <c r="I956" s="29" t="n"/>
    </row>
    <row r="957">
      <c r="A957" s="29" t="n">
        <v>38</v>
      </c>
      <c r="B957" s="30" t="inlineStr">
        <is>
          <t>VIC-TAS</t>
        </is>
      </c>
      <c r="C957" s="30" t="inlineStr">
        <is>
          <t>TIVF2024</t>
        </is>
      </c>
      <c r="D957" s="30" t="inlineStr">
        <is>
          <t>Part time</t>
        </is>
      </c>
      <c r="E957" s="42">
        <f>VLOOKUP(A957,'[1]Virtus SAMPLE PositionHistorySa'!$A:$L,12,0)</f>
        <v/>
      </c>
      <c r="F957" s="31" t="inlineStr">
        <is>
          <t>11.71</t>
        </is>
      </c>
      <c r="G957" s="32" t="n"/>
      <c r="H957" s="32" t="n"/>
      <c r="I957" s="29" t="n"/>
    </row>
    <row r="958">
      <c r="A958" s="29" t="inlineStr">
        <is>
          <t>AU22817</t>
        </is>
      </c>
      <c r="B958" s="30" t="inlineStr">
        <is>
          <t>NSW-QLD</t>
        </is>
      </c>
      <c r="C958" s="30" t="inlineStr">
        <is>
          <t>QLD</t>
        </is>
      </c>
      <c r="D958" s="30" t="inlineStr">
        <is>
          <t>Full time</t>
        </is>
      </c>
      <c r="E958" s="42">
        <f>VLOOKUP(A958,'[1]Virtus SAMPLE PositionHistorySa'!$A:$L,12,0)</f>
        <v/>
      </c>
      <c r="F958" s="31" t="inlineStr">
        <is>
          <t>2.17</t>
        </is>
      </c>
      <c r="G958" s="32">
        <f>VLOOKUP(A958,Sheet3!A:K,10,0)/38</f>
        <v/>
      </c>
      <c r="H958" s="32">
        <f>F958-G958</f>
        <v/>
      </c>
      <c r="I958" s="29" t="n"/>
    </row>
    <row r="959">
      <c r="A959" s="29" t="inlineStr">
        <is>
          <t>AU23211</t>
        </is>
      </c>
      <c r="B959" s="30" t="inlineStr">
        <is>
          <t>NSW-QLD</t>
        </is>
      </c>
      <c r="C959" s="30" t="inlineStr">
        <is>
          <t>QN2025</t>
        </is>
      </c>
      <c r="D959" s="30" t="inlineStr">
        <is>
          <t>Casual</t>
        </is>
      </c>
      <c r="E959" s="42">
        <f>VLOOKUP(A959,'[1]Virtus SAMPLE PositionHistorySa'!$A:$L,12,0)</f>
        <v/>
      </c>
      <c r="F959" s="31" t="inlineStr">
        <is>
          <t>1.96</t>
        </is>
      </c>
      <c r="G959" s="32" t="n"/>
      <c r="H959" s="32" t="n"/>
      <c r="I959" s="29" t="n"/>
    </row>
    <row r="960">
      <c r="A960" s="29" t="n">
        <v>50092</v>
      </c>
      <c r="B960" s="30" t="inlineStr">
        <is>
          <t>NSW-QLD</t>
        </is>
      </c>
      <c r="C960" s="30" t="inlineStr">
        <is>
          <t>IVFN2021</t>
        </is>
      </c>
      <c r="D960" s="30" t="inlineStr">
        <is>
          <t>Part time</t>
        </is>
      </c>
      <c r="E960" s="42">
        <f>VLOOKUP(A960,'[1]Virtus SAMPLE PositionHistorySa'!$A:$L,12,0)</f>
        <v/>
      </c>
      <c r="F960" s="31" t="inlineStr">
        <is>
          <t>8.24</t>
        </is>
      </c>
      <c r="G960" s="32" t="n"/>
      <c r="H960" s="32" t="n"/>
      <c r="I960" s="29" t="n"/>
    </row>
    <row r="961">
      <c r="A961" s="29" t="n">
        <v>19808</v>
      </c>
      <c r="B961" s="30" t="inlineStr">
        <is>
          <t>NSW-QLD</t>
        </is>
      </c>
      <c r="C961" s="30" t="inlineStr">
        <is>
          <t>IVFC2022</t>
        </is>
      </c>
      <c r="D961" s="30" t="inlineStr">
        <is>
          <t>Part time</t>
        </is>
      </c>
      <c r="E961" s="42">
        <f>VLOOKUP(A961,'[1]Virtus SAMPLE PositionHistorySa'!$A:$L,12,0)</f>
        <v/>
      </c>
      <c r="F961" s="31" t="inlineStr">
        <is>
          <t>5.31</t>
        </is>
      </c>
      <c r="G961" s="32" t="n"/>
      <c r="H961" s="32" t="n"/>
      <c r="I961" s="29" t="n"/>
    </row>
    <row r="962">
      <c r="A962" s="29" t="n">
        <v>342</v>
      </c>
      <c r="B962" s="30" t="inlineStr">
        <is>
          <t>VIC-TAS</t>
        </is>
      </c>
      <c r="C962" s="30" t="inlineStr">
        <is>
          <t>MIVFS2022</t>
        </is>
      </c>
      <c r="D962" s="30" t="inlineStr">
        <is>
          <t>Full time</t>
        </is>
      </c>
      <c r="E962" s="42">
        <f>VLOOKUP(A962,'[1]Virtus SAMPLE PositionHistorySa'!$A:$L,12,0)</f>
        <v/>
      </c>
      <c r="F962" s="31" t="inlineStr">
        <is>
          <t>26.87</t>
        </is>
      </c>
      <c r="G962" s="32">
        <f>VLOOKUP(A962,Sheet3!A:K,10,0)/38</f>
        <v/>
      </c>
      <c r="H962" s="32">
        <f>F962-G962</f>
        <v/>
      </c>
      <c r="I962" s="29" t="n"/>
    </row>
    <row r="963">
      <c r="A963" s="29" t="n">
        <v>20242</v>
      </c>
      <c r="B963" s="30" t="inlineStr">
        <is>
          <t>NSW-QLD</t>
        </is>
      </c>
      <c r="C963" s="30" t="inlineStr">
        <is>
          <t>IVFT2024</t>
        </is>
      </c>
      <c r="D963" s="30" t="inlineStr">
        <is>
          <t>Full time</t>
        </is>
      </c>
      <c r="E963" s="42">
        <f>VLOOKUP(A963,'[1]Virtus SAMPLE PositionHistorySa'!$A:$L,12,0)</f>
        <v/>
      </c>
      <c r="F963" s="31" t="inlineStr">
        <is>
          <t>11.57</t>
        </is>
      </c>
      <c r="G963" s="32">
        <f>VLOOKUP(A963,Sheet3!A:K,10,0)/38</f>
        <v/>
      </c>
      <c r="H963" s="32">
        <f>F963-G963</f>
        <v/>
      </c>
      <c r="I963" s="29" t="n"/>
    </row>
    <row r="964">
      <c r="A964" s="29" t="n">
        <v>1266</v>
      </c>
      <c r="B964" s="30" t="inlineStr">
        <is>
          <t>VIC-TAS</t>
        </is>
      </c>
      <c r="C964" s="30" t="inlineStr">
        <is>
          <t>MIVFS2022</t>
        </is>
      </c>
      <c r="D964" s="30" t="inlineStr">
        <is>
          <t>Full time</t>
        </is>
      </c>
      <c r="E964" s="42">
        <f>VLOOKUP(A964,'[1]Virtus SAMPLE PositionHistorySa'!$A:$L,12,0)</f>
        <v/>
      </c>
      <c r="F964" s="31" t="inlineStr">
        <is>
          <t>3.90</t>
        </is>
      </c>
      <c r="G964" s="32">
        <f>VLOOKUP(A964,Sheet3!A:K,10,0)/38</f>
        <v/>
      </c>
      <c r="H964" s="32">
        <f>F964-G964</f>
        <v/>
      </c>
      <c r="I964" s="29" t="n"/>
    </row>
    <row r="965">
      <c r="A965" s="29" t="n">
        <v>20925</v>
      </c>
      <c r="B965" s="30" t="inlineStr">
        <is>
          <t>NSW-QLD</t>
        </is>
      </c>
      <c r="C965" s="30" t="inlineStr">
        <is>
          <t>IVFS2023</t>
        </is>
      </c>
      <c r="D965" s="30" t="inlineStr">
        <is>
          <t>Full time</t>
        </is>
      </c>
      <c r="E965" s="42">
        <f>VLOOKUP(A965,'[1]Virtus SAMPLE PositionHistorySa'!$A:$L,12,0)</f>
        <v/>
      </c>
      <c r="F965" s="31" t="inlineStr">
        <is>
          <t>3.03</t>
        </is>
      </c>
      <c r="G965" s="32">
        <f>VLOOKUP(A965,Sheet3!A:K,10,0)/38</f>
        <v/>
      </c>
      <c r="H965" s="32">
        <f>F965-G965</f>
        <v/>
      </c>
      <c r="I965" s="29" t="n"/>
    </row>
    <row r="966">
      <c r="A966" s="29" t="n">
        <v>60050</v>
      </c>
      <c r="B966" s="30" t="inlineStr">
        <is>
          <t>NSW-QLD</t>
        </is>
      </c>
      <c r="C966" s="30" t="inlineStr">
        <is>
          <t>QN2025</t>
        </is>
      </c>
      <c r="D966" s="30" t="inlineStr">
        <is>
          <t>Casual</t>
        </is>
      </c>
      <c r="E966" s="42">
        <f>VLOOKUP(A966,'[1]Virtus SAMPLE PositionHistorySa'!$A:$L,12,0)</f>
        <v/>
      </c>
      <c r="F966" s="31" t="inlineStr">
        <is>
          <t>4.55</t>
        </is>
      </c>
      <c r="G966" s="32" t="n"/>
      <c r="H966" s="32" t="n"/>
      <c r="I966" s="29" t="n"/>
    </row>
    <row r="967">
      <c r="A967" s="29" t="inlineStr">
        <is>
          <t>AU22866</t>
        </is>
      </c>
      <c r="B967" s="30" t="inlineStr">
        <is>
          <t>NSW-QLD</t>
        </is>
      </c>
      <c r="C967" s="30" t="inlineStr">
        <is>
          <t>IVFN2021</t>
        </is>
      </c>
      <c r="D967" s="30" t="inlineStr">
        <is>
          <t>Full time</t>
        </is>
      </c>
      <c r="E967" s="42">
        <f>VLOOKUP(A967,'[1]Virtus SAMPLE PositionHistorySa'!$A:$L,12,0)</f>
        <v/>
      </c>
      <c r="F967" s="31" t="inlineStr">
        <is>
          <t>2.17</t>
        </is>
      </c>
      <c r="G967" s="32">
        <f>VLOOKUP(A967,Sheet3!A:K,10,0)/38</f>
        <v/>
      </c>
      <c r="H967" s="32">
        <f>F967-G967</f>
        <v/>
      </c>
      <c r="I967" s="29" t="n"/>
    </row>
    <row r="968">
      <c r="A968" s="29" t="inlineStr">
        <is>
          <t>AU22849</t>
        </is>
      </c>
      <c r="B968" s="30" t="inlineStr">
        <is>
          <t>NSW-QLD</t>
        </is>
      </c>
      <c r="C968" s="30" t="inlineStr">
        <is>
          <t>IVFN2021</t>
        </is>
      </c>
      <c r="D968" s="30" t="inlineStr">
        <is>
          <t>Part time</t>
        </is>
      </c>
      <c r="E968" s="42">
        <f>VLOOKUP(A968,'[1]Virtus SAMPLE PositionHistorySa'!$A:$L,12,0)</f>
        <v/>
      </c>
      <c r="F968" s="31" t="inlineStr">
        <is>
          <t>2.17</t>
        </is>
      </c>
      <c r="G968" s="32" t="n"/>
      <c r="H968" s="32" t="n"/>
      <c r="I968" s="29" t="n"/>
    </row>
    <row r="969">
      <c r="A969" s="29" t="n">
        <v>30003</v>
      </c>
      <c r="B969" s="30" t="inlineStr">
        <is>
          <t>NSW-QLD</t>
        </is>
      </c>
      <c r="C969" s="30" t="inlineStr">
        <is>
          <t>IVFS2023</t>
        </is>
      </c>
      <c r="D969" s="30" t="inlineStr">
        <is>
          <t>Full time</t>
        </is>
      </c>
      <c r="E969" s="42">
        <f>VLOOKUP(A969,'[1]Virtus SAMPLE PositionHistorySa'!$A:$L,12,0)</f>
        <v/>
      </c>
      <c r="F969" s="31" t="inlineStr">
        <is>
          <t>4.31</t>
        </is>
      </c>
      <c r="G969" s="32">
        <f>VLOOKUP(A969,Sheet3!A:K,10,0)/38</f>
        <v/>
      </c>
      <c r="H969" s="32">
        <f>F969-G969</f>
        <v/>
      </c>
      <c r="I969" s="29" t="n"/>
    </row>
    <row r="970">
      <c r="A970" s="29" t="n">
        <v>70030</v>
      </c>
      <c r="B970" s="30" t="inlineStr">
        <is>
          <t>NSW-QLD</t>
        </is>
      </c>
      <c r="C970" s="30" t="inlineStr">
        <is>
          <t>QN2025</t>
        </is>
      </c>
      <c r="D970" s="30" t="inlineStr">
        <is>
          <t>Part time</t>
        </is>
      </c>
      <c r="E970" s="42">
        <f>VLOOKUP(A970,'[1]Virtus SAMPLE PositionHistorySa'!$A:$L,12,0)</f>
        <v/>
      </c>
      <c r="F970" s="31" t="inlineStr">
        <is>
          <t>5.84</t>
        </is>
      </c>
      <c r="G970" s="32" t="n"/>
      <c r="H970" s="32" t="n"/>
      <c r="I970" s="29" t="n"/>
    </row>
    <row r="971">
      <c r="A971" s="29" t="inlineStr">
        <is>
          <t>AU23600</t>
        </is>
      </c>
      <c r="B971" s="30" t="inlineStr">
        <is>
          <t>NSW-QLD</t>
        </is>
      </c>
      <c r="C971" s="30" t="inlineStr">
        <is>
          <t>IVFT2024</t>
        </is>
      </c>
      <c r="D971" s="30" t="inlineStr">
        <is>
          <t>Full time</t>
        </is>
      </c>
      <c r="E971" s="42">
        <f>VLOOKUP(A971,'[1]Virtus SAMPLE PositionHistorySa'!$A:$L,12,0)</f>
        <v/>
      </c>
      <c r="F971" s="31" t="inlineStr">
        <is>
          <t>0.43</t>
        </is>
      </c>
      <c r="G971" s="32">
        <f>VLOOKUP(A971,Sheet3!A:K,10,0)/38</f>
        <v/>
      </c>
      <c r="H971" s="32">
        <f>F971-G971</f>
        <v/>
      </c>
      <c r="I971" s="29" t="n"/>
    </row>
    <row r="972">
      <c r="A972" s="29" t="inlineStr">
        <is>
          <t>AU23177</t>
        </is>
      </c>
      <c r="B972" s="30" t="inlineStr">
        <is>
          <t>NSW-QLD</t>
        </is>
      </c>
      <c r="C972" s="30" t="inlineStr">
        <is>
          <t>IVFS2023</t>
        </is>
      </c>
      <c r="D972" s="30" t="inlineStr">
        <is>
          <t>Part time</t>
        </is>
      </c>
      <c r="E972" s="42">
        <f>VLOOKUP(A972,'[1]Virtus SAMPLE PositionHistorySa'!$A:$L,12,0)</f>
        <v/>
      </c>
      <c r="F972" s="31" t="inlineStr">
        <is>
          <t>1.29</t>
        </is>
      </c>
      <c r="G972" s="32" t="n"/>
      <c r="H972" s="32" t="n"/>
      <c r="I972" s="29" t="n"/>
    </row>
    <row r="973">
      <c r="A973" s="29" t="inlineStr">
        <is>
          <t>AU23182</t>
        </is>
      </c>
      <c r="B973" s="30" t="inlineStr">
        <is>
          <t>NSW-QLD</t>
        </is>
      </c>
      <c r="C973" s="30" t="inlineStr">
        <is>
          <t>IVFS2023</t>
        </is>
      </c>
      <c r="D973" s="30" t="inlineStr">
        <is>
          <t>Casual</t>
        </is>
      </c>
      <c r="E973" s="42">
        <f>VLOOKUP(A973,'[1]Virtus SAMPLE PositionHistorySa'!$A:$L,12,0)</f>
        <v/>
      </c>
      <c r="F973" s="31" t="inlineStr">
        <is>
          <t>1.29</t>
        </is>
      </c>
      <c r="G973" s="32" t="n"/>
      <c r="H973" s="32" t="n"/>
      <c r="I973" s="29" t="n"/>
    </row>
    <row r="974">
      <c r="A974" s="29" t="inlineStr">
        <is>
          <t>AU23203</t>
        </is>
      </c>
      <c r="B974" s="30" t="inlineStr">
        <is>
          <t>NSW-QLD</t>
        </is>
      </c>
      <c r="C974" s="30" t="inlineStr">
        <is>
          <t>IVFN2021</t>
        </is>
      </c>
      <c r="D974" s="30" t="inlineStr">
        <is>
          <t>Casual</t>
        </is>
      </c>
      <c r="E974" s="42">
        <f>VLOOKUP(A974,'[1]Virtus SAMPLE PositionHistorySa'!$A:$L,12,0)</f>
        <v/>
      </c>
      <c r="F974" s="31" t="inlineStr">
        <is>
          <t>1.29</t>
        </is>
      </c>
      <c r="G974" s="32" t="n"/>
      <c r="H974" s="32" t="n"/>
      <c r="I974" s="29" t="n"/>
    </row>
    <row r="975">
      <c r="A975" s="29" t="inlineStr">
        <is>
          <t>AU23218</t>
        </is>
      </c>
      <c r="B975" s="30" t="inlineStr">
        <is>
          <t>NSW-QLD</t>
        </is>
      </c>
      <c r="C975" s="30" t="inlineStr">
        <is>
          <t>QN2025</t>
        </is>
      </c>
      <c r="D975" s="30" t="inlineStr">
        <is>
          <t>Casual</t>
        </is>
      </c>
      <c r="E975" s="42">
        <f>VLOOKUP(A975,'[1]Virtus SAMPLE PositionHistorySa'!$A:$L,12,0)</f>
        <v/>
      </c>
      <c r="F975" s="31" t="inlineStr">
        <is>
          <t>1.94</t>
        </is>
      </c>
      <c r="G975" s="32" t="n"/>
      <c r="H975" s="32" t="n"/>
      <c r="I975" s="29" t="n"/>
    </row>
    <row r="976">
      <c r="A976" s="29" t="inlineStr">
        <is>
          <t>AU23611</t>
        </is>
      </c>
      <c r="B976" s="30" t="inlineStr">
        <is>
          <t>VIC-TAS</t>
        </is>
      </c>
      <c r="C976" s="30" t="inlineStr">
        <is>
          <t>IVFS2023</t>
        </is>
      </c>
      <c r="D976" s="30" t="inlineStr">
        <is>
          <t>Part time</t>
        </is>
      </c>
      <c r="E976" s="42">
        <f>VLOOKUP(A976,'[1]Virtus SAMPLE PositionHistorySa'!$A:$L,12,0)</f>
        <v/>
      </c>
      <c r="F976" s="31" t="inlineStr">
        <is>
          <t>0.43</t>
        </is>
      </c>
      <c r="G976" s="32" t="n"/>
      <c r="H976" s="32" t="n"/>
      <c r="I976" s="29" t="n"/>
    </row>
    <row r="977">
      <c r="A977" s="29" t="inlineStr">
        <is>
          <t>AU23612</t>
        </is>
      </c>
      <c r="B977" s="30" t="inlineStr">
        <is>
          <t>VIC-TAS</t>
        </is>
      </c>
      <c r="C977" s="30" t="inlineStr">
        <is>
          <t>IVFS2023</t>
        </is>
      </c>
      <c r="D977" s="30" t="inlineStr">
        <is>
          <t>Part time</t>
        </is>
      </c>
      <c r="E977" s="42">
        <f>VLOOKUP(A977,'[1]Virtus SAMPLE PositionHistorySa'!$A:$L,12,0)</f>
        <v/>
      </c>
      <c r="F977" s="31" t="inlineStr">
        <is>
          <t>0.43</t>
        </is>
      </c>
      <c r="G977" s="32" t="n"/>
      <c r="H977" s="32" t="n"/>
      <c r="I977" s="29" t="n"/>
    </row>
    <row r="978">
      <c r="A978" s="29" t="inlineStr">
        <is>
          <t>AU23614</t>
        </is>
      </c>
      <c r="B978" s="30" t="inlineStr">
        <is>
          <t>VIC-TAS</t>
        </is>
      </c>
      <c r="C978" s="30" t="inlineStr">
        <is>
          <t>IVFS2023</t>
        </is>
      </c>
      <c r="D978" s="30" t="inlineStr">
        <is>
          <t>Part time</t>
        </is>
      </c>
      <c r="E978" s="42">
        <f>VLOOKUP(A978,'[1]Virtus SAMPLE PositionHistorySa'!$A:$L,12,0)</f>
        <v/>
      </c>
      <c r="F978" s="31" t="inlineStr">
        <is>
          <t>0.43</t>
        </is>
      </c>
      <c r="G978" s="32" t="n"/>
      <c r="H978" s="32" t="n"/>
      <c r="I978" s="29" t="n"/>
    </row>
    <row r="979">
      <c r="A979" s="29" t="inlineStr">
        <is>
          <t>AU23555</t>
        </is>
      </c>
      <c r="B979" s="30" t="inlineStr">
        <is>
          <t>NSW-QLD</t>
        </is>
      </c>
      <c r="C979" s="30" t="inlineStr">
        <is>
          <t>VIC</t>
        </is>
      </c>
      <c r="D979" s="30" t="inlineStr">
        <is>
          <t>Full time</t>
        </is>
      </c>
      <c r="E979" s="42">
        <f>VLOOKUP(A979,'[1]Virtus SAMPLE PositionHistorySa'!$A:$L,12,0)</f>
        <v/>
      </c>
      <c r="F979" s="31" t="inlineStr">
        <is>
          <t>0.42</t>
        </is>
      </c>
      <c r="G979" s="32">
        <f>VLOOKUP(A979,Sheet3!A:K,10,0)/38</f>
        <v/>
      </c>
      <c r="H979" s="32">
        <f>F979-G979</f>
        <v/>
      </c>
      <c r="I979" s="29" t="n"/>
    </row>
    <row r="980">
      <c r="A980" s="29" t="inlineStr">
        <is>
          <t>AU21033</t>
        </is>
      </c>
      <c r="B980" s="30" t="inlineStr">
        <is>
          <t>VIC-TAS</t>
        </is>
      </c>
      <c r="C980" s="30" t="inlineStr">
        <is>
          <t>MIVFS2022</t>
        </is>
      </c>
      <c r="D980" s="30" t="inlineStr">
        <is>
          <t>Part time</t>
        </is>
      </c>
      <c r="E980" s="42">
        <f>VLOOKUP(A980,'[1]Virtus SAMPLE PositionHistorySa'!$A:$L,12,0)</f>
        <v/>
      </c>
      <c r="F980" s="31" t="inlineStr">
        <is>
          <t>40.71</t>
        </is>
      </c>
      <c r="G980" s="32" t="n"/>
      <c r="H980" s="32" t="n"/>
      <c r="I980" s="29" t="n"/>
    </row>
    <row r="981">
      <c r="A981" s="29" t="inlineStr">
        <is>
          <t>AU22834</t>
        </is>
      </c>
      <c r="B981" s="30" t="inlineStr">
        <is>
          <t>NSW-QLD</t>
        </is>
      </c>
      <c r="C981" s="30" t="inlineStr">
        <is>
          <t>NSW</t>
        </is>
      </c>
      <c r="D981" s="30" t="inlineStr">
        <is>
          <t>Full time</t>
        </is>
      </c>
      <c r="E981" s="42">
        <f>VLOOKUP(A981,'[1]Virtus SAMPLE PositionHistorySa'!$A:$L,12,0)</f>
        <v/>
      </c>
      <c r="F981" s="31" t="inlineStr">
        <is>
          <t>2.16</t>
        </is>
      </c>
      <c r="G981" s="32">
        <f>VLOOKUP(A981,Sheet3!A:K,10,0)/38</f>
        <v/>
      </c>
      <c r="H981" s="32">
        <f>F981-G981</f>
        <v/>
      </c>
      <c r="I981" s="29" t="n"/>
    </row>
    <row r="982">
      <c r="A982" s="29" t="inlineStr">
        <is>
          <t>AU23178</t>
        </is>
      </c>
      <c r="B982" s="30" t="inlineStr">
        <is>
          <t>NSW-QLD</t>
        </is>
      </c>
      <c r="C982" s="30" t="inlineStr">
        <is>
          <t>IVFS2023</t>
        </is>
      </c>
      <c r="D982" s="30" t="inlineStr">
        <is>
          <t>Casual</t>
        </is>
      </c>
      <c r="E982" s="42">
        <f>VLOOKUP(A982,'[1]Virtus SAMPLE PositionHistorySa'!$A:$L,12,0)</f>
        <v/>
      </c>
      <c r="F982" s="31" t="inlineStr">
        <is>
          <t>1.29</t>
        </is>
      </c>
      <c r="G982" s="32" t="n"/>
      <c r="H982" s="32" t="n"/>
      <c r="I982" s="29" t="n"/>
    </row>
    <row r="983">
      <c r="A983" s="29" t="inlineStr">
        <is>
          <t>AU23210</t>
        </is>
      </c>
      <c r="B983" s="30" t="inlineStr">
        <is>
          <t>NSW-QLD</t>
        </is>
      </c>
      <c r="C983" s="30" t="inlineStr">
        <is>
          <t>IVFN2021</t>
        </is>
      </c>
      <c r="D983" s="30" t="inlineStr">
        <is>
          <t>Casual</t>
        </is>
      </c>
      <c r="E983" s="42">
        <f>VLOOKUP(A983,'[1]Virtus SAMPLE PositionHistorySa'!$A:$L,12,0)</f>
        <v/>
      </c>
      <c r="F983" s="31" t="inlineStr">
        <is>
          <t>1.29</t>
        </is>
      </c>
      <c r="G983" s="32" t="n"/>
      <c r="H983" s="32" t="n"/>
      <c r="I983" s="29" t="n"/>
    </row>
    <row r="984">
      <c r="A984" s="29" t="n">
        <v>50214</v>
      </c>
      <c r="B984" s="30" t="inlineStr">
        <is>
          <t>NSW-QLD</t>
        </is>
      </c>
      <c r="C984" s="30" t="inlineStr">
        <is>
          <t>IVFS2023</t>
        </is>
      </c>
      <c r="D984" s="30" t="inlineStr">
        <is>
          <t>Full time</t>
        </is>
      </c>
      <c r="E984" s="42">
        <f>VLOOKUP(A984,'[1]Virtus SAMPLE PositionHistorySa'!$A:$L,12,0)</f>
        <v/>
      </c>
      <c r="F984" s="31" t="inlineStr">
        <is>
          <t>3.02</t>
        </is>
      </c>
      <c r="G984" s="32">
        <f>VLOOKUP(A984,Sheet3!A:K,10,0)/38</f>
        <v/>
      </c>
      <c r="H984" s="32">
        <f>F984-G984</f>
        <v/>
      </c>
      <c r="I984" s="29" t="n"/>
    </row>
    <row r="985">
      <c r="A985" s="29" t="n">
        <v>91008</v>
      </c>
      <c r="B985" s="30" t="inlineStr">
        <is>
          <t>NSW-QLD</t>
        </is>
      </c>
      <c r="C985" s="30" t="inlineStr">
        <is>
          <t>NSW</t>
        </is>
      </c>
      <c r="D985" s="30" t="inlineStr">
        <is>
          <t>Full time</t>
        </is>
      </c>
      <c r="E985" s="42">
        <f>VLOOKUP(A985,'[1]Virtus SAMPLE PositionHistorySa'!$A:$L,12,0)</f>
        <v/>
      </c>
      <c r="F985" s="31" t="inlineStr">
        <is>
          <t>5.62</t>
        </is>
      </c>
      <c r="G985" s="32">
        <f>VLOOKUP(A985,Sheet3!A:K,10,0)/38</f>
        <v/>
      </c>
      <c r="H985" s="32">
        <f>F985-G985</f>
        <v/>
      </c>
      <c r="I985" s="29" t="n"/>
    </row>
    <row r="986">
      <c r="A986" s="29" t="n">
        <v>1267</v>
      </c>
      <c r="B986" s="30" t="inlineStr">
        <is>
          <t>VIC-TAS</t>
        </is>
      </c>
      <c r="C986" s="30" t="inlineStr">
        <is>
          <t>MIVFN2023</t>
        </is>
      </c>
      <c r="D986" s="30" t="inlineStr">
        <is>
          <t>Full time</t>
        </is>
      </c>
      <c r="E986" s="42">
        <f>VLOOKUP(A986,'[1]Virtus SAMPLE PositionHistorySa'!$A:$L,12,0)</f>
        <v/>
      </c>
      <c r="F986" s="31" t="inlineStr">
        <is>
          <t>3.88</t>
        </is>
      </c>
      <c r="G986" s="32">
        <f>VLOOKUP(A986,Sheet3!A:K,10,0)/38</f>
        <v/>
      </c>
      <c r="H986" s="32">
        <f>F986-G986</f>
        <v/>
      </c>
      <c r="I986" s="29" t="n"/>
    </row>
    <row r="987">
      <c r="A987" s="29" t="n">
        <v>1270</v>
      </c>
      <c r="B987" s="30" t="inlineStr">
        <is>
          <t>VIC-TAS</t>
        </is>
      </c>
      <c r="C987" s="30" t="inlineStr">
        <is>
          <t>MIVFN2023</t>
        </is>
      </c>
      <c r="D987" s="30" t="inlineStr">
        <is>
          <t>Full time</t>
        </is>
      </c>
      <c r="E987" s="42">
        <f>VLOOKUP(A987,'[1]Virtus SAMPLE PositionHistorySa'!$A:$L,12,0)</f>
        <v/>
      </c>
      <c r="F987" s="31" t="inlineStr">
        <is>
          <t>3.88</t>
        </is>
      </c>
      <c r="G987" s="32">
        <f>VLOOKUP(A987,Sheet3!A:K,10,0)/38</f>
        <v/>
      </c>
      <c r="H987" s="32">
        <f>F987-G987</f>
        <v/>
      </c>
      <c r="I987" s="29" t="n"/>
    </row>
    <row r="988">
      <c r="A988" s="29" t="n">
        <v>80410</v>
      </c>
      <c r="B988" s="30" t="inlineStr">
        <is>
          <t>NSW-QLD</t>
        </is>
      </c>
      <c r="C988" s="30" t="inlineStr">
        <is>
          <t>QS2024</t>
        </is>
      </c>
      <c r="D988" s="30" t="inlineStr">
        <is>
          <t>Full time</t>
        </is>
      </c>
      <c r="E988" s="42">
        <f>VLOOKUP(A988,'[1]Virtus SAMPLE PositionHistorySa'!$A:$L,12,0)</f>
        <v/>
      </c>
      <c r="F988" s="31" t="inlineStr">
        <is>
          <t>3.88</t>
        </is>
      </c>
      <c r="G988" s="32">
        <f>VLOOKUP(A988,Sheet3!A:K,10,0)/38</f>
        <v/>
      </c>
      <c r="H988" s="32">
        <f>F988-G988</f>
        <v/>
      </c>
      <c r="I988" s="29" t="n"/>
    </row>
    <row r="989">
      <c r="A989" s="29" t="n">
        <v>1268</v>
      </c>
      <c r="B989" s="30" t="inlineStr">
        <is>
          <t>VIC-TAS</t>
        </is>
      </c>
      <c r="C989" s="30" t="inlineStr">
        <is>
          <t>MIVFN2023</t>
        </is>
      </c>
      <c r="D989" s="30" t="inlineStr">
        <is>
          <t>Part time</t>
        </is>
      </c>
      <c r="E989" s="42">
        <f>VLOOKUP(A989,'[1]Virtus SAMPLE PositionHistorySa'!$A:$L,12,0)</f>
        <v/>
      </c>
      <c r="F989" s="31" t="inlineStr">
        <is>
          <t>3.88</t>
        </is>
      </c>
      <c r="G989" s="32" t="n"/>
      <c r="H989" s="32" t="n"/>
      <c r="I989" s="29" t="n"/>
    </row>
    <row r="990">
      <c r="A990" s="29" t="n">
        <v>1271</v>
      </c>
      <c r="B990" s="30" t="inlineStr">
        <is>
          <t>VIC-TAS</t>
        </is>
      </c>
      <c r="C990" s="30" t="inlineStr">
        <is>
          <t>MIVFN2023</t>
        </is>
      </c>
      <c r="D990" s="30" t="inlineStr">
        <is>
          <t>Part time</t>
        </is>
      </c>
      <c r="E990" s="42">
        <f>VLOOKUP(A990,'[1]Virtus SAMPLE PositionHistorySa'!$A:$L,12,0)</f>
        <v/>
      </c>
      <c r="F990" s="31" t="inlineStr">
        <is>
          <t>3.88</t>
        </is>
      </c>
      <c r="G990" s="32" t="n"/>
      <c r="H990" s="32" t="n"/>
      <c r="I990" s="29" t="n"/>
    </row>
    <row r="991">
      <c r="A991" s="29" t="n">
        <v>20926</v>
      </c>
      <c r="B991" s="30" t="inlineStr">
        <is>
          <t>NSW-QLD</t>
        </is>
      </c>
      <c r="C991" s="30" t="inlineStr">
        <is>
          <t>IVFT2024</t>
        </is>
      </c>
      <c r="D991" s="30" t="inlineStr">
        <is>
          <t>Full time</t>
        </is>
      </c>
      <c r="E991" s="42">
        <f>VLOOKUP(A991,'[1]Virtus SAMPLE PositionHistorySa'!$A:$L,12,0)</f>
        <v/>
      </c>
      <c r="F991" s="31" t="inlineStr">
        <is>
          <t>3.02</t>
        </is>
      </c>
      <c r="G991" s="32">
        <f>VLOOKUP(A991,Sheet3!A:K,10,0)/38</f>
        <v/>
      </c>
      <c r="H991" s="32">
        <f>F991-G991</f>
        <v/>
      </c>
      <c r="I991" s="29" t="n"/>
    </row>
    <row r="992">
      <c r="A992" s="29" t="inlineStr">
        <is>
          <t>AU22821</t>
        </is>
      </c>
      <c r="B992" s="30" t="inlineStr">
        <is>
          <t>NSW-QLD</t>
        </is>
      </c>
      <c r="C992" s="30" t="inlineStr">
        <is>
          <t>QLD</t>
        </is>
      </c>
      <c r="D992" s="30" t="inlineStr">
        <is>
          <t>Full time</t>
        </is>
      </c>
      <c r="E992" s="42">
        <f>VLOOKUP(A992,'[1]Virtus SAMPLE PositionHistorySa'!$A:$L,12,0)</f>
        <v/>
      </c>
      <c r="F992" s="31" t="inlineStr">
        <is>
          <t>2.15</t>
        </is>
      </c>
      <c r="G992" s="32">
        <f>VLOOKUP(A992,Sheet3!A:K,10,0)/38</f>
        <v/>
      </c>
      <c r="H992" s="32">
        <f>F992-G992</f>
        <v/>
      </c>
      <c r="I992" s="29" t="n"/>
    </row>
    <row r="993">
      <c r="A993" s="29" t="n">
        <v>341</v>
      </c>
      <c r="B993" s="30" t="inlineStr">
        <is>
          <t>VIC-TAS</t>
        </is>
      </c>
      <c r="C993" s="30" t="inlineStr">
        <is>
          <t>VIC</t>
        </is>
      </c>
      <c r="D993" s="30" t="inlineStr">
        <is>
          <t>Full time</t>
        </is>
      </c>
      <c r="E993" s="42">
        <f>VLOOKUP(A993,'[1]Virtus SAMPLE PositionHistorySa'!$A:$L,12,0)</f>
        <v/>
      </c>
      <c r="F993" s="31" t="inlineStr">
        <is>
          <t>13.42</t>
        </is>
      </c>
      <c r="G993" s="32">
        <f>VLOOKUP(A993,Sheet3!A:K,10,0)/38</f>
        <v/>
      </c>
      <c r="H993" s="32">
        <f>F993-G993</f>
        <v/>
      </c>
      <c r="I993" s="29" t="n"/>
    </row>
    <row r="994">
      <c r="A994" s="29" t="inlineStr">
        <is>
          <t>AU22838</t>
        </is>
      </c>
      <c r="B994" s="30" t="inlineStr">
        <is>
          <t>VIC-TAS</t>
        </is>
      </c>
      <c r="C994" s="30" t="inlineStr">
        <is>
          <t>MIVFN2023</t>
        </is>
      </c>
      <c r="D994" s="30" t="inlineStr">
        <is>
          <t>Full time</t>
        </is>
      </c>
      <c r="E994" s="42">
        <f>VLOOKUP(A994,'[1]Virtus SAMPLE PositionHistorySa'!$A:$L,12,0)</f>
        <v/>
      </c>
      <c r="F994" s="31" t="inlineStr">
        <is>
          <t>2.15</t>
        </is>
      </c>
      <c r="G994" s="32">
        <f>VLOOKUP(A994,Sheet3!A:K,10,0)/38</f>
        <v/>
      </c>
      <c r="H994" s="32">
        <f>F994-G994</f>
        <v/>
      </c>
      <c r="I994" s="29" t="n"/>
    </row>
    <row r="995">
      <c r="A995" s="29" t="n">
        <v>20927</v>
      </c>
      <c r="B995" s="30" t="inlineStr">
        <is>
          <t>NSW-QLD</t>
        </is>
      </c>
      <c r="C995" s="30" t="inlineStr">
        <is>
          <t>IVFT2024</t>
        </is>
      </c>
      <c r="D995" s="30" t="inlineStr">
        <is>
          <t>Full time</t>
        </is>
      </c>
      <c r="E995" s="42">
        <f>VLOOKUP(A995,'[1]Virtus SAMPLE PositionHistorySa'!$A:$L,12,0)</f>
        <v/>
      </c>
      <c r="F995" s="31" t="inlineStr">
        <is>
          <t>3.01</t>
        </is>
      </c>
      <c r="G995" s="32">
        <f>VLOOKUP(A995,Sheet3!A:K,10,0)/38</f>
        <v/>
      </c>
      <c r="H995" s="32">
        <f>F995-G995</f>
        <v/>
      </c>
      <c r="I995" s="29" t="n"/>
    </row>
    <row r="996">
      <c r="A996" s="29" t="inlineStr">
        <is>
          <t>AU23613</t>
        </is>
      </c>
      <c r="B996" s="30" t="inlineStr">
        <is>
          <t>NSW-QLD</t>
        </is>
      </c>
      <c r="C996" s="30" t="inlineStr">
        <is>
          <t>QS2024</t>
        </is>
      </c>
      <c r="D996" s="30" t="inlineStr">
        <is>
          <t>Full time</t>
        </is>
      </c>
      <c r="E996" s="42">
        <f>VLOOKUP(A996,'[1]Virtus SAMPLE PositionHistorySa'!$A:$L,12,0)</f>
        <v/>
      </c>
      <c r="F996" s="31" t="inlineStr">
        <is>
          <t>0.41</t>
        </is>
      </c>
      <c r="G996" s="32">
        <f>VLOOKUP(A996,Sheet3!A:K,10,0)/38</f>
        <v/>
      </c>
      <c r="H996" s="32">
        <f>F996-G996</f>
        <v/>
      </c>
      <c r="I996" s="29" t="n"/>
    </row>
    <row r="997">
      <c r="A997" s="29" t="inlineStr">
        <is>
          <t>AU23621</t>
        </is>
      </c>
      <c r="B997" s="30" t="inlineStr">
        <is>
          <t>NSW-QLD</t>
        </is>
      </c>
      <c r="C997" s="30" t="inlineStr">
        <is>
          <t>IVFT2024</t>
        </is>
      </c>
      <c r="D997" s="30" t="inlineStr">
        <is>
          <t>Full time</t>
        </is>
      </c>
      <c r="E997" s="42">
        <f>VLOOKUP(A997,'[1]Virtus SAMPLE PositionHistorySa'!$A:$L,12,0)</f>
        <v/>
      </c>
      <c r="F997" s="31" t="inlineStr">
        <is>
          <t>0.41</t>
        </is>
      </c>
      <c r="G997" s="32">
        <f>VLOOKUP(A997,Sheet3!A:K,10,0)/38</f>
        <v/>
      </c>
      <c r="H997" s="32">
        <f>F997-G997</f>
        <v/>
      </c>
      <c r="I997" s="29" t="n"/>
    </row>
    <row r="998">
      <c r="A998" s="29" t="inlineStr">
        <is>
          <t>AU23609</t>
        </is>
      </c>
      <c r="B998" s="30" t="inlineStr">
        <is>
          <t>VIC-TAS</t>
        </is>
      </c>
      <c r="C998" s="30" t="inlineStr">
        <is>
          <t>MIVFS2022</t>
        </is>
      </c>
      <c r="D998" s="30">
        <f>VLOOKUP(A998,Sheet3!A:E,5,0)</f>
        <v/>
      </c>
      <c r="E998" s="42">
        <f>VLOOKUP(A998,'[1]Virtus SAMPLE PositionHistorySa'!$A:$L,12,0)</f>
        <v/>
      </c>
      <c r="F998" s="31" t="inlineStr">
        <is>
          <t>0.41</t>
        </is>
      </c>
      <c r="G998" s="32" t="n"/>
      <c r="H998" s="32" t="n"/>
      <c r="I998" s="29" t="n"/>
    </row>
    <row r="999">
      <c r="A999" s="29" t="inlineStr">
        <is>
          <t>AU23610</t>
        </is>
      </c>
      <c r="B999" s="30" t="inlineStr">
        <is>
          <t>NSW-QLD</t>
        </is>
      </c>
      <c r="C999" s="30" t="inlineStr">
        <is>
          <t>IVFT2024</t>
        </is>
      </c>
      <c r="D999" s="30" t="inlineStr">
        <is>
          <t>Part time</t>
        </is>
      </c>
      <c r="E999" s="42">
        <f>VLOOKUP(A999,'[1]Virtus SAMPLE PositionHistorySa'!$A:$L,12,0)</f>
        <v/>
      </c>
      <c r="F999" s="31" t="inlineStr">
        <is>
          <t>0.41</t>
        </is>
      </c>
      <c r="G999" s="32" t="n"/>
      <c r="H999" s="32" t="n"/>
      <c r="I999" s="29" t="n"/>
    </row>
    <row r="1000">
      <c r="A1000" s="29" t="inlineStr">
        <is>
          <t>AU23618</t>
        </is>
      </c>
      <c r="B1000" s="30" t="inlineStr">
        <is>
          <t>NSW-QLD</t>
        </is>
      </c>
      <c r="C1000" s="30" t="inlineStr">
        <is>
          <t>QN2025</t>
        </is>
      </c>
      <c r="D1000" s="30" t="inlineStr">
        <is>
          <t>Part time</t>
        </is>
      </c>
      <c r="E1000" s="42">
        <f>VLOOKUP(A1000,'[1]Virtus SAMPLE PositionHistorySa'!$A:$L,12,0)</f>
        <v/>
      </c>
      <c r="F1000" s="31" t="inlineStr">
        <is>
          <t>0.62</t>
        </is>
      </c>
      <c r="G1000" s="32" t="n"/>
      <c r="H1000" s="32" t="n"/>
      <c r="I1000" s="29" t="n"/>
    </row>
    <row r="1001">
      <c r="A1001" s="29" t="n">
        <v>1098</v>
      </c>
      <c r="B1001" s="30" t="inlineStr">
        <is>
          <t>VIC-TAS</t>
        </is>
      </c>
      <c r="C1001" s="30" t="inlineStr">
        <is>
          <t>MIVFN2023</t>
        </is>
      </c>
      <c r="D1001" s="30" t="inlineStr">
        <is>
          <t>Part time</t>
        </is>
      </c>
      <c r="E1001" s="42">
        <f>VLOOKUP(A1001,'[1]Virtus SAMPLE PositionHistorySa'!$A:$L,12,0)</f>
        <v/>
      </c>
      <c r="F1001" s="31" t="inlineStr">
        <is>
          <t>19.89</t>
        </is>
      </c>
      <c r="G1001" s="32" t="n"/>
      <c r="H1001" s="32" t="n"/>
      <c r="I1001" s="29" t="n"/>
    </row>
    <row r="1002">
      <c r="A1002" s="29" t="n">
        <v>60045</v>
      </c>
      <c r="B1002" s="30" t="inlineStr">
        <is>
          <t>NSW-QLD</t>
        </is>
      </c>
      <c r="C1002" s="30" t="inlineStr">
        <is>
          <t>QN2025</t>
        </is>
      </c>
      <c r="D1002" s="30" t="inlineStr">
        <is>
          <t>Casual</t>
        </is>
      </c>
      <c r="E1002" s="42">
        <f>VLOOKUP(A1002,'[1]Virtus SAMPLE PositionHistorySa'!$A:$L,12,0)</f>
        <v/>
      </c>
      <c r="F1002" s="31" t="inlineStr">
        <is>
          <t>5.82</t>
        </is>
      </c>
      <c r="G1002" s="32" t="n"/>
      <c r="H1002" s="32" t="n"/>
      <c r="I1002" s="29" t="n"/>
    </row>
    <row r="1003">
      <c r="A1003" s="29" t="inlineStr">
        <is>
          <t>AU23189</t>
        </is>
      </c>
      <c r="B1003" s="30" t="inlineStr">
        <is>
          <t>VIC-TAS</t>
        </is>
      </c>
      <c r="C1003" s="30" t="inlineStr">
        <is>
          <t>MIVFS2022</t>
        </is>
      </c>
      <c r="D1003" s="30" t="inlineStr">
        <is>
          <t>Full time</t>
        </is>
      </c>
      <c r="E1003" s="42">
        <f>VLOOKUP(A1003,'[1]Virtus SAMPLE PositionHistorySa'!$A:$L,12,0)</f>
        <v/>
      </c>
      <c r="F1003" s="31" t="inlineStr">
        <is>
          <t>1.28</t>
        </is>
      </c>
      <c r="G1003" s="32">
        <f>VLOOKUP(A1003,Sheet3!A:K,10,0)/38</f>
        <v/>
      </c>
      <c r="H1003" s="32">
        <f>F1003-G1003</f>
        <v/>
      </c>
      <c r="I1003" s="29" t="n"/>
    </row>
    <row r="1004">
      <c r="A1004" s="29" t="inlineStr">
        <is>
          <t>AU23180</t>
        </is>
      </c>
      <c r="B1004" s="30" t="inlineStr">
        <is>
          <t>NSW-QLD</t>
        </is>
      </c>
      <c r="C1004" s="30" t="inlineStr">
        <is>
          <t>NSW</t>
        </is>
      </c>
      <c r="D1004" s="30" t="inlineStr">
        <is>
          <t>Full time</t>
        </is>
      </c>
      <c r="E1004" s="42">
        <f>VLOOKUP(A1004,'[1]Virtus SAMPLE PositionHistorySa'!$A:$L,12,0)</f>
        <v/>
      </c>
      <c r="F1004" s="31" t="inlineStr">
        <is>
          <t>1.28</t>
        </is>
      </c>
      <c r="G1004" s="32">
        <f>VLOOKUP(A1004,Sheet3!A:K,10,0)/38</f>
        <v/>
      </c>
      <c r="H1004" s="32">
        <f>F1004-G1004</f>
        <v/>
      </c>
      <c r="I1004" s="29" t="n"/>
    </row>
    <row r="1005">
      <c r="A1005" s="29" t="inlineStr">
        <is>
          <t>AU23181</t>
        </is>
      </c>
      <c r="B1005" s="30" t="inlineStr">
        <is>
          <t>NSW-QLD</t>
        </is>
      </c>
      <c r="C1005" s="30" t="inlineStr">
        <is>
          <t>IVFN2021</t>
        </is>
      </c>
      <c r="D1005" s="30" t="inlineStr">
        <is>
          <t>Full time</t>
        </is>
      </c>
      <c r="E1005" s="42">
        <f>VLOOKUP(A1005,'[1]Virtus SAMPLE PositionHistorySa'!$A:$L,12,0)</f>
        <v/>
      </c>
      <c r="F1005" s="31" t="inlineStr">
        <is>
          <t>1.28</t>
        </is>
      </c>
      <c r="G1005" s="32">
        <f>VLOOKUP(A1005,Sheet3!A:K,10,0)/38</f>
        <v/>
      </c>
      <c r="H1005" s="32">
        <f>F1005-G1005</f>
        <v/>
      </c>
      <c r="I1005" s="29" t="n"/>
    </row>
    <row r="1006">
      <c r="A1006" s="29" t="inlineStr">
        <is>
          <t>AU23186</t>
        </is>
      </c>
      <c r="B1006" s="30" t="inlineStr">
        <is>
          <t>NSW-QLD</t>
        </is>
      </c>
      <c r="C1006" s="30" t="inlineStr">
        <is>
          <t>IVFN2021</t>
        </is>
      </c>
      <c r="D1006" s="30" t="inlineStr">
        <is>
          <t>Part time</t>
        </is>
      </c>
      <c r="E1006" s="42">
        <f>VLOOKUP(A1006,'[1]Virtus SAMPLE PositionHistorySa'!$A:$L,12,0)</f>
        <v/>
      </c>
      <c r="F1006" s="31" t="inlineStr">
        <is>
          <t>1.28</t>
        </is>
      </c>
      <c r="G1006" s="32" t="n"/>
      <c r="H1006" s="32" t="n"/>
      <c r="I1006" s="29" t="n"/>
    </row>
    <row r="1007">
      <c r="A1007" s="29" t="inlineStr">
        <is>
          <t>AU23195</t>
        </is>
      </c>
      <c r="B1007" s="30" t="inlineStr">
        <is>
          <t>NSW-QLD</t>
        </is>
      </c>
      <c r="C1007" s="30" t="inlineStr">
        <is>
          <t>IVFN2021</t>
        </is>
      </c>
      <c r="D1007" s="30" t="inlineStr">
        <is>
          <t>Part time</t>
        </is>
      </c>
      <c r="E1007" s="42">
        <f>VLOOKUP(A1007,'[1]Virtus SAMPLE PositionHistorySa'!$A:$L,12,0)</f>
        <v/>
      </c>
      <c r="F1007" s="31" t="inlineStr">
        <is>
          <t>1.28</t>
        </is>
      </c>
      <c r="G1007" s="32" t="n"/>
      <c r="H1007" s="32" t="n"/>
      <c r="I1007" s="29" t="n"/>
    </row>
    <row r="1008">
      <c r="A1008" s="29" t="inlineStr">
        <is>
          <t>AU23201</t>
        </is>
      </c>
      <c r="B1008" s="30" t="inlineStr">
        <is>
          <t>NSW-QLD</t>
        </is>
      </c>
      <c r="C1008" s="30" t="inlineStr">
        <is>
          <t>IVFS2023</t>
        </is>
      </c>
      <c r="D1008" s="30" t="inlineStr">
        <is>
          <t>Part time</t>
        </is>
      </c>
      <c r="E1008" s="42">
        <f>VLOOKUP(A1008,'[1]Virtus SAMPLE PositionHistorySa'!$A:$L,12,0)</f>
        <v/>
      </c>
      <c r="F1008" s="31" t="inlineStr">
        <is>
          <t>1.28</t>
        </is>
      </c>
      <c r="G1008" s="32" t="n"/>
      <c r="H1008" s="32" t="n"/>
      <c r="I1008" s="29" t="n"/>
    </row>
    <row r="1009">
      <c r="A1009" s="29" t="inlineStr">
        <is>
          <t>AU23208</t>
        </is>
      </c>
      <c r="B1009" s="30" t="inlineStr">
        <is>
          <t>NSW-QLD</t>
        </is>
      </c>
      <c r="C1009" s="30" t="inlineStr">
        <is>
          <t>IVFN2021</t>
        </is>
      </c>
      <c r="D1009" s="30" t="inlineStr">
        <is>
          <t>Casual</t>
        </is>
      </c>
      <c r="E1009" s="42">
        <f>VLOOKUP(A1009,'[1]Virtus SAMPLE PositionHistorySa'!$A:$L,12,0)</f>
        <v/>
      </c>
      <c r="F1009" s="31" t="inlineStr">
        <is>
          <t>1.28</t>
        </is>
      </c>
      <c r="G1009" s="32" t="n"/>
      <c r="H1009" s="32" t="n"/>
      <c r="I1009" s="29" t="n"/>
    </row>
    <row r="1010">
      <c r="A1010" s="29" t="inlineStr">
        <is>
          <t>AU23622</t>
        </is>
      </c>
      <c r="B1010" s="30" t="inlineStr">
        <is>
          <t>NSW-QLD</t>
        </is>
      </c>
      <c r="C1010" s="30" t="inlineStr">
        <is>
          <t>IVFS2023</t>
        </is>
      </c>
      <c r="D1010" s="30" t="inlineStr">
        <is>
          <t>Full time</t>
        </is>
      </c>
      <c r="E1010" s="42">
        <f>VLOOKUP(A1010,'[1]Virtus SAMPLE PositionHistorySa'!$A:$L,12,0)</f>
        <v/>
      </c>
      <c r="F1010" s="31" t="inlineStr">
        <is>
          <t>0.41</t>
        </is>
      </c>
      <c r="G1010" s="32">
        <f>VLOOKUP(A1010,Sheet3!A:K,10,0)/38</f>
        <v/>
      </c>
      <c r="H1010" s="32">
        <f>F1010-G1010</f>
        <v/>
      </c>
      <c r="I1010" s="29" t="n"/>
    </row>
    <row r="1011">
      <c r="A1011" s="29" t="inlineStr">
        <is>
          <t>AU23585</t>
        </is>
      </c>
      <c r="B1011" s="30" t="inlineStr">
        <is>
          <t>NSW-QLD</t>
        </is>
      </c>
      <c r="C1011" s="30" t="inlineStr">
        <is>
          <t>NSW</t>
        </is>
      </c>
      <c r="D1011" s="30" t="inlineStr">
        <is>
          <t>Full time</t>
        </is>
      </c>
      <c r="E1011" s="42">
        <f>VLOOKUP(A1011,'[1]Virtus SAMPLE PositionHistorySa'!$A:$L,12,0)</f>
        <v/>
      </c>
      <c r="F1011" s="31" t="inlineStr">
        <is>
          <t>0.41</t>
        </is>
      </c>
      <c r="G1011" s="32">
        <f>VLOOKUP(A1011,Sheet3!A:K,10,0)/38</f>
        <v/>
      </c>
      <c r="H1011" s="32">
        <f>F1011-G1011</f>
        <v/>
      </c>
      <c r="I1011" s="29" t="n"/>
    </row>
    <row r="1012">
      <c r="A1012" s="29" t="n">
        <v>20618</v>
      </c>
      <c r="B1012" s="30" t="inlineStr">
        <is>
          <t>NSW-QLD</t>
        </is>
      </c>
      <c r="C1012" s="30" t="inlineStr">
        <is>
          <t>IVFT2024</t>
        </is>
      </c>
      <c r="D1012" s="30" t="inlineStr">
        <is>
          <t>Full time</t>
        </is>
      </c>
      <c r="E1012" s="42">
        <f>VLOOKUP(A1012,'[1]Virtus SAMPLE PositionHistorySa'!$A:$L,12,0)</f>
        <v/>
      </c>
      <c r="F1012" s="31" t="inlineStr">
        <is>
          <t>6.48</t>
        </is>
      </c>
      <c r="G1012" s="32">
        <f>VLOOKUP(A1012,Sheet3!A:K,10,0)/38</f>
        <v/>
      </c>
      <c r="H1012" s="32">
        <f>F1012-G1012</f>
        <v/>
      </c>
      <c r="I1012" s="29" t="n"/>
    </row>
    <row r="1013">
      <c r="A1013" s="29" t="inlineStr">
        <is>
          <t>AU23207</t>
        </is>
      </c>
      <c r="B1013" s="30" t="inlineStr">
        <is>
          <t>VIC-TAS</t>
        </is>
      </c>
      <c r="C1013" s="30" t="inlineStr">
        <is>
          <t>MIVFS2022</t>
        </is>
      </c>
      <c r="D1013" s="30" t="inlineStr">
        <is>
          <t>Full time</t>
        </is>
      </c>
      <c r="E1013" s="42">
        <f>VLOOKUP(A1013,'[1]Virtus SAMPLE PositionHistorySa'!$A:$L,12,0)</f>
        <v/>
      </c>
      <c r="F1013" s="31" t="inlineStr">
        <is>
          <t>1.24</t>
        </is>
      </c>
      <c r="G1013" s="32">
        <f>VLOOKUP(A1013,Sheet3!A:K,10,0)/38</f>
        <v/>
      </c>
      <c r="H1013" s="32">
        <f>F1013-G1013</f>
        <v/>
      </c>
      <c r="I1013" s="29" t="n"/>
    </row>
    <row r="1014">
      <c r="A1014" s="29" t="inlineStr">
        <is>
          <t>AU23212</t>
        </is>
      </c>
      <c r="B1014" s="30" t="inlineStr">
        <is>
          <t>NSW-QLD</t>
        </is>
      </c>
      <c r="C1014" s="30" t="inlineStr">
        <is>
          <t>IVFN2021</t>
        </is>
      </c>
      <c r="D1014" s="30" t="inlineStr">
        <is>
          <t>Full time</t>
        </is>
      </c>
      <c r="E1014" s="42">
        <f>VLOOKUP(A1014,'[1]Virtus SAMPLE PositionHistorySa'!$A:$L,12,0)</f>
        <v/>
      </c>
      <c r="F1014" s="31" t="inlineStr">
        <is>
          <t>1.24</t>
        </is>
      </c>
      <c r="G1014" s="32">
        <f>VLOOKUP(A1014,Sheet3!A:K,10,0)/38</f>
        <v/>
      </c>
      <c r="H1014" s="32">
        <f>F1014-G1014</f>
        <v/>
      </c>
      <c r="I1014" s="29" t="n"/>
    </row>
    <row r="1015">
      <c r="A1015" s="29" t="inlineStr">
        <is>
          <t>AU23206</t>
        </is>
      </c>
      <c r="B1015" s="30" t="inlineStr">
        <is>
          <t>NSW-QLD</t>
        </is>
      </c>
      <c r="C1015" s="30" t="inlineStr">
        <is>
          <t>VIC</t>
        </is>
      </c>
      <c r="D1015" s="30" t="inlineStr">
        <is>
          <t>Full time</t>
        </is>
      </c>
      <c r="E1015" s="42">
        <f>VLOOKUP(A1015,'[1]Virtus SAMPLE PositionHistorySa'!$A:$L,12,0)</f>
        <v/>
      </c>
      <c r="F1015" s="31" t="inlineStr">
        <is>
          <t>1.24</t>
        </is>
      </c>
      <c r="G1015" s="32">
        <f>VLOOKUP(A1015,Sheet3!A:K,10,0)/38</f>
        <v/>
      </c>
      <c r="H1015" s="32">
        <f>F1015-G1015</f>
        <v/>
      </c>
      <c r="I1015" s="29" t="n"/>
    </row>
    <row r="1016">
      <c r="A1016" s="29" t="inlineStr">
        <is>
          <t>AU23645</t>
        </is>
      </c>
      <c r="B1016" s="30" t="inlineStr">
        <is>
          <t>VIC-TAS</t>
        </is>
      </c>
      <c r="C1016" s="30" t="inlineStr">
        <is>
          <t>MIVFN2023</t>
        </is>
      </c>
      <c r="D1016" s="30" t="inlineStr">
        <is>
          <t>Casual</t>
        </is>
      </c>
      <c r="E1016" s="42">
        <f>VLOOKUP(A1016,'[1]Virtus SAMPLE PositionHistorySa'!$A:$L,12,0)</f>
        <v/>
      </c>
      <c r="F1016" s="31" t="inlineStr">
        <is>
          <t>0.38</t>
        </is>
      </c>
      <c r="G1016" s="32" t="n"/>
      <c r="H1016" s="32" t="n"/>
      <c r="I1016" s="29" t="n"/>
    </row>
    <row r="1017">
      <c r="A1017" s="29" t="n">
        <v>20288</v>
      </c>
      <c r="B1017" s="30" t="inlineStr">
        <is>
          <t>NSW-QLD</t>
        </is>
      </c>
      <c r="C1017" s="30" t="inlineStr">
        <is>
          <t>IVFT2024</t>
        </is>
      </c>
      <c r="D1017" s="30" t="inlineStr">
        <is>
          <t>Part time</t>
        </is>
      </c>
      <c r="E1017" s="42">
        <f>VLOOKUP(A1017,'[1]Virtus SAMPLE PositionHistorySa'!$A:$L,12,0)</f>
        <v/>
      </c>
      <c r="F1017" s="31" t="inlineStr">
        <is>
          <t>3.61</t>
        </is>
      </c>
      <c r="G1017" s="32" t="n"/>
      <c r="H1017" s="32" t="n"/>
      <c r="I1017" s="29" t="n"/>
    </row>
    <row r="1018">
      <c r="A1018" s="29" t="n">
        <v>529</v>
      </c>
      <c r="B1018" s="30" t="inlineStr">
        <is>
          <t>VIC-TAS</t>
        </is>
      </c>
      <c r="C1018" s="30" t="inlineStr">
        <is>
          <t>MIVFN2023</t>
        </is>
      </c>
      <c r="D1018" s="30" t="inlineStr">
        <is>
          <t>Casual</t>
        </is>
      </c>
      <c r="E1018" s="42">
        <f>VLOOKUP(A1018,'[1]Virtus SAMPLE PositionHistorySa'!$A:$L,12,0)</f>
        <v/>
      </c>
      <c r="F1018" s="31" t="inlineStr">
        <is>
          <t>23.28</t>
        </is>
      </c>
      <c r="G1018" s="32" t="n"/>
      <c r="H1018" s="32" t="n"/>
      <c r="I1018" s="29" t="n"/>
    </row>
    <row r="1019">
      <c r="A1019" s="29" t="n">
        <v>100029</v>
      </c>
      <c r="B1019" s="30" t="inlineStr">
        <is>
          <t>NSW-QLD</t>
        </is>
      </c>
      <c r="C1019" s="30" t="inlineStr">
        <is>
          <t>IVFC2022</t>
        </is>
      </c>
      <c r="D1019" s="30" t="inlineStr">
        <is>
          <t>Part time</t>
        </is>
      </c>
      <c r="E1019" s="42">
        <f>VLOOKUP(A1019,'[1]Virtus SAMPLE PositionHistorySa'!$A:$L,12,0)</f>
        <v/>
      </c>
      <c r="F1019" s="31" t="inlineStr">
        <is>
          <t>6.44</t>
        </is>
      </c>
      <c r="G1019" s="32" t="n"/>
      <c r="H1019" s="32" t="n"/>
      <c r="I1019" s="29" t="n"/>
    </row>
    <row r="1020">
      <c r="A1020" s="29" t="n">
        <v>30381</v>
      </c>
      <c r="B1020" s="30" t="inlineStr">
        <is>
          <t>NSW-QLD</t>
        </is>
      </c>
      <c r="C1020" s="30" t="inlineStr">
        <is>
          <t>IVFN2021</t>
        </is>
      </c>
      <c r="D1020" s="30" t="inlineStr">
        <is>
          <t>Full time</t>
        </is>
      </c>
      <c r="E1020" s="42">
        <f>VLOOKUP(A1020,'[1]Virtus SAMPLE PositionHistorySa'!$A:$L,12,0)</f>
        <v/>
      </c>
      <c r="F1020" s="31" t="inlineStr">
        <is>
          <t>2.97</t>
        </is>
      </c>
      <c r="G1020" s="32">
        <f>VLOOKUP(A1020,Sheet3!A:K,10,0)/38</f>
        <v/>
      </c>
      <c r="H1020" s="32">
        <f>F1020-G1020</f>
        <v/>
      </c>
      <c r="I1020" s="29" t="n"/>
    </row>
    <row r="1021">
      <c r="A1021" s="29" t="n">
        <v>1472</v>
      </c>
      <c r="B1021" s="30" t="inlineStr">
        <is>
          <t>VIC-TAS</t>
        </is>
      </c>
      <c r="C1021" s="30" t="inlineStr">
        <is>
          <t>IVFS2023</t>
        </is>
      </c>
      <c r="D1021" s="30" t="inlineStr">
        <is>
          <t>Part time</t>
        </is>
      </c>
      <c r="E1021" s="42">
        <f>VLOOKUP(A1021,'[1]Virtus SAMPLE PositionHistorySa'!$A:$L,12,0)</f>
        <v/>
      </c>
      <c r="F1021" s="31" t="inlineStr">
        <is>
          <t>2.97</t>
        </is>
      </c>
      <c r="G1021" s="32" t="n"/>
      <c r="H1021" s="32" t="n"/>
      <c r="I1021" s="29" t="n"/>
    </row>
    <row r="1022">
      <c r="A1022" s="29" t="n">
        <v>20075</v>
      </c>
      <c r="B1022" s="30" t="inlineStr">
        <is>
          <t>NSW-QLD</t>
        </is>
      </c>
      <c r="C1022" s="30" t="inlineStr">
        <is>
          <t>IVFS2023</t>
        </is>
      </c>
      <c r="D1022" s="30" t="inlineStr">
        <is>
          <t>Part time</t>
        </is>
      </c>
      <c r="E1022" s="42">
        <f>VLOOKUP(A1022,'[1]Virtus SAMPLE PositionHistorySa'!$A:$L,12,0)</f>
        <v/>
      </c>
      <c r="F1022" s="31" t="inlineStr">
        <is>
          <t>15.97</t>
        </is>
      </c>
      <c r="G1022" s="32" t="n"/>
      <c r="H1022" s="32" t="n"/>
      <c r="I1022" s="29" t="n"/>
    </row>
    <row r="1023">
      <c r="A1023" s="29" t="n">
        <v>80414</v>
      </c>
      <c r="B1023" s="30" t="inlineStr">
        <is>
          <t>NSW-QLD</t>
        </is>
      </c>
      <c r="C1023" s="30" t="inlineStr">
        <is>
          <t>QN2025</t>
        </is>
      </c>
      <c r="D1023" s="30" t="inlineStr">
        <is>
          <t>Part time</t>
        </is>
      </c>
      <c r="E1023" s="42">
        <f>VLOOKUP(A1023,'[1]Virtus SAMPLE PositionHistorySa'!$A:$L,12,0)</f>
        <v/>
      </c>
      <c r="F1023" s="31" t="inlineStr">
        <is>
          <t>5.75</t>
        </is>
      </c>
      <c r="G1023" s="32" t="n"/>
      <c r="H1023" s="32" t="n"/>
      <c r="I1023" s="29" t="n"/>
    </row>
    <row r="1024">
      <c r="A1024" s="29" t="n">
        <v>80415</v>
      </c>
      <c r="B1024" s="30" t="inlineStr">
        <is>
          <t>NSW-QLD</t>
        </is>
      </c>
      <c r="C1024" s="30" t="inlineStr">
        <is>
          <t>QN2025</t>
        </is>
      </c>
      <c r="D1024" s="30" t="inlineStr">
        <is>
          <t>Part time</t>
        </is>
      </c>
      <c r="E1024" s="42">
        <f>VLOOKUP(A1024,'[1]Virtus SAMPLE PositionHistorySa'!$A:$L,12,0)</f>
        <v/>
      </c>
      <c r="F1024" s="31" t="inlineStr">
        <is>
          <t>5.75</t>
        </is>
      </c>
      <c r="G1024" s="32" t="n"/>
      <c r="H1024" s="32" t="n"/>
      <c r="I1024" s="29" t="n"/>
    </row>
    <row r="1025">
      <c r="A1025" s="29" t="n">
        <v>282</v>
      </c>
      <c r="B1025" s="30" t="inlineStr">
        <is>
          <t>VIC-TAS</t>
        </is>
      </c>
      <c r="C1025" s="30" t="inlineStr">
        <is>
          <t>MIVFN2023</t>
        </is>
      </c>
      <c r="D1025" s="30" t="inlineStr">
        <is>
          <t>Full time</t>
        </is>
      </c>
      <c r="E1025" s="42">
        <f>VLOOKUP(A1025,'[1]Virtus SAMPLE PositionHistorySa'!$A:$L,12,0)</f>
        <v/>
      </c>
      <c r="F1025" s="31" t="inlineStr">
        <is>
          <t>28.47</t>
        </is>
      </c>
      <c r="G1025" s="32">
        <f>VLOOKUP(A1025,Sheet3!A:K,10,0)/38</f>
        <v/>
      </c>
      <c r="H1025" s="32">
        <f>F1025-G1025</f>
        <v/>
      </c>
      <c r="I1025" s="29" t="n"/>
    </row>
    <row r="1026">
      <c r="A1026" s="29" t="n">
        <v>20444</v>
      </c>
      <c r="B1026" s="30" t="inlineStr">
        <is>
          <t>NSW-QLD</t>
        </is>
      </c>
      <c r="C1026" s="30" t="inlineStr">
        <is>
          <t>IVFS2023</t>
        </is>
      </c>
      <c r="D1026" s="30" t="inlineStr">
        <is>
          <t>Part time</t>
        </is>
      </c>
      <c r="E1026" s="42">
        <f>VLOOKUP(A1026,'[1]Virtus SAMPLE PositionHistorySa'!$A:$L,12,0)</f>
        <v/>
      </c>
      <c r="F1026" s="31" t="inlineStr">
        <is>
          <t>9.03</t>
        </is>
      </c>
      <c r="G1026" s="32" t="n"/>
      <c r="H1026" s="32" t="n"/>
      <c r="I1026" s="29" t="n"/>
    </row>
    <row r="1027">
      <c r="A1027" s="29" t="n">
        <v>80010</v>
      </c>
      <c r="B1027" s="30" t="inlineStr">
        <is>
          <t>NSW-QLD</t>
        </is>
      </c>
      <c r="C1027" s="30" t="inlineStr">
        <is>
          <t>QS2024</t>
        </is>
      </c>
      <c r="D1027" s="30" t="inlineStr">
        <is>
          <t>Full time</t>
        </is>
      </c>
      <c r="E1027" s="42">
        <f>VLOOKUP(A1027,'[1]Virtus SAMPLE PositionHistorySa'!$A:$L,12,0)</f>
        <v/>
      </c>
      <c r="F1027" s="31" t="inlineStr">
        <is>
          <t>22.64</t>
        </is>
      </c>
      <c r="G1027" s="32">
        <f>VLOOKUP(A1027,Sheet3!A:K,10,0)/38</f>
        <v/>
      </c>
      <c r="H1027" s="32">
        <f>F1027-G1027</f>
        <v/>
      </c>
      <c r="I1027" s="29" t="n"/>
    </row>
    <row r="1028">
      <c r="A1028" s="29" t="n">
        <v>20935</v>
      </c>
      <c r="B1028" s="30" t="inlineStr">
        <is>
          <t>NSW-QLD</t>
        </is>
      </c>
      <c r="C1028" s="30" t="inlineStr">
        <is>
          <t>NSW</t>
        </is>
      </c>
      <c r="D1028" s="30" t="inlineStr">
        <is>
          <t>Casual</t>
        </is>
      </c>
      <c r="E1028" s="42">
        <f>VLOOKUP(A1028,'[1]Virtus SAMPLE PositionHistorySa'!$A:$L,12,0)</f>
        <v/>
      </c>
      <c r="F1028" s="31" t="inlineStr">
        <is>
          <t>2.96</t>
        </is>
      </c>
      <c r="G1028" s="32" t="n"/>
      <c r="H1028" s="32" t="n"/>
      <c r="I1028" s="29" t="n"/>
    </row>
    <row r="1029">
      <c r="A1029" s="29" t="inlineStr">
        <is>
          <t>AU23655</t>
        </is>
      </c>
      <c r="B1029" s="30" t="inlineStr">
        <is>
          <t>VIC-TAS</t>
        </is>
      </c>
      <c r="C1029" s="30" t="inlineStr">
        <is>
          <t>TIVF2024</t>
        </is>
      </c>
      <c r="D1029" s="30" t="inlineStr">
        <is>
          <t>Full time</t>
        </is>
      </c>
      <c r="E1029" s="42">
        <f>VLOOKUP(A1029,'[1]Virtus SAMPLE PositionHistorySa'!$A:$L,12,0)</f>
        <v/>
      </c>
      <c r="F1029" s="31" t="inlineStr">
        <is>
          <t>0.36</t>
        </is>
      </c>
      <c r="G1029" s="32">
        <f>VLOOKUP(A1029,Sheet3!A:K,10,0)/38</f>
        <v/>
      </c>
      <c r="H1029" s="32">
        <f>F1029-G1029</f>
        <v/>
      </c>
      <c r="I1029" s="29" t="n"/>
    </row>
    <row r="1030">
      <c r="A1030" s="29" t="inlineStr">
        <is>
          <t>AU23642</t>
        </is>
      </c>
      <c r="B1030" s="30" t="inlineStr">
        <is>
          <t>NSW-QLD</t>
        </is>
      </c>
      <c r="C1030" s="30" t="inlineStr">
        <is>
          <t>IVFN2021</t>
        </is>
      </c>
      <c r="D1030" s="30" t="inlineStr">
        <is>
          <t>Full time</t>
        </is>
      </c>
      <c r="E1030" s="42">
        <f>VLOOKUP(A1030,'[1]Virtus SAMPLE PositionHistorySa'!$A:$L,12,0)</f>
        <v/>
      </c>
      <c r="F1030" s="31" t="inlineStr">
        <is>
          <t>0.36</t>
        </is>
      </c>
      <c r="G1030" s="32">
        <f>VLOOKUP(A1030,Sheet3!A:K,10,0)/38</f>
        <v/>
      </c>
      <c r="H1030" s="32">
        <f>F1030-G1030</f>
        <v/>
      </c>
      <c r="I1030" s="29" t="n"/>
    </row>
    <row r="1031">
      <c r="A1031" s="29" t="inlineStr">
        <is>
          <t>AU23620</t>
        </is>
      </c>
      <c r="B1031" s="30" t="inlineStr">
        <is>
          <t>NSW-QLD</t>
        </is>
      </c>
      <c r="C1031" s="30" t="inlineStr">
        <is>
          <t>QN2025</t>
        </is>
      </c>
      <c r="D1031" s="30" t="inlineStr">
        <is>
          <t>Part time</t>
        </is>
      </c>
      <c r="E1031" s="42">
        <f>VLOOKUP(A1031,'[1]Virtus SAMPLE PositionHistorySa'!$A:$L,12,0)</f>
        <v/>
      </c>
      <c r="F1031" s="31" t="inlineStr">
        <is>
          <t>0.54</t>
        </is>
      </c>
      <c r="G1031" s="32" t="n"/>
      <c r="H1031" s="32" t="n"/>
      <c r="I1031" s="29" t="n"/>
    </row>
    <row r="1032">
      <c r="A1032" s="29" t="inlineStr">
        <is>
          <t>AU23636</t>
        </is>
      </c>
      <c r="B1032" s="30" t="inlineStr">
        <is>
          <t>NSW-QLD</t>
        </is>
      </c>
      <c r="C1032" s="30" t="inlineStr">
        <is>
          <t>IVFS2023</t>
        </is>
      </c>
      <c r="D1032" s="30">
        <f>VLOOKUP(A1032,Sheet3!A:E,5,0)</f>
        <v/>
      </c>
      <c r="E1032" s="42">
        <f>VLOOKUP(A1032,'[1]Virtus SAMPLE PositionHistorySa'!$A:$L,12,0)</f>
        <v/>
      </c>
      <c r="F1032" s="31" t="inlineStr">
        <is>
          <t>0.36</t>
        </is>
      </c>
      <c r="G1032" s="32" t="n"/>
      <c r="H1032" s="32" t="n"/>
      <c r="I1032" s="29" t="n"/>
    </row>
    <row r="1033">
      <c r="A1033" s="29" t="inlineStr">
        <is>
          <t>AU23648</t>
        </is>
      </c>
      <c r="B1033" s="30" t="inlineStr">
        <is>
          <t>VIC-TAS</t>
        </is>
      </c>
      <c r="C1033" s="30" t="inlineStr">
        <is>
          <t>IVFS2023</t>
        </is>
      </c>
      <c r="D1033" s="30" t="inlineStr">
        <is>
          <t>Casual</t>
        </is>
      </c>
      <c r="E1033" s="42">
        <f>VLOOKUP(A1033,'[1]Virtus SAMPLE PositionHistorySa'!$A:$L,12,0)</f>
        <v/>
      </c>
      <c r="F1033" s="31" t="inlineStr">
        <is>
          <t>0.36</t>
        </is>
      </c>
      <c r="G1033" s="32" t="n"/>
      <c r="H1033" s="32" t="n"/>
      <c r="I1033" s="29" t="n"/>
    </row>
    <row r="1034">
      <c r="A1034" s="29" t="inlineStr">
        <is>
          <t>AU23649</t>
        </is>
      </c>
      <c r="B1034" s="30" t="inlineStr">
        <is>
          <t>VIC-TAS</t>
        </is>
      </c>
      <c r="C1034" s="30" t="inlineStr">
        <is>
          <t>MIVFS2022</t>
        </is>
      </c>
      <c r="D1034" s="30" t="inlineStr">
        <is>
          <t>Casual</t>
        </is>
      </c>
      <c r="E1034" s="42">
        <f>VLOOKUP(A1034,'[1]Virtus SAMPLE PositionHistorySa'!$A:$L,12,0)</f>
        <v/>
      </c>
      <c r="F1034" s="31" t="inlineStr">
        <is>
          <t>0.36</t>
        </is>
      </c>
      <c r="G1034" s="32" t="n"/>
      <c r="H1034" s="32" t="n"/>
      <c r="I1034" s="29" t="n"/>
    </row>
    <row r="1035">
      <c r="A1035" s="29" t="inlineStr">
        <is>
          <t>AU23650</t>
        </is>
      </c>
      <c r="B1035" s="30" t="inlineStr">
        <is>
          <t>VIC-TAS</t>
        </is>
      </c>
      <c r="C1035" s="30" t="inlineStr">
        <is>
          <t>TIVF2024</t>
        </is>
      </c>
      <c r="D1035" s="30" t="inlineStr">
        <is>
          <t>Casual</t>
        </is>
      </c>
      <c r="E1035" s="42">
        <f>VLOOKUP(A1035,'[1]Virtus SAMPLE PositionHistorySa'!$A:$L,12,0)</f>
        <v/>
      </c>
      <c r="F1035" s="31" t="inlineStr">
        <is>
          <t>0.36</t>
        </is>
      </c>
      <c r="G1035" s="32" t="n"/>
      <c r="H1035" s="32" t="n"/>
      <c r="I1035" s="29" t="n"/>
    </row>
    <row r="1036">
      <c r="A1036" s="29" t="inlineStr">
        <is>
          <t>AU23680</t>
        </is>
      </c>
      <c r="B1036" s="30" t="inlineStr">
        <is>
          <t>NSW-QLD</t>
        </is>
      </c>
      <c r="C1036" s="30" t="inlineStr">
        <is>
          <t>IVFS2023</t>
        </is>
      </c>
      <c r="D1036" s="30" t="inlineStr">
        <is>
          <t>Casual</t>
        </is>
      </c>
      <c r="E1036" s="42">
        <f>VLOOKUP(A1036,'[1]Virtus SAMPLE PositionHistorySa'!$A:$L,12,0)</f>
        <v/>
      </c>
      <c r="F1036" s="31" t="inlineStr">
        <is>
          <t>0.36</t>
        </is>
      </c>
      <c r="G1036" s="32" t="n"/>
      <c r="H1036" s="32" t="n"/>
      <c r="I1036" s="29" t="n"/>
    </row>
    <row r="1037">
      <c r="A1037" s="29" t="inlineStr">
        <is>
          <t>AU23226</t>
        </is>
      </c>
      <c r="B1037" s="30" t="inlineStr">
        <is>
          <t>NSW-QLD</t>
        </is>
      </c>
      <c r="C1037" s="30" t="inlineStr">
        <is>
          <t>NSW</t>
        </is>
      </c>
      <c r="D1037" s="30" t="inlineStr">
        <is>
          <t>Full time</t>
        </is>
      </c>
      <c r="E1037" s="42">
        <f>VLOOKUP(A1037,'[1]Virtus SAMPLE PositionHistorySa'!$A:$L,12,0)</f>
        <v/>
      </c>
      <c r="F1037" s="31" t="inlineStr">
        <is>
          <t>1.23</t>
        </is>
      </c>
      <c r="G1037" s="32">
        <f>VLOOKUP(A1037,Sheet3!A:K,10,0)/38</f>
        <v/>
      </c>
      <c r="H1037" s="32">
        <f>F1037-G1037</f>
        <v/>
      </c>
      <c r="I1037" s="29" t="n"/>
    </row>
    <row r="1038">
      <c r="A1038" s="29" t="inlineStr">
        <is>
          <t>AU23223</t>
        </is>
      </c>
      <c r="B1038" s="30" t="inlineStr">
        <is>
          <t>NSW-QLD</t>
        </is>
      </c>
      <c r="C1038" s="30" t="inlineStr">
        <is>
          <t>IVFS2023</t>
        </is>
      </c>
      <c r="D1038" s="30" t="inlineStr">
        <is>
          <t>Full time</t>
        </is>
      </c>
      <c r="E1038" s="42">
        <f>VLOOKUP(A1038,'[1]Virtus SAMPLE PositionHistorySa'!$A:$L,12,0)</f>
        <v/>
      </c>
      <c r="F1038" s="31" t="inlineStr">
        <is>
          <t>1.23</t>
        </is>
      </c>
      <c r="G1038" s="32">
        <f>VLOOKUP(A1038,Sheet3!A:K,10,0)/38</f>
        <v/>
      </c>
      <c r="H1038" s="32">
        <f>F1038-G1038</f>
        <v/>
      </c>
      <c r="I1038" s="29" t="n"/>
    </row>
    <row r="1039">
      <c r="A1039" s="29" t="inlineStr">
        <is>
          <t>AU23196</t>
        </is>
      </c>
      <c r="B1039" s="30" t="inlineStr">
        <is>
          <t>NSW-QLD</t>
        </is>
      </c>
      <c r="C1039" s="30" t="inlineStr">
        <is>
          <t>QS2024</t>
        </is>
      </c>
      <c r="D1039" s="30" t="inlineStr">
        <is>
          <t>Full time</t>
        </is>
      </c>
      <c r="E1039" s="42">
        <f>VLOOKUP(A1039,'[1]Virtus SAMPLE PositionHistorySa'!$A:$L,12,0)</f>
        <v/>
      </c>
      <c r="F1039" s="31" t="inlineStr">
        <is>
          <t>1.23</t>
        </is>
      </c>
      <c r="G1039" s="32">
        <f>VLOOKUP(A1039,Sheet3!A:K,10,0)/38</f>
        <v/>
      </c>
      <c r="H1039" s="32">
        <f>F1039-G1039</f>
        <v/>
      </c>
      <c r="I1039" s="29" t="n"/>
    </row>
    <row r="1040">
      <c r="A1040" s="29" t="inlineStr">
        <is>
          <t>AU23215</t>
        </is>
      </c>
      <c r="B1040" s="30" t="inlineStr">
        <is>
          <t>NSW-QLD</t>
        </is>
      </c>
      <c r="C1040" s="30" t="inlineStr">
        <is>
          <t>QS2024</t>
        </is>
      </c>
      <c r="D1040" s="30" t="inlineStr">
        <is>
          <t>Part time</t>
        </is>
      </c>
      <c r="E1040" s="42">
        <f>VLOOKUP(A1040,'[1]Virtus SAMPLE PositionHistorySa'!$A:$L,12,0)</f>
        <v/>
      </c>
      <c r="F1040" s="31" t="inlineStr">
        <is>
          <t>1.23</t>
        </is>
      </c>
      <c r="G1040" s="32" t="n"/>
      <c r="H1040" s="32" t="n"/>
      <c r="I1040" s="29" t="n"/>
    </row>
    <row r="1041">
      <c r="A1041" s="29" t="inlineStr">
        <is>
          <t>AU23219</t>
        </is>
      </c>
      <c r="B1041" s="30" t="inlineStr">
        <is>
          <t>NSW-QLD</t>
        </is>
      </c>
      <c r="C1041" s="30" t="inlineStr">
        <is>
          <t>QN2025</t>
        </is>
      </c>
      <c r="D1041" s="30" t="inlineStr">
        <is>
          <t>Part time</t>
        </is>
      </c>
      <c r="E1041" s="42">
        <f>VLOOKUP(A1041,'[1]Virtus SAMPLE PositionHistorySa'!$A:$L,12,0)</f>
        <v/>
      </c>
      <c r="F1041" s="31" t="inlineStr">
        <is>
          <t>1.84</t>
        </is>
      </c>
      <c r="G1041" s="32" t="n"/>
      <c r="H1041" s="32" t="n"/>
      <c r="I1041" s="29" t="n"/>
    </row>
    <row r="1042">
      <c r="A1042" s="29" t="inlineStr">
        <is>
          <t>AU23221</t>
        </is>
      </c>
      <c r="B1042" s="30" t="inlineStr">
        <is>
          <t>NSW-QLD</t>
        </is>
      </c>
      <c r="C1042" s="30" t="inlineStr">
        <is>
          <t>NSW</t>
        </is>
      </c>
      <c r="D1042" s="30">
        <f>VLOOKUP(A1042,Sheet3!A:E,5,0)</f>
        <v/>
      </c>
      <c r="E1042" s="42">
        <f>VLOOKUP(A1042,'[1]Virtus SAMPLE PositionHistorySa'!$A:$L,12,0)</f>
        <v/>
      </c>
      <c r="F1042" s="31" t="inlineStr">
        <is>
          <t>1.23</t>
        </is>
      </c>
      <c r="G1042" s="32" t="n"/>
      <c r="H1042" s="32" t="n"/>
      <c r="I1042" s="29" t="n"/>
    </row>
    <row r="1043">
      <c r="A1043" s="29" t="n">
        <v>60104</v>
      </c>
      <c r="B1043" s="30" t="inlineStr">
        <is>
          <t>NSW-QLD</t>
        </is>
      </c>
      <c r="C1043" s="30" t="inlineStr">
        <is>
          <t>IVFS2023</t>
        </is>
      </c>
      <c r="D1043" s="30" t="inlineStr">
        <is>
          <t>Part time</t>
        </is>
      </c>
      <c r="E1043" s="42">
        <f>VLOOKUP(A1043,'[1]Virtus SAMPLE PositionHistorySa'!$A:$L,12,0)</f>
        <v/>
      </c>
      <c r="F1043" s="31" t="inlineStr">
        <is>
          <t>5.36</t>
        </is>
      </c>
      <c r="G1043" s="32" t="n"/>
      <c r="H1043" s="32" t="n"/>
      <c r="I1043" s="29" t="n"/>
    </row>
    <row r="1044">
      <c r="A1044" s="29" t="n">
        <v>746</v>
      </c>
      <c r="B1044" s="30" t="inlineStr">
        <is>
          <t>VIC-TAS</t>
        </is>
      </c>
      <c r="C1044" s="30" t="inlineStr">
        <is>
          <t>MIVFC2021</t>
        </is>
      </c>
      <c r="D1044" s="30" t="inlineStr">
        <is>
          <t>Part time</t>
        </is>
      </c>
      <c r="E1044" s="42">
        <f>VLOOKUP(A1044,'[1]Virtus SAMPLE PositionHistorySa'!$A:$L,12,0)</f>
        <v/>
      </c>
      <c r="F1044" s="31" t="inlineStr">
        <is>
          <t>21.51</t>
        </is>
      </c>
      <c r="G1044" s="32" t="n"/>
      <c r="H1044" s="32" t="n"/>
      <c r="I1044" s="29" t="n"/>
    </row>
    <row r="1045">
      <c r="A1045" s="29" t="inlineStr">
        <is>
          <t>AU22846</t>
        </is>
      </c>
      <c r="B1045" s="30" t="inlineStr">
        <is>
          <t>NSW-QLD</t>
        </is>
      </c>
      <c r="C1045" s="30" t="inlineStr">
        <is>
          <t>NSW</t>
        </is>
      </c>
      <c r="D1045" s="30" t="inlineStr">
        <is>
          <t>Full time</t>
        </is>
      </c>
      <c r="E1045" s="42">
        <f>VLOOKUP(A1045,'[1]Virtus SAMPLE PositionHistorySa'!$A:$L,12,0)</f>
        <v/>
      </c>
      <c r="F1045" s="31" t="inlineStr">
        <is>
          <t>2.09</t>
        </is>
      </c>
      <c r="G1045" s="32">
        <f>VLOOKUP(A1045,Sheet3!A:K,10,0)/38</f>
        <v/>
      </c>
      <c r="H1045" s="32">
        <f>F1045-G1045</f>
        <v/>
      </c>
      <c r="I1045" s="29" t="n"/>
    </row>
    <row r="1046">
      <c r="A1046" s="29" t="inlineStr">
        <is>
          <t>AU23230</t>
        </is>
      </c>
      <c r="B1046" s="30" t="inlineStr">
        <is>
          <t>NSW-QLD</t>
        </is>
      </c>
      <c r="C1046" s="30" t="inlineStr">
        <is>
          <t>IVFS2023</t>
        </is>
      </c>
      <c r="D1046" s="30" t="inlineStr">
        <is>
          <t>Full time</t>
        </is>
      </c>
      <c r="E1046" s="42">
        <f>VLOOKUP(A1046,'[1]Virtus SAMPLE PositionHistorySa'!$A:$L,12,0)</f>
        <v/>
      </c>
      <c r="F1046" s="31" t="inlineStr">
        <is>
          <t>1.22</t>
        </is>
      </c>
      <c r="G1046" s="32">
        <f>VLOOKUP(A1046,Sheet3!A:K,10,0)/38</f>
        <v/>
      </c>
      <c r="H1046" s="32">
        <f>F1046-G1046</f>
        <v/>
      </c>
      <c r="I1046" s="29" t="n"/>
    </row>
    <row r="1047">
      <c r="A1047" s="29" t="inlineStr">
        <is>
          <t>AU23664</t>
        </is>
      </c>
      <c r="B1047" s="30" t="inlineStr">
        <is>
          <t>VIC-TAS</t>
        </is>
      </c>
      <c r="C1047" s="30" t="inlineStr">
        <is>
          <t>MIVFS2022</t>
        </is>
      </c>
      <c r="D1047" s="30" t="inlineStr">
        <is>
          <t>Casual</t>
        </is>
      </c>
      <c r="E1047" s="42">
        <f>VLOOKUP(A1047,'[1]Virtus SAMPLE PositionHistorySa'!$A:$L,12,0)</f>
        <v/>
      </c>
      <c r="F1047" s="31" t="inlineStr">
        <is>
          <t>0.36</t>
        </is>
      </c>
      <c r="G1047" s="32" t="n"/>
      <c r="H1047" s="32" t="n"/>
      <c r="I1047" s="29" t="n"/>
    </row>
    <row r="1048">
      <c r="A1048" s="29" t="n">
        <v>40020</v>
      </c>
      <c r="B1048" s="30" t="inlineStr">
        <is>
          <t>NSW-QLD</t>
        </is>
      </c>
      <c r="C1048" s="30" t="inlineStr">
        <is>
          <t>IVFN2021</t>
        </is>
      </c>
      <c r="D1048" s="30" t="inlineStr">
        <is>
          <t>Part time</t>
        </is>
      </c>
      <c r="E1048" s="42">
        <f>VLOOKUP(A1048,'[1]Virtus SAMPLE PositionHistorySa'!$A:$L,12,0)</f>
        <v/>
      </c>
      <c r="F1048" s="31" t="inlineStr">
        <is>
          <t>13.27</t>
        </is>
      </c>
      <c r="G1048" s="32" t="n"/>
      <c r="H1048" s="32" t="n"/>
      <c r="I1048" s="29" t="n"/>
    </row>
    <row r="1049">
      <c r="A1049" s="29" t="n">
        <v>20109</v>
      </c>
      <c r="B1049" s="30" t="inlineStr">
        <is>
          <t>NSW-QLD</t>
        </is>
      </c>
      <c r="C1049" s="30" t="inlineStr">
        <is>
          <t>IVFT2024</t>
        </is>
      </c>
      <c r="D1049" s="30" t="inlineStr">
        <is>
          <t>Part time</t>
        </is>
      </c>
      <c r="E1049" s="42">
        <f>VLOOKUP(A1049,'[1]Virtus SAMPLE PositionHistorySa'!$A:$L,12,0)</f>
        <v/>
      </c>
      <c r="F1049" s="31" t="inlineStr">
        <is>
          <t>12.21</t>
        </is>
      </c>
      <c r="G1049" s="32" t="n"/>
      <c r="H1049" s="32" t="n"/>
      <c r="I1049" s="29" t="n"/>
    </row>
    <row r="1050">
      <c r="A1050" s="29" t="n">
        <v>40029</v>
      </c>
      <c r="B1050" s="30" t="inlineStr">
        <is>
          <t>NSW-QLD</t>
        </is>
      </c>
      <c r="C1050" s="30" t="inlineStr">
        <is>
          <t>IVFN2021</t>
        </is>
      </c>
      <c r="D1050" s="30" t="inlineStr">
        <is>
          <t>Full time</t>
        </is>
      </c>
      <c r="E1050" s="42">
        <f>VLOOKUP(A1050,'[1]Virtus SAMPLE PositionHistorySa'!$A:$L,12,0)</f>
        <v/>
      </c>
      <c r="F1050" s="31" t="inlineStr">
        <is>
          <t>11.49</t>
        </is>
      </c>
      <c r="G1050" s="32">
        <f>VLOOKUP(A1050,Sheet3!A:K,10,0)/38</f>
        <v/>
      </c>
      <c r="H1050" s="32">
        <f>F1050-G1050</f>
        <v/>
      </c>
      <c r="I1050" s="29" t="n"/>
    </row>
    <row r="1051">
      <c r="A1051" s="29" t="n">
        <v>50217</v>
      </c>
      <c r="B1051" s="30" t="inlineStr">
        <is>
          <t>NSW-QLD</t>
        </is>
      </c>
      <c r="C1051" s="30" t="inlineStr">
        <is>
          <t>IVFN2021</t>
        </is>
      </c>
      <c r="D1051" s="30" t="inlineStr">
        <is>
          <t>Casual</t>
        </is>
      </c>
      <c r="E1051" s="42">
        <f>VLOOKUP(A1051,'[1]Virtus SAMPLE PositionHistorySa'!$A:$L,12,0)</f>
        <v/>
      </c>
      <c r="F1051" s="31" t="inlineStr">
        <is>
          <t>2.95</t>
        </is>
      </c>
      <c r="G1051" s="32" t="n"/>
      <c r="H1051" s="32" t="n"/>
      <c r="I1051" s="29" t="n"/>
    </row>
    <row r="1052">
      <c r="A1052" s="29" t="n">
        <v>80101</v>
      </c>
      <c r="B1052" s="30" t="inlineStr">
        <is>
          <t>NSW-QLD</t>
        </is>
      </c>
      <c r="C1052" s="30" t="inlineStr">
        <is>
          <t>QS2024</t>
        </is>
      </c>
      <c r="D1052" s="30" t="inlineStr">
        <is>
          <t>Full time</t>
        </is>
      </c>
      <c r="E1052" s="42">
        <f>VLOOKUP(A1052,'[1]Virtus SAMPLE PositionHistorySa'!$A:$L,12,0)</f>
        <v/>
      </c>
      <c r="F1052" s="31" t="inlineStr">
        <is>
          <t>3.62</t>
        </is>
      </c>
      <c r="G1052" s="32">
        <f>VLOOKUP(A1052,Sheet3!A:K,10,0)/38</f>
        <v/>
      </c>
      <c r="H1052" s="32">
        <f>F1052-G1052</f>
        <v/>
      </c>
      <c r="I1052" s="29" t="n"/>
    </row>
    <row r="1053">
      <c r="A1053" s="29" t="n">
        <v>80330</v>
      </c>
      <c r="B1053" s="30" t="inlineStr">
        <is>
          <t>NSW-QLD</t>
        </is>
      </c>
      <c r="C1053" s="30" t="inlineStr">
        <is>
          <t>QN2025</t>
        </is>
      </c>
      <c r="D1053" s="30" t="inlineStr">
        <is>
          <t>Part time</t>
        </is>
      </c>
      <c r="E1053" s="42">
        <f>VLOOKUP(A1053,'[1]Virtus SAMPLE PositionHistorySa'!$A:$L,12,0)</f>
        <v/>
      </c>
      <c r="F1053" s="31" t="inlineStr">
        <is>
          <t>8.33</t>
        </is>
      </c>
      <c r="G1053" s="32" t="n"/>
      <c r="H1053" s="32" t="n"/>
      <c r="I1053" s="29" t="n"/>
    </row>
    <row r="1054">
      <c r="A1054" s="29" t="n">
        <v>286</v>
      </c>
      <c r="B1054" s="30" t="inlineStr">
        <is>
          <t>VIC-TAS</t>
        </is>
      </c>
      <c r="C1054" s="30" t="inlineStr">
        <is>
          <t>MIVFS2022</t>
        </is>
      </c>
      <c r="D1054" s="30" t="inlineStr">
        <is>
          <t>Full time</t>
        </is>
      </c>
      <c r="E1054" s="42">
        <f>VLOOKUP(A1054,'[1]Virtus SAMPLE PositionHistorySa'!$A:$L,12,0)</f>
        <v/>
      </c>
      <c r="F1054" s="31" t="inlineStr">
        <is>
          <t>28.43</t>
        </is>
      </c>
      <c r="G1054" s="32">
        <f>VLOOKUP(A1054,Sheet3!A:K,10,0)/38</f>
        <v/>
      </c>
      <c r="H1054" s="32">
        <f>F1054-G1054</f>
        <v/>
      </c>
      <c r="I1054" s="29" t="n"/>
    </row>
    <row r="1055">
      <c r="A1055" s="29" t="n">
        <v>30017</v>
      </c>
      <c r="B1055" s="30" t="inlineStr">
        <is>
          <t>NSW-QLD</t>
        </is>
      </c>
      <c r="C1055" s="30" t="inlineStr">
        <is>
          <t>IVFN2021</t>
        </is>
      </c>
      <c r="D1055" s="30" t="inlineStr">
        <is>
          <t>Part time</t>
        </is>
      </c>
      <c r="E1055" s="42">
        <f>VLOOKUP(A1055,'[1]Virtus SAMPLE PositionHistorySa'!$A:$L,12,0)</f>
        <v/>
      </c>
      <c r="F1055" s="31" t="inlineStr">
        <is>
          <t>0.00</t>
        </is>
      </c>
      <c r="G1055" s="32" t="n"/>
      <c r="H1055" s="32" t="n"/>
      <c r="I1055" s="29" t="n"/>
    </row>
    <row r="1056">
      <c r="A1056" s="29" t="n">
        <v>80348</v>
      </c>
      <c r="B1056" s="30" t="inlineStr">
        <is>
          <t>NSW-QLD</t>
        </is>
      </c>
      <c r="C1056" s="30" t="inlineStr">
        <is>
          <t>QS2024</t>
        </is>
      </c>
      <c r="D1056" s="30" t="inlineStr">
        <is>
          <t>Full time</t>
        </is>
      </c>
      <c r="E1056" s="42">
        <f>VLOOKUP(A1056,'[1]Virtus SAMPLE PositionHistorySa'!$A:$L,12,0)</f>
        <v/>
      </c>
      <c r="F1056" s="31" t="inlineStr">
        <is>
          <t>4.68</t>
        </is>
      </c>
      <c r="G1056" s="32">
        <f>VLOOKUP(A1056,Sheet3!A:K,10,0)/38</f>
        <v/>
      </c>
      <c r="H1056" s="32">
        <f>F1056-G1056</f>
        <v/>
      </c>
      <c r="I1056" s="29" t="n"/>
    </row>
    <row r="1057">
      <c r="A1057" s="29" t="inlineStr">
        <is>
          <t>AU23656</t>
        </is>
      </c>
      <c r="B1057" s="30" t="inlineStr">
        <is>
          <t>NSW-QLD</t>
        </is>
      </c>
      <c r="C1057" s="30" t="inlineStr">
        <is>
          <t>IVFN2021</t>
        </is>
      </c>
      <c r="D1057" s="30" t="inlineStr">
        <is>
          <t>Casual</t>
        </is>
      </c>
      <c r="E1057" s="42">
        <f>VLOOKUP(A1057,'[1]Virtus SAMPLE PositionHistorySa'!$A:$L,12,0)</f>
        <v/>
      </c>
      <c r="F1057" s="31" t="inlineStr">
        <is>
          <t>0.35</t>
        </is>
      </c>
      <c r="G1057" s="32" t="n"/>
      <c r="H1057" s="32" t="n"/>
      <c r="I1057" s="29" t="n"/>
    </row>
    <row r="1058">
      <c r="A1058" s="29" t="inlineStr">
        <is>
          <t>AU23657</t>
        </is>
      </c>
      <c r="B1058" s="30" t="inlineStr">
        <is>
          <t>NSW-QLD</t>
        </is>
      </c>
      <c r="C1058" s="30" t="inlineStr">
        <is>
          <t>IVFN2021</t>
        </is>
      </c>
      <c r="D1058" s="30" t="inlineStr">
        <is>
          <t>Part time</t>
        </is>
      </c>
      <c r="E1058" s="42">
        <f>VLOOKUP(A1058,'[1]Virtus SAMPLE PositionHistorySa'!$A:$L,12,0)</f>
        <v/>
      </c>
      <c r="F1058" s="31" t="inlineStr">
        <is>
          <t>0.35</t>
        </is>
      </c>
      <c r="G1058" s="32" t="n"/>
      <c r="H1058" s="32" t="n"/>
      <c r="I1058" s="29" t="n"/>
    </row>
    <row r="1059">
      <c r="A1059" s="29" t="inlineStr">
        <is>
          <t>AU23661</t>
        </is>
      </c>
      <c r="B1059" s="30" t="inlineStr">
        <is>
          <t>VIC-TAS</t>
        </is>
      </c>
      <c r="C1059" s="30" t="inlineStr">
        <is>
          <t>VIC</t>
        </is>
      </c>
      <c r="D1059" s="30" t="inlineStr">
        <is>
          <t>Casual</t>
        </is>
      </c>
      <c r="E1059" s="42">
        <f>VLOOKUP(A1059,'[1]Virtus SAMPLE PositionHistorySa'!$A:$L,12,0)</f>
        <v/>
      </c>
      <c r="F1059" s="31" t="inlineStr">
        <is>
          <t>0.35</t>
        </is>
      </c>
      <c r="G1059" s="32" t="n"/>
      <c r="H1059" s="32" t="n"/>
      <c r="I1059" s="29" t="n"/>
    </row>
    <row r="1060">
      <c r="A1060" s="29" t="inlineStr">
        <is>
          <t>AU23662</t>
        </is>
      </c>
      <c r="B1060" s="30" t="inlineStr">
        <is>
          <t>NSW-QLD</t>
        </is>
      </c>
      <c r="C1060" s="30" t="inlineStr">
        <is>
          <t>IVFS2023</t>
        </is>
      </c>
      <c r="D1060" s="30" t="inlineStr">
        <is>
          <t>Part time</t>
        </is>
      </c>
      <c r="E1060" s="42">
        <f>VLOOKUP(A1060,'[1]Virtus SAMPLE PositionHistorySa'!$A:$L,12,0)</f>
        <v/>
      </c>
      <c r="F1060" s="31" t="inlineStr">
        <is>
          <t>0.35</t>
        </is>
      </c>
      <c r="G1060" s="32" t="n"/>
      <c r="H1060" s="32" t="n"/>
      <c r="I1060" s="29" t="n"/>
    </row>
    <row r="1061">
      <c r="A1061" s="29" t="inlineStr">
        <is>
          <t>AU23665</t>
        </is>
      </c>
      <c r="B1061" s="30" t="inlineStr">
        <is>
          <t>VIC-TAS</t>
        </is>
      </c>
      <c r="C1061" s="30" t="inlineStr">
        <is>
          <t>MIVFS2022</t>
        </is>
      </c>
      <c r="D1061" s="30" t="inlineStr">
        <is>
          <t>Part time</t>
        </is>
      </c>
      <c r="E1061" s="42">
        <f>VLOOKUP(A1061,'[1]Virtus SAMPLE PositionHistorySa'!$A:$L,12,0)</f>
        <v/>
      </c>
      <c r="F1061" s="31" t="inlineStr">
        <is>
          <t>0.35</t>
        </is>
      </c>
      <c r="G1061" s="32" t="n"/>
      <c r="H1061" s="32" t="n"/>
      <c r="I1061" s="29" t="n"/>
    </row>
    <row r="1062">
      <c r="A1062" s="29" t="inlineStr">
        <is>
          <t>AU23666</t>
        </is>
      </c>
      <c r="B1062" s="30" t="inlineStr">
        <is>
          <t>VIC-TAS</t>
        </is>
      </c>
      <c r="C1062" s="30" t="inlineStr">
        <is>
          <t>MIVFS2022</t>
        </is>
      </c>
      <c r="D1062" s="30" t="inlineStr">
        <is>
          <t>Casual</t>
        </is>
      </c>
      <c r="E1062" s="42">
        <f>VLOOKUP(A1062,'[1]Virtus SAMPLE PositionHistorySa'!$A:$L,12,0)</f>
        <v/>
      </c>
      <c r="F1062" s="31" t="inlineStr">
        <is>
          <t>0.35</t>
        </is>
      </c>
      <c r="G1062" s="32" t="n"/>
      <c r="H1062" s="32" t="n"/>
      <c r="I1062" s="29" t="n"/>
    </row>
    <row r="1063">
      <c r="A1063" s="29" t="n">
        <v>80315</v>
      </c>
      <c r="B1063" s="30" t="inlineStr">
        <is>
          <t>NSW-QLD</t>
        </is>
      </c>
      <c r="C1063" s="30" t="inlineStr">
        <is>
          <t>QS2024</t>
        </is>
      </c>
      <c r="D1063" s="30" t="inlineStr">
        <is>
          <t>Full time</t>
        </is>
      </c>
      <c r="E1063" s="42">
        <f>VLOOKUP(A1063,'[1]Virtus SAMPLE PositionHistorySa'!$A:$L,12,0)</f>
        <v/>
      </c>
      <c r="F1063" s="31" t="inlineStr">
        <is>
          <t>5.55</t>
        </is>
      </c>
      <c r="G1063" s="32">
        <f>VLOOKUP(A1063,Sheet3!A:K,10,0)/38</f>
        <v/>
      </c>
      <c r="H1063" s="32">
        <f>F1063-G1063</f>
        <v/>
      </c>
      <c r="I1063" s="29" t="n"/>
    </row>
    <row r="1064">
      <c r="A1064" s="29" t="n">
        <v>100043</v>
      </c>
      <c r="B1064" s="30" t="inlineStr">
        <is>
          <t>NSW-QLD</t>
        </is>
      </c>
      <c r="C1064" s="30" t="inlineStr">
        <is>
          <t>IVFN2021</t>
        </is>
      </c>
      <c r="D1064" s="30" t="inlineStr">
        <is>
          <t>Part time</t>
        </is>
      </c>
      <c r="E1064" s="42">
        <f>VLOOKUP(A1064,'[1]Virtus SAMPLE PositionHistorySa'!$A:$L,12,0)</f>
        <v/>
      </c>
      <c r="F1064" s="31" t="inlineStr">
        <is>
          <t>3.81</t>
        </is>
      </c>
      <c r="G1064" s="32" t="n"/>
      <c r="H1064" s="32" t="n"/>
      <c r="I1064" s="29" t="n"/>
    </row>
    <row r="1065">
      <c r="A1065" s="29" t="n">
        <v>60046</v>
      </c>
      <c r="B1065" s="30" t="inlineStr">
        <is>
          <t>NSW-QLD</t>
        </is>
      </c>
      <c r="C1065" s="30" t="inlineStr">
        <is>
          <t>QN2025</t>
        </is>
      </c>
      <c r="D1065" s="30" t="inlineStr">
        <is>
          <t>Casual</t>
        </is>
      </c>
      <c r="E1065" s="42">
        <f>VLOOKUP(A1065,'[1]Virtus SAMPLE PositionHistorySa'!$A:$L,12,0)</f>
        <v/>
      </c>
      <c r="F1065" s="31" t="inlineStr">
        <is>
          <t>5.72</t>
        </is>
      </c>
      <c r="G1065" s="32" t="n"/>
      <c r="H1065" s="32" t="n"/>
      <c r="I1065" s="29" t="n"/>
    </row>
    <row r="1066">
      <c r="A1066" s="29" t="inlineStr">
        <is>
          <t>AU23228</t>
        </is>
      </c>
      <c r="B1066" s="30" t="inlineStr">
        <is>
          <t>NSW-QLD</t>
        </is>
      </c>
      <c r="C1066" s="30" t="inlineStr">
        <is>
          <t>IVFS2023</t>
        </is>
      </c>
      <c r="D1066" s="30" t="inlineStr">
        <is>
          <t>Full time</t>
        </is>
      </c>
      <c r="E1066" s="42">
        <f>VLOOKUP(A1066,'[1]Virtus SAMPLE PositionHistorySa'!$A:$L,12,0)</f>
        <v/>
      </c>
      <c r="F1066" s="31" t="inlineStr">
        <is>
          <t>1.21</t>
        </is>
      </c>
      <c r="G1066" s="32">
        <f>VLOOKUP(A1066,Sheet3!A:K,10,0)/38</f>
        <v/>
      </c>
      <c r="H1066" s="32">
        <f>F1066-G1066</f>
        <v/>
      </c>
      <c r="I1066" s="29" t="n"/>
    </row>
    <row r="1067">
      <c r="A1067" s="29" t="inlineStr">
        <is>
          <t>AU23222</t>
        </is>
      </c>
      <c r="B1067" s="30" t="inlineStr">
        <is>
          <t>NSW-QLD</t>
        </is>
      </c>
      <c r="C1067" s="30" t="inlineStr">
        <is>
          <t>NSW</t>
        </is>
      </c>
      <c r="D1067" s="30" t="inlineStr">
        <is>
          <t>Full time</t>
        </is>
      </c>
      <c r="E1067" s="42">
        <f>VLOOKUP(A1067,'[1]Virtus SAMPLE PositionHistorySa'!$A:$L,12,0)</f>
        <v/>
      </c>
      <c r="F1067" s="31" t="inlineStr">
        <is>
          <t>1.21</t>
        </is>
      </c>
      <c r="G1067" s="32">
        <f>VLOOKUP(A1067,Sheet3!A:K,10,0)/38</f>
        <v/>
      </c>
      <c r="H1067" s="32">
        <f>F1067-G1067</f>
        <v/>
      </c>
      <c r="I1067" s="29" t="n"/>
    </row>
    <row r="1068">
      <c r="A1068" s="29" t="inlineStr">
        <is>
          <t>AU23229</t>
        </is>
      </c>
      <c r="B1068" s="30" t="inlineStr">
        <is>
          <t>NSW-QLD</t>
        </is>
      </c>
      <c r="C1068" s="30" t="inlineStr">
        <is>
          <t>IVFN2021</t>
        </is>
      </c>
      <c r="D1068" s="30" t="inlineStr">
        <is>
          <t>Casual</t>
        </is>
      </c>
      <c r="E1068" s="42">
        <f>VLOOKUP(A1068,'[1]Virtus SAMPLE PositionHistorySa'!$A:$L,12,0)</f>
        <v/>
      </c>
      <c r="F1068" s="31" t="inlineStr">
        <is>
          <t>1.21</t>
        </is>
      </c>
      <c r="G1068" s="32" t="n"/>
      <c r="H1068" s="32" t="n"/>
      <c r="I1068" s="29" t="n"/>
    </row>
    <row r="1069">
      <c r="A1069" s="29" t="inlineStr">
        <is>
          <t>AU23235</t>
        </is>
      </c>
      <c r="B1069" s="30" t="inlineStr">
        <is>
          <t>NSW-QLD</t>
        </is>
      </c>
      <c r="C1069" s="30" t="inlineStr">
        <is>
          <t>IVFS2023</t>
        </is>
      </c>
      <c r="D1069" s="30" t="inlineStr">
        <is>
          <t>Casual</t>
        </is>
      </c>
      <c r="E1069" s="42">
        <f>VLOOKUP(A1069,'[1]Virtus SAMPLE PositionHistorySa'!$A:$L,12,0)</f>
        <v/>
      </c>
      <c r="F1069" s="31" t="inlineStr">
        <is>
          <t>1.21</t>
        </is>
      </c>
      <c r="G1069" s="32" t="n"/>
      <c r="H1069" s="32" t="n"/>
      <c r="I1069" s="29" t="n"/>
    </row>
    <row r="1070">
      <c r="A1070" s="29" t="inlineStr">
        <is>
          <t>AU23250</t>
        </is>
      </c>
      <c r="B1070" s="30" t="inlineStr">
        <is>
          <t>NSW-QLD</t>
        </is>
      </c>
      <c r="C1070" s="30" t="inlineStr">
        <is>
          <t>IVFN2021</t>
        </is>
      </c>
      <c r="D1070" s="30" t="inlineStr">
        <is>
          <t>Casual</t>
        </is>
      </c>
      <c r="E1070" s="42">
        <f>VLOOKUP(A1070,'[1]Virtus SAMPLE PositionHistorySa'!$A:$L,12,0)</f>
        <v/>
      </c>
      <c r="F1070" s="31" t="inlineStr">
        <is>
          <t>1.21</t>
        </is>
      </c>
      <c r="G1070" s="32" t="n"/>
      <c r="H1070" s="32" t="n"/>
      <c r="I1070" s="29" t="n"/>
    </row>
    <row r="1071">
      <c r="A1071" s="29" t="inlineStr">
        <is>
          <t>AU23639</t>
        </is>
      </c>
      <c r="B1071" s="30" t="inlineStr">
        <is>
          <t>NSW-QLD</t>
        </is>
      </c>
      <c r="C1071" s="30" t="inlineStr">
        <is>
          <t>QN2025</t>
        </is>
      </c>
      <c r="D1071" s="30" t="inlineStr">
        <is>
          <t>Part time</t>
        </is>
      </c>
      <c r="E1071" s="42">
        <f>VLOOKUP(A1071,'[1]Virtus SAMPLE PositionHistorySa'!$A:$L,12,0)</f>
        <v/>
      </c>
      <c r="F1071" s="31" t="inlineStr">
        <is>
          <t>0.52</t>
        </is>
      </c>
      <c r="G1071" s="32" t="n"/>
      <c r="H1071" s="32" t="n"/>
      <c r="I1071" s="29" t="n"/>
    </row>
    <row r="1072">
      <c r="A1072" s="29" t="inlineStr">
        <is>
          <t>AU23671</t>
        </is>
      </c>
      <c r="B1072" s="30" t="inlineStr">
        <is>
          <t>NSW-QLD</t>
        </is>
      </c>
      <c r="C1072" s="30" t="inlineStr">
        <is>
          <t>QN2025</t>
        </is>
      </c>
      <c r="D1072" s="30" t="inlineStr">
        <is>
          <t>Casual</t>
        </is>
      </c>
      <c r="E1072" s="42">
        <f>VLOOKUP(A1072,'[1]Virtus SAMPLE PositionHistorySa'!$A:$L,12,0)</f>
        <v/>
      </c>
      <c r="F1072" s="31" t="inlineStr">
        <is>
          <t>0.52</t>
        </is>
      </c>
      <c r="G1072" s="32" t="n"/>
      <c r="H1072" s="32" t="n"/>
      <c r="I1072" s="29" t="n"/>
    </row>
    <row r="1073">
      <c r="A1073" s="29" t="n">
        <v>80116</v>
      </c>
      <c r="B1073" s="30" t="inlineStr">
        <is>
          <t>NSW-QLD</t>
        </is>
      </c>
      <c r="C1073" s="30" t="inlineStr">
        <is>
          <t>QS2024</t>
        </is>
      </c>
      <c r="D1073" s="30" t="inlineStr">
        <is>
          <t>Full time</t>
        </is>
      </c>
      <c r="E1073" s="42">
        <f>VLOOKUP(A1073,'[1]Virtus SAMPLE PositionHistorySa'!$A:$L,12,0)</f>
        <v/>
      </c>
      <c r="F1073" s="31" t="inlineStr">
        <is>
          <t>6.14</t>
        </is>
      </c>
      <c r="G1073" s="32">
        <f>VLOOKUP(A1073,Sheet3!A:K,10,0)/38</f>
        <v/>
      </c>
      <c r="H1073" s="32">
        <f>F1073-G1073</f>
        <v/>
      </c>
      <c r="I1073" s="29" t="n"/>
    </row>
    <row r="1074">
      <c r="A1074" s="29" t="inlineStr">
        <is>
          <t>AU23658</t>
        </is>
      </c>
      <c r="B1074" s="30" t="inlineStr">
        <is>
          <t>VIC-TAS</t>
        </is>
      </c>
      <c r="C1074" s="30" t="inlineStr">
        <is>
          <t>VIC</t>
        </is>
      </c>
      <c r="D1074" s="30">
        <f>VLOOKUP(A1074,Sheet3!A:E,5,0)</f>
        <v/>
      </c>
      <c r="E1074" s="42">
        <f>VLOOKUP(A1074,'[1]Virtus SAMPLE PositionHistorySa'!$A:$L,12,0)</f>
        <v/>
      </c>
      <c r="F1074" s="31" t="inlineStr">
        <is>
          <t>0.34</t>
        </is>
      </c>
      <c r="G1074" s="32" t="n"/>
      <c r="H1074" s="32" t="n"/>
      <c r="I1074" s="29" t="n"/>
    </row>
    <row r="1075">
      <c r="A1075" s="29" t="n">
        <v>90098</v>
      </c>
      <c r="B1075" s="30" t="inlineStr">
        <is>
          <t>NSW-QLD</t>
        </is>
      </c>
      <c r="C1075" s="30" t="inlineStr">
        <is>
          <t>IVFS2023</t>
        </is>
      </c>
      <c r="D1075" s="30" t="inlineStr">
        <is>
          <t>Casual</t>
        </is>
      </c>
      <c r="E1075" s="42">
        <f>VLOOKUP(A1075,'[1]Virtus SAMPLE PositionHistorySa'!$A:$L,12,0)</f>
        <v/>
      </c>
      <c r="F1075" s="31" t="inlineStr">
        <is>
          <t>5.54</t>
        </is>
      </c>
      <c r="G1075" s="32" t="n"/>
      <c r="H1075" s="32" t="n"/>
      <c r="I1075" s="29" t="n"/>
    </row>
    <row r="1076">
      <c r="A1076" s="29" t="inlineStr">
        <is>
          <t>AU23240</t>
        </is>
      </c>
      <c r="B1076" s="30" t="inlineStr">
        <is>
          <t>NSW-QLD</t>
        </is>
      </c>
      <c r="C1076" s="30" t="inlineStr">
        <is>
          <t>NSW</t>
        </is>
      </c>
      <c r="D1076" s="30" t="inlineStr">
        <is>
          <t>Full time</t>
        </is>
      </c>
      <c r="E1076" s="42">
        <f>VLOOKUP(A1076,'[1]Virtus SAMPLE PositionHistorySa'!$A:$L,12,0)</f>
        <v/>
      </c>
      <c r="F1076" s="31" t="inlineStr">
        <is>
          <t>1.21</t>
        </is>
      </c>
      <c r="G1076" s="32">
        <f>VLOOKUP(A1076,Sheet3!A:K,10,0)/38</f>
        <v/>
      </c>
      <c r="H1076" s="32">
        <f>F1076-G1076</f>
        <v/>
      </c>
      <c r="I1076" s="29" t="n"/>
    </row>
    <row r="1077">
      <c r="A1077" s="29" t="inlineStr">
        <is>
          <t>AU23672</t>
        </is>
      </c>
      <c r="B1077" s="30" t="inlineStr">
        <is>
          <t>VIC-TAS</t>
        </is>
      </c>
      <c r="C1077" s="30" t="inlineStr">
        <is>
          <t>VIC</t>
        </is>
      </c>
      <c r="D1077" s="30" t="inlineStr">
        <is>
          <t>Full time</t>
        </is>
      </c>
      <c r="E1077" s="42">
        <f>VLOOKUP(A1077,'[1]Virtus SAMPLE PositionHistorySa'!$A:$L,12,0)</f>
        <v/>
      </c>
      <c r="F1077" s="31" t="inlineStr">
        <is>
          <t>0.34</t>
        </is>
      </c>
      <c r="G1077" s="32">
        <f>VLOOKUP(A1077,Sheet3!A:K,10,0)/38</f>
        <v/>
      </c>
      <c r="H1077" s="32">
        <f>F1077-G1077</f>
        <v/>
      </c>
      <c r="I1077" s="29" t="n"/>
    </row>
    <row r="1078">
      <c r="A1078" s="29" t="n">
        <v>90040</v>
      </c>
      <c r="B1078" s="30" t="inlineStr">
        <is>
          <t>NSW-QLD</t>
        </is>
      </c>
      <c r="C1078" s="30" t="inlineStr">
        <is>
          <t>IVFS2023</t>
        </is>
      </c>
      <c r="D1078" s="30" t="inlineStr">
        <is>
          <t>Full time</t>
        </is>
      </c>
      <c r="E1078" s="42">
        <f>VLOOKUP(A1078,'[1]Virtus SAMPLE PositionHistorySa'!$A:$L,12,0)</f>
        <v/>
      </c>
      <c r="F1078" s="31" t="inlineStr">
        <is>
          <t>8.14</t>
        </is>
      </c>
      <c r="G1078" s="32">
        <f>VLOOKUP(A1078,Sheet3!A:K,10,0)/38</f>
        <v/>
      </c>
      <c r="H1078" s="32">
        <f>F1078-G1078</f>
        <v/>
      </c>
      <c r="I1078" s="29" t="n"/>
    </row>
    <row r="1079">
      <c r="A1079" s="29" t="n">
        <v>30382</v>
      </c>
      <c r="B1079" s="30" t="inlineStr">
        <is>
          <t>NSW-QLD</t>
        </is>
      </c>
      <c r="C1079" s="30" t="inlineStr">
        <is>
          <t>IVFN2021</t>
        </is>
      </c>
      <c r="D1079" s="30" t="inlineStr">
        <is>
          <t>Full time</t>
        </is>
      </c>
      <c r="E1079" s="42">
        <f>VLOOKUP(A1079,'[1]Virtus SAMPLE PositionHistorySa'!$A:$L,12,0)</f>
        <v/>
      </c>
      <c r="F1079" s="31" t="inlineStr">
        <is>
          <t>2.94</t>
        </is>
      </c>
      <c r="G1079" s="32">
        <f>VLOOKUP(A1079,Sheet3!A:K,10,0)/38</f>
        <v/>
      </c>
      <c r="H1079" s="32">
        <f>F1079-G1079</f>
        <v/>
      </c>
      <c r="I1079" s="29" t="n"/>
    </row>
    <row r="1080">
      <c r="A1080" s="29" t="n">
        <v>20575</v>
      </c>
      <c r="B1080" s="30" t="inlineStr">
        <is>
          <t>NSW-QLD</t>
        </is>
      </c>
      <c r="C1080" s="30" t="inlineStr">
        <is>
          <t>IVFS2023</t>
        </is>
      </c>
      <c r="D1080" s="30" t="inlineStr">
        <is>
          <t>Full time</t>
        </is>
      </c>
      <c r="E1080" s="42">
        <f>VLOOKUP(A1080,'[1]Virtus SAMPLE PositionHistorySa'!$A:$L,12,0)</f>
        <v/>
      </c>
      <c r="F1080" s="31" t="inlineStr">
        <is>
          <t>7.24</t>
        </is>
      </c>
      <c r="G1080" s="32">
        <f>VLOOKUP(A1080,Sheet3!A:K,10,0)/38</f>
        <v/>
      </c>
      <c r="H1080" s="32">
        <f>F1080-G1080</f>
        <v/>
      </c>
      <c r="I1080" s="29" t="n"/>
    </row>
    <row r="1081">
      <c r="A1081" s="29" t="n">
        <v>50115</v>
      </c>
      <c r="B1081" s="30" t="inlineStr">
        <is>
          <t>NSW-QLD</t>
        </is>
      </c>
      <c r="C1081" s="30" t="inlineStr">
        <is>
          <t>IVFN2021</t>
        </is>
      </c>
      <c r="D1081" s="30" t="inlineStr">
        <is>
          <t>Casual</t>
        </is>
      </c>
      <c r="E1081" s="42">
        <f>VLOOKUP(A1081,'[1]Virtus SAMPLE PositionHistorySa'!$A:$L,12,0)</f>
        <v/>
      </c>
      <c r="F1081" s="31" t="inlineStr">
        <is>
          <t>6.37</t>
        </is>
      </c>
      <c r="G1081" s="32" t="n"/>
      <c r="H1081" s="32" t="n"/>
      <c r="I1081" s="29" t="n"/>
    </row>
    <row r="1082">
      <c r="A1082" s="29" t="n">
        <v>80471</v>
      </c>
      <c r="B1082" s="30" t="inlineStr">
        <is>
          <t>NSW-QLD</t>
        </is>
      </c>
      <c r="C1082" s="30" t="inlineStr">
        <is>
          <t>IVFS2023</t>
        </is>
      </c>
      <c r="D1082" s="30" t="inlineStr">
        <is>
          <t>Full time</t>
        </is>
      </c>
      <c r="E1082" s="42">
        <f>VLOOKUP(A1082,'[1]Virtus SAMPLE PositionHistorySa'!$A:$L,12,0)</f>
        <v/>
      </c>
      <c r="F1082" s="31" t="inlineStr">
        <is>
          <t>2.90</t>
        </is>
      </c>
      <c r="G1082" s="32">
        <f>VLOOKUP(A1082,Sheet3!A:K,10,0)/38</f>
        <v/>
      </c>
      <c r="H1082" s="32">
        <f>F1082-G1082</f>
        <v/>
      </c>
      <c r="I1082" s="29" t="n"/>
    </row>
    <row r="1083">
      <c r="A1083" s="29" t="n">
        <v>20939</v>
      </c>
      <c r="B1083" s="30" t="inlineStr">
        <is>
          <t>NSW-QLD</t>
        </is>
      </c>
      <c r="C1083" s="30" t="inlineStr">
        <is>
          <t>IVFN2021</t>
        </is>
      </c>
      <c r="D1083" s="30" t="inlineStr">
        <is>
          <t>Full time</t>
        </is>
      </c>
      <c r="E1083" s="42">
        <f>VLOOKUP(A1083,'[1]Virtus SAMPLE PositionHistorySa'!$A:$L,12,0)</f>
        <v/>
      </c>
      <c r="F1083" s="31" t="inlineStr">
        <is>
          <t>2.90</t>
        </is>
      </c>
      <c r="G1083" s="32">
        <f>VLOOKUP(A1083,Sheet3!A:K,10,0)/38</f>
        <v/>
      </c>
      <c r="H1083" s="32">
        <f>F1083-G1083</f>
        <v/>
      </c>
      <c r="I1083" s="29" t="n"/>
    </row>
    <row r="1084">
      <c r="A1084" s="29" t="inlineStr">
        <is>
          <t>AU22876</t>
        </is>
      </c>
      <c r="B1084" s="30" t="inlineStr">
        <is>
          <t>NSW-QLD</t>
        </is>
      </c>
      <c r="C1084" s="30" t="inlineStr">
        <is>
          <t>QN2025</t>
        </is>
      </c>
      <c r="D1084" s="30" t="inlineStr">
        <is>
          <t>Part time</t>
        </is>
      </c>
      <c r="E1084" s="42">
        <f>VLOOKUP(A1084,'[1]Virtus SAMPLE PositionHistorySa'!$A:$L,12,0)</f>
        <v/>
      </c>
      <c r="F1084" s="31" t="inlineStr">
        <is>
          <t>3.06</t>
        </is>
      </c>
      <c r="G1084" s="32" t="n"/>
      <c r="H1084" s="32" t="n"/>
      <c r="I1084" s="29" t="n"/>
    </row>
    <row r="1085">
      <c r="A1085" s="29" t="n">
        <v>20569</v>
      </c>
      <c r="B1085" s="30" t="inlineStr">
        <is>
          <t>NSW-QLD</t>
        </is>
      </c>
      <c r="C1085" s="30" t="inlineStr">
        <is>
          <t>IVFN2021</t>
        </is>
      </c>
      <c r="D1085" s="30" t="inlineStr">
        <is>
          <t>Full time</t>
        </is>
      </c>
      <c r="E1085" s="42">
        <f>VLOOKUP(A1085,'[1]Virtus SAMPLE PositionHistorySa'!$A:$L,12,0)</f>
        <v/>
      </c>
      <c r="F1085" s="31" t="inlineStr">
        <is>
          <t>7.23</t>
        </is>
      </c>
      <c r="G1085" s="32">
        <f>VLOOKUP(A1085,Sheet3!A:K,10,0)/38</f>
        <v/>
      </c>
      <c r="H1085" s="32">
        <f>F1085-G1085</f>
        <v/>
      </c>
      <c r="I1085" s="29" t="n"/>
    </row>
    <row r="1086">
      <c r="A1086" s="29" t="n">
        <v>1273</v>
      </c>
      <c r="B1086" s="30" t="inlineStr">
        <is>
          <t>VIC-TAS</t>
        </is>
      </c>
      <c r="C1086" s="30" t="inlineStr">
        <is>
          <t>MIVFC2021</t>
        </is>
      </c>
      <c r="D1086" s="30" t="inlineStr">
        <is>
          <t>Part time</t>
        </is>
      </c>
      <c r="E1086" s="42">
        <f>VLOOKUP(A1086,'[1]Virtus SAMPLE PositionHistorySa'!$A:$L,12,0)</f>
        <v/>
      </c>
      <c r="F1086" s="31" t="inlineStr">
        <is>
          <t>7.54</t>
        </is>
      </c>
      <c r="G1086" s="32" t="n"/>
      <c r="H1086" s="32" t="n"/>
      <c r="I1086" s="29" t="n"/>
    </row>
    <row r="1087">
      <c r="A1087" s="29" t="n">
        <v>20741</v>
      </c>
      <c r="B1087" s="30" t="inlineStr">
        <is>
          <t>NSW-QLD</t>
        </is>
      </c>
      <c r="C1087" s="30" t="inlineStr">
        <is>
          <t>IVFT2024</t>
        </is>
      </c>
      <c r="D1087" s="30" t="inlineStr">
        <is>
          <t>Full time</t>
        </is>
      </c>
      <c r="E1087" s="42">
        <f>VLOOKUP(A1087,'[1]Virtus SAMPLE PositionHistorySa'!$A:$L,12,0)</f>
        <v/>
      </c>
      <c r="F1087" s="31" t="inlineStr">
        <is>
          <t>4.63</t>
        </is>
      </c>
      <c r="G1087" s="32">
        <f>VLOOKUP(A1087,Sheet3!A:K,10,0)/38</f>
        <v/>
      </c>
      <c r="H1087" s="32">
        <f>F1087-G1087</f>
        <v/>
      </c>
      <c r="I1087" s="29" t="n"/>
    </row>
    <row r="1088">
      <c r="A1088" s="29" t="n">
        <v>20749</v>
      </c>
      <c r="B1088" s="30" t="inlineStr">
        <is>
          <t>NSW-QLD</t>
        </is>
      </c>
      <c r="C1088" s="30" t="inlineStr">
        <is>
          <t>TAS</t>
        </is>
      </c>
      <c r="D1088" s="30" t="inlineStr">
        <is>
          <t>Full time</t>
        </is>
      </c>
      <c r="E1088" s="42">
        <f>VLOOKUP(A1088,'[1]Virtus SAMPLE PositionHistorySa'!$A:$L,12,0)</f>
        <v/>
      </c>
      <c r="F1088" s="31" t="inlineStr">
        <is>
          <t>4.63</t>
        </is>
      </c>
      <c r="G1088" s="32">
        <f>VLOOKUP(A1088,Sheet3!A:K,10,0)/38</f>
        <v/>
      </c>
      <c r="H1088" s="32">
        <f>F1088-G1088</f>
        <v/>
      </c>
      <c r="I1088" s="29" t="n"/>
    </row>
    <row r="1089">
      <c r="A1089" s="29" t="n">
        <v>107</v>
      </c>
      <c r="B1089" s="30" t="inlineStr">
        <is>
          <t>VIC-TAS</t>
        </is>
      </c>
      <c r="C1089" s="30" t="inlineStr">
        <is>
          <t>TIVF2024</t>
        </is>
      </c>
      <c r="D1089" s="30" t="inlineStr">
        <is>
          <t>Part time</t>
        </is>
      </c>
      <c r="E1089" s="42">
        <f>VLOOKUP(A1089,'[1]Virtus SAMPLE PositionHistorySa'!$A:$L,12,0)</f>
        <v/>
      </c>
      <c r="F1089" s="31" t="inlineStr">
        <is>
          <t>4.63</t>
        </is>
      </c>
      <c r="G1089" s="32" t="n"/>
      <c r="H1089" s="32" t="n"/>
      <c r="I1089" s="29" t="n"/>
    </row>
    <row r="1090">
      <c r="A1090" s="29" t="n">
        <v>40013</v>
      </c>
      <c r="B1090" s="30" t="inlineStr">
        <is>
          <t>NSW-QLD</t>
        </is>
      </c>
      <c r="C1090" s="30" t="inlineStr">
        <is>
          <t>IVFN2021</t>
        </is>
      </c>
      <c r="D1090" s="30" t="inlineStr">
        <is>
          <t>Casual</t>
        </is>
      </c>
      <c r="E1090" s="42">
        <f>VLOOKUP(A1090,'[1]Virtus SAMPLE PositionHistorySa'!$A:$L,12,0)</f>
        <v/>
      </c>
      <c r="F1090" s="31" t="inlineStr">
        <is>
          <t>21.10</t>
        </is>
      </c>
      <c r="G1090" s="32" t="n"/>
      <c r="H1090" s="32" t="n"/>
      <c r="I1090" s="29" t="n"/>
    </row>
    <row r="1091">
      <c r="A1091" s="29" t="n">
        <v>20038</v>
      </c>
      <c r="B1091" s="30" t="inlineStr">
        <is>
          <t>NSW-QLD</t>
        </is>
      </c>
      <c r="C1091" s="30" t="inlineStr">
        <is>
          <t>IVFS2023</t>
        </is>
      </c>
      <c r="D1091" s="30" t="inlineStr">
        <is>
          <t>Part time</t>
        </is>
      </c>
      <c r="E1091" s="42">
        <f>VLOOKUP(A1091,'[1]Virtus SAMPLE PositionHistorySa'!$A:$L,12,0)</f>
        <v/>
      </c>
      <c r="F1091" s="31" t="inlineStr">
        <is>
          <t>13.83</t>
        </is>
      </c>
      <c r="G1091" s="32" t="n"/>
      <c r="H1091" s="32" t="n"/>
      <c r="I1091" s="29" t="n"/>
    </row>
    <row r="1092">
      <c r="A1092" s="29" t="n">
        <v>30024</v>
      </c>
      <c r="B1092" s="30" t="inlineStr">
        <is>
          <t>NSW-QLD</t>
        </is>
      </c>
      <c r="C1092" s="30" t="inlineStr">
        <is>
          <t>IVFN2021</t>
        </is>
      </c>
      <c r="D1092" s="30" t="inlineStr">
        <is>
          <t>Part time</t>
        </is>
      </c>
      <c r="E1092" s="42">
        <f>VLOOKUP(A1092,'[1]Virtus SAMPLE PositionHistorySa'!$A:$L,12,0)</f>
        <v/>
      </c>
      <c r="F1092" s="31" t="inlineStr">
        <is>
          <t>5.70</t>
        </is>
      </c>
      <c r="G1092" s="32" t="n"/>
      <c r="H1092" s="32" t="n"/>
      <c r="I1092" s="29" t="n"/>
    </row>
    <row r="1093">
      <c r="A1093" s="29" t="n">
        <v>80420</v>
      </c>
      <c r="B1093" s="30" t="inlineStr">
        <is>
          <t>NSW-QLD</t>
        </is>
      </c>
      <c r="C1093" s="30" t="inlineStr">
        <is>
          <t>IVFS2023</t>
        </is>
      </c>
      <c r="D1093" s="30" t="inlineStr">
        <is>
          <t>Casual</t>
        </is>
      </c>
      <c r="E1093" s="42">
        <f>VLOOKUP(A1093,'[1]Virtus SAMPLE PositionHistorySa'!$A:$L,12,0)</f>
        <v/>
      </c>
      <c r="F1093" s="31" t="inlineStr">
        <is>
          <t>3.76</t>
        </is>
      </c>
      <c r="G1093" s="32" t="n"/>
      <c r="H1093" s="32" t="n"/>
      <c r="I1093" s="29" t="n"/>
    </row>
    <row r="1094">
      <c r="A1094" s="29" t="inlineStr">
        <is>
          <t>AU23692</t>
        </is>
      </c>
      <c r="B1094" s="30" t="inlineStr">
        <is>
          <t>NSW-QLD</t>
        </is>
      </c>
      <c r="C1094" s="30" t="inlineStr">
        <is>
          <t>IVFT2024</t>
        </is>
      </c>
      <c r="D1094" s="30" t="inlineStr">
        <is>
          <t>Full time</t>
        </is>
      </c>
      <c r="E1094" s="42">
        <f>VLOOKUP(A1094,'[1]Virtus SAMPLE PositionHistorySa'!$A:$L,12,0)</f>
        <v/>
      </c>
      <c r="F1094" s="31" t="inlineStr">
        <is>
          <t>0.30</t>
        </is>
      </c>
      <c r="G1094" s="32">
        <f>VLOOKUP(A1094,Sheet3!A:K,10,0)/38</f>
        <v/>
      </c>
      <c r="H1094" s="32">
        <f>F1094-G1094</f>
        <v/>
      </c>
      <c r="I1094" s="29" t="n"/>
    </row>
    <row r="1095">
      <c r="A1095" s="29" t="inlineStr">
        <is>
          <t>AU23660</t>
        </is>
      </c>
      <c r="B1095" s="30" t="inlineStr">
        <is>
          <t>NSW-QLD</t>
        </is>
      </c>
      <c r="C1095" s="30" t="inlineStr">
        <is>
          <t>IVFN2021</t>
        </is>
      </c>
      <c r="D1095" s="30">
        <f>VLOOKUP(A1095,Sheet3!A:E,5,0)</f>
        <v/>
      </c>
      <c r="E1095" s="42">
        <f>VLOOKUP(A1095,'[1]Virtus SAMPLE PositionHistorySa'!$A:$L,12,0)</f>
        <v/>
      </c>
      <c r="F1095" s="31" t="inlineStr">
        <is>
          <t>0.30</t>
        </is>
      </c>
      <c r="G1095" s="32" t="n"/>
      <c r="H1095" s="32" t="n"/>
      <c r="I1095" s="29" t="n"/>
    </row>
    <row r="1096">
      <c r="A1096" s="29" t="inlineStr">
        <is>
          <t>AU23670</t>
        </is>
      </c>
      <c r="B1096" s="30" t="inlineStr">
        <is>
          <t>NSW-QLD</t>
        </is>
      </c>
      <c r="C1096" s="30" t="inlineStr">
        <is>
          <t>IVFN2021</t>
        </is>
      </c>
      <c r="D1096" s="30" t="inlineStr">
        <is>
          <t>Part time</t>
        </is>
      </c>
      <c r="E1096" s="42">
        <f>VLOOKUP(A1096,'[1]Virtus SAMPLE PositionHistorySa'!$A:$L,12,0)</f>
        <v/>
      </c>
      <c r="F1096" s="31" t="inlineStr">
        <is>
          <t>0.30</t>
        </is>
      </c>
      <c r="G1096" s="32" t="n"/>
      <c r="H1096" s="32" t="n"/>
      <c r="I1096" s="29" t="n"/>
    </row>
    <row r="1097">
      <c r="A1097" s="29" t="inlineStr">
        <is>
          <t>AU23682</t>
        </is>
      </c>
      <c r="B1097" s="30" t="inlineStr">
        <is>
          <t>NSW-QLD</t>
        </is>
      </c>
      <c r="C1097" s="30" t="inlineStr">
        <is>
          <t>QN2025</t>
        </is>
      </c>
      <c r="D1097" s="30" t="inlineStr">
        <is>
          <t>Part time</t>
        </is>
      </c>
      <c r="E1097" s="42">
        <f>VLOOKUP(A1097,'[1]Virtus SAMPLE PositionHistorySa'!$A:$L,12,0)</f>
        <v/>
      </c>
      <c r="F1097" s="31" t="inlineStr">
        <is>
          <t>0.44</t>
        </is>
      </c>
      <c r="G1097" s="32" t="n"/>
      <c r="H1097" s="32" t="n"/>
      <c r="I1097" s="29" t="n"/>
    </row>
    <row r="1098">
      <c r="A1098" s="29" t="inlineStr">
        <is>
          <t>AU23690</t>
        </is>
      </c>
      <c r="B1098" s="30" t="inlineStr">
        <is>
          <t>NSW-QLD</t>
        </is>
      </c>
      <c r="C1098" s="30" t="inlineStr">
        <is>
          <t>QN2025</t>
        </is>
      </c>
      <c r="D1098" s="30" t="inlineStr">
        <is>
          <t>Casual</t>
        </is>
      </c>
      <c r="E1098" s="42">
        <f>VLOOKUP(A1098,'[1]Virtus SAMPLE PositionHistorySa'!$A:$L,12,0)</f>
        <v/>
      </c>
      <c r="F1098" s="31" t="inlineStr">
        <is>
          <t>0.44</t>
        </is>
      </c>
      <c r="G1098" s="32" t="n"/>
      <c r="H1098" s="32" t="n"/>
      <c r="I1098" s="29" t="n"/>
    </row>
    <row r="1099">
      <c r="A1099" s="29" t="inlineStr">
        <is>
          <t>AU23697</t>
        </is>
      </c>
      <c r="B1099" s="30" t="inlineStr">
        <is>
          <t>NSW-QLD</t>
        </is>
      </c>
      <c r="C1099" s="30" t="inlineStr">
        <is>
          <t>QN2025</t>
        </is>
      </c>
      <c r="D1099" s="30" t="inlineStr">
        <is>
          <t>Part time</t>
        </is>
      </c>
      <c r="E1099" s="42">
        <f>VLOOKUP(A1099,'[1]Virtus SAMPLE PositionHistorySa'!$A:$L,12,0)</f>
        <v/>
      </c>
      <c r="F1099" s="31" t="inlineStr">
        <is>
          <t>0.44</t>
        </is>
      </c>
      <c r="G1099" s="32" t="n"/>
      <c r="H1099" s="32" t="n"/>
      <c r="I1099" s="29" t="n"/>
    </row>
    <row r="1100">
      <c r="A1100" s="29" t="inlineStr">
        <is>
          <t>AU23718</t>
        </is>
      </c>
      <c r="B1100" s="30" t="inlineStr">
        <is>
          <t>NSW-QLD</t>
        </is>
      </c>
      <c r="C1100" s="30" t="inlineStr">
        <is>
          <t>IVFN2021</t>
        </is>
      </c>
      <c r="D1100" s="30" t="inlineStr">
        <is>
          <t>Part time</t>
        </is>
      </c>
      <c r="E1100" s="42">
        <f>VLOOKUP(A1100,'[1]Virtus SAMPLE PositionHistorySa'!$A:$L,12,0)</f>
        <v/>
      </c>
      <c r="F1100" s="31" t="inlineStr">
        <is>
          <t>0.30</t>
        </is>
      </c>
      <c r="G1100" s="32" t="n"/>
      <c r="H1100" s="32" t="n"/>
      <c r="I1100" s="29" t="n"/>
    </row>
    <row r="1101">
      <c r="A1101" s="29" t="inlineStr">
        <is>
          <t>AU23744</t>
        </is>
      </c>
      <c r="B1101" s="30" t="inlineStr">
        <is>
          <t>VIC-TAS</t>
        </is>
      </c>
      <c r="C1101" s="30" t="inlineStr">
        <is>
          <t>MIVFN2023</t>
        </is>
      </c>
      <c r="D1101" s="30" t="inlineStr">
        <is>
          <t>Part time</t>
        </is>
      </c>
      <c r="E1101" s="42">
        <f>VLOOKUP(A1101,'[1]Virtus SAMPLE PositionHistorySa'!$A:$L,12,0)</f>
        <v/>
      </c>
      <c r="F1101" s="31" t="inlineStr">
        <is>
          <t>0.30</t>
        </is>
      </c>
      <c r="G1101" s="32" t="n"/>
      <c r="H1101" s="32" t="n"/>
      <c r="I1101" s="29" t="n"/>
    </row>
    <row r="1102">
      <c r="A1102" s="29" t="inlineStr">
        <is>
          <t>AU23751</t>
        </is>
      </c>
      <c r="B1102" s="30" t="inlineStr">
        <is>
          <t>NSW-QLD</t>
        </is>
      </c>
      <c r="C1102" s="30" t="inlineStr">
        <is>
          <t>QN2025</t>
        </is>
      </c>
      <c r="D1102" s="30" t="inlineStr">
        <is>
          <t>Part time</t>
        </is>
      </c>
      <c r="E1102" s="42">
        <f>VLOOKUP(A1102,'[1]Virtus SAMPLE PositionHistorySa'!$A:$L,12,0)</f>
        <v/>
      </c>
      <c r="F1102" s="31" t="inlineStr">
        <is>
          <t>0.44</t>
        </is>
      </c>
      <c r="G1102" s="32" t="n"/>
      <c r="H1102" s="32" t="n"/>
      <c r="I1102" s="29" t="n"/>
    </row>
    <row r="1103">
      <c r="A1103" s="29" t="n">
        <v>80119</v>
      </c>
      <c r="B1103" s="30" t="inlineStr">
        <is>
          <t>NSW-QLD</t>
        </is>
      </c>
      <c r="C1103" s="30" t="inlineStr">
        <is>
          <t>QS2024</t>
        </is>
      </c>
      <c r="D1103" s="30" t="inlineStr">
        <is>
          <t>Full time</t>
        </is>
      </c>
      <c r="E1103" s="42">
        <f>VLOOKUP(A1103,'[1]Virtus SAMPLE PositionHistorySa'!$A:$L,12,0)</f>
        <v/>
      </c>
      <c r="F1103" s="31" t="inlineStr">
        <is>
          <t>0.89</t>
        </is>
      </c>
      <c r="G1103" s="32">
        <f>VLOOKUP(A1103,Sheet3!A:K,10,0)/38</f>
        <v/>
      </c>
      <c r="H1103" s="32">
        <f>F1103-G1103</f>
        <v/>
      </c>
      <c r="I1103" s="29" t="n"/>
    </row>
    <row r="1104">
      <c r="A1104" s="29" t="n">
        <v>30361</v>
      </c>
      <c r="B1104" s="30" t="inlineStr">
        <is>
          <t>NSW-QLD</t>
        </is>
      </c>
      <c r="C1104" s="30" t="inlineStr">
        <is>
          <t>IVFS2023</t>
        </is>
      </c>
      <c r="D1104" s="30" t="inlineStr">
        <is>
          <t>Full time</t>
        </is>
      </c>
      <c r="E1104" s="42">
        <f>VLOOKUP(A1104,'[1]Virtus SAMPLE PositionHistorySa'!$A:$L,12,0)</f>
        <v/>
      </c>
      <c r="F1104" s="31" t="inlineStr">
        <is>
          <t>4.63</t>
        </is>
      </c>
      <c r="G1104" s="32">
        <f>VLOOKUP(A1104,Sheet3!A:K,10,0)/38</f>
        <v/>
      </c>
      <c r="H1104" s="32">
        <f>F1104-G1104</f>
        <v/>
      </c>
      <c r="I1104" s="29" t="n"/>
    </row>
    <row r="1105">
      <c r="A1105" s="29" t="n">
        <v>60020</v>
      </c>
      <c r="B1105" s="30" t="inlineStr">
        <is>
          <t>NSW-QLD</t>
        </is>
      </c>
      <c r="C1105" s="30" t="inlineStr">
        <is>
          <t>QN2025</t>
        </is>
      </c>
      <c r="D1105" s="30" t="inlineStr">
        <is>
          <t>Casual</t>
        </is>
      </c>
      <c r="E1105" s="42">
        <f>VLOOKUP(A1105,'[1]Virtus SAMPLE PositionHistorySa'!$A:$L,12,0)</f>
        <v/>
      </c>
      <c r="F1105" s="31" t="inlineStr">
        <is>
          <t>12.85</t>
        </is>
      </c>
      <c r="G1105" s="32" t="n"/>
      <c r="H1105" s="32" t="n"/>
      <c r="I1105" s="29" t="n"/>
    </row>
    <row r="1106">
      <c r="A1106" s="29" t="n">
        <v>90023</v>
      </c>
      <c r="B1106" s="30" t="inlineStr">
        <is>
          <t>NSW-QLD</t>
        </is>
      </c>
      <c r="C1106" s="30" t="inlineStr">
        <is>
          <t>IVFS2023</t>
        </is>
      </c>
      <c r="D1106" s="30" t="inlineStr">
        <is>
          <t>Casual</t>
        </is>
      </c>
      <c r="E1106" s="42">
        <f>VLOOKUP(A1106,'[1]Virtus SAMPLE PositionHistorySa'!$A:$L,12,0)</f>
        <v/>
      </c>
      <c r="F1106" s="31" t="inlineStr">
        <is>
          <t>9.51</t>
        </is>
      </c>
      <c r="G1106" s="32" t="n"/>
      <c r="H1106" s="32" t="n"/>
      <c r="I1106" s="29" t="n"/>
    </row>
    <row r="1107">
      <c r="A1107" s="29" t="n">
        <v>20636</v>
      </c>
      <c r="B1107" s="30" t="inlineStr">
        <is>
          <t>NSW-QLD</t>
        </is>
      </c>
      <c r="C1107" s="30" t="inlineStr">
        <is>
          <t>VIC</t>
        </is>
      </c>
      <c r="D1107" s="30" t="inlineStr">
        <is>
          <t>Full time</t>
        </is>
      </c>
      <c r="E1107" s="42">
        <f>VLOOKUP(A1107,'[1]Virtus SAMPLE PositionHistorySa'!$A:$L,12,0)</f>
        <v/>
      </c>
      <c r="F1107" s="31" t="inlineStr">
        <is>
          <t>6.36</t>
        </is>
      </c>
      <c r="G1107" s="32">
        <f>VLOOKUP(A1107,Sheet3!A:K,10,0)/38</f>
        <v/>
      </c>
      <c r="H1107" s="32">
        <f>F1107-G1107</f>
        <v/>
      </c>
      <c r="I1107" s="29" t="n"/>
    </row>
    <row r="1108">
      <c r="A1108" s="29" t="inlineStr">
        <is>
          <t>AU22895</t>
        </is>
      </c>
      <c r="B1108" s="30" t="inlineStr">
        <is>
          <t>VIC-TAS</t>
        </is>
      </c>
      <c r="C1108" s="30" t="inlineStr">
        <is>
          <t>MIVFN2023</t>
        </is>
      </c>
      <c r="D1108" s="30" t="inlineStr">
        <is>
          <t>Full time</t>
        </is>
      </c>
      <c r="E1108" s="42">
        <f>VLOOKUP(A1108,'[1]Virtus SAMPLE PositionHistorySa'!$A:$L,12,0)</f>
        <v/>
      </c>
      <c r="F1108" s="31" t="inlineStr">
        <is>
          <t>2.02</t>
        </is>
      </c>
      <c r="G1108" s="32">
        <f>VLOOKUP(A1108,Sheet3!A:K,10,0)/38</f>
        <v/>
      </c>
      <c r="H1108" s="32">
        <f>F1108-G1108</f>
        <v/>
      </c>
      <c r="I1108" s="29" t="n"/>
    </row>
    <row r="1109">
      <c r="A1109" s="29" t="inlineStr">
        <is>
          <t>AU23261</t>
        </is>
      </c>
      <c r="B1109" s="30" t="inlineStr">
        <is>
          <t>NSW-QLD</t>
        </is>
      </c>
      <c r="C1109" s="30" t="inlineStr">
        <is>
          <t>NSW</t>
        </is>
      </c>
      <c r="D1109" s="30" t="inlineStr">
        <is>
          <t>Part time</t>
        </is>
      </c>
      <c r="E1109" s="42">
        <f>VLOOKUP(A1109,'[1]Virtus SAMPLE PositionHistorySa'!$A:$L,12,0)</f>
        <v/>
      </c>
      <c r="F1109" s="31" t="inlineStr">
        <is>
          <t>1.16</t>
        </is>
      </c>
      <c r="G1109" s="32" t="n"/>
      <c r="H1109" s="32" t="n"/>
      <c r="I1109" s="29" t="n"/>
    </row>
    <row r="1110">
      <c r="A1110" s="29" t="n">
        <v>20111</v>
      </c>
      <c r="B1110" s="30" t="inlineStr">
        <is>
          <t>NSW-QLD</t>
        </is>
      </c>
      <c r="C1110" s="30" t="inlineStr">
        <is>
          <t>IVFS2023</t>
        </is>
      </c>
      <c r="D1110" s="30" t="inlineStr">
        <is>
          <t>Part time</t>
        </is>
      </c>
      <c r="E1110" s="42">
        <f>VLOOKUP(A1110,'[1]Virtus SAMPLE PositionHistorySa'!$A:$L,12,0)</f>
        <v/>
      </c>
      <c r="F1110" s="31" t="inlineStr">
        <is>
          <t>7.63</t>
        </is>
      </c>
      <c r="G1110" s="32" t="n"/>
      <c r="H1110" s="32" t="n"/>
      <c r="I1110" s="29" t="n"/>
    </row>
    <row r="1111">
      <c r="A1111" s="29" t="n">
        <v>549</v>
      </c>
      <c r="B1111" s="30" t="inlineStr">
        <is>
          <t>VIC-TAS</t>
        </is>
      </c>
      <c r="C1111" s="30" t="inlineStr">
        <is>
          <t>MIVFS2022</t>
        </is>
      </c>
      <c r="D1111" s="30" t="inlineStr">
        <is>
          <t>Part time</t>
        </is>
      </c>
      <c r="E1111" s="42">
        <f>VLOOKUP(A1111,'[1]Virtus SAMPLE PositionHistorySa'!$A:$L,12,0)</f>
        <v/>
      </c>
      <c r="F1111" s="31" t="inlineStr">
        <is>
          <t>23.11</t>
        </is>
      </c>
      <c r="G1111" s="32" t="n"/>
      <c r="H1111" s="32" t="n"/>
      <c r="I1111" s="29" t="n"/>
    </row>
    <row r="1112">
      <c r="A1112" s="29" t="n">
        <v>80216</v>
      </c>
      <c r="B1112" s="30" t="inlineStr">
        <is>
          <t>NSW-QLD</t>
        </is>
      </c>
      <c r="C1112" s="30" t="inlineStr">
        <is>
          <t>QN2025</t>
        </is>
      </c>
      <c r="D1112" s="30" t="inlineStr">
        <is>
          <t>Full time</t>
        </is>
      </c>
      <c r="E1112" s="42">
        <f>VLOOKUP(A1112,'[1]Virtus SAMPLE PositionHistorySa'!$A:$L,12,0)</f>
        <v/>
      </c>
      <c r="F1112" s="31" t="inlineStr">
        <is>
          <t>12.13</t>
        </is>
      </c>
      <c r="G1112" s="32">
        <f>VLOOKUP(A1112,Sheet3!A:K,10,0)/38</f>
        <v/>
      </c>
      <c r="H1112" s="32">
        <f>F1112-G1112</f>
        <v/>
      </c>
      <c r="I1112" s="29" t="n"/>
    </row>
    <row r="1113">
      <c r="A1113" s="29" t="n">
        <v>80222</v>
      </c>
      <c r="B1113" s="30" t="inlineStr">
        <is>
          <t>NSW-QLD</t>
        </is>
      </c>
      <c r="C1113" s="30" t="inlineStr">
        <is>
          <t>QS2024</t>
        </is>
      </c>
      <c r="D1113" s="30" t="inlineStr">
        <is>
          <t>Part time</t>
        </is>
      </c>
      <c r="E1113" s="42">
        <f>VLOOKUP(A1113,'[1]Virtus SAMPLE PositionHistorySa'!$A:$L,12,0)</f>
        <v/>
      </c>
      <c r="F1113" s="31" t="inlineStr">
        <is>
          <t>8.09</t>
        </is>
      </c>
      <c r="G1113" s="32" t="n"/>
      <c r="H1113" s="32" t="n"/>
      <c r="I1113" s="29" t="n"/>
    </row>
    <row r="1114">
      <c r="A1114" s="29" t="inlineStr">
        <is>
          <t>AU22502</t>
        </is>
      </c>
      <c r="B1114" s="30" t="inlineStr">
        <is>
          <t>VIC-TAS</t>
        </is>
      </c>
      <c r="C1114" s="30" t="inlineStr">
        <is>
          <t>MIVFS2022</t>
        </is>
      </c>
      <c r="D1114" s="30" t="inlineStr">
        <is>
          <t>Full time</t>
        </is>
      </c>
      <c r="E1114" s="42">
        <f>VLOOKUP(A1114,'[1]Virtus SAMPLE PositionHistorySa'!$A:$L,12,0)</f>
        <v/>
      </c>
      <c r="F1114" s="31" t="inlineStr">
        <is>
          <t>2.89</t>
        </is>
      </c>
      <c r="G1114" s="32">
        <f>VLOOKUP(A1114,Sheet3!A:K,10,0)/38</f>
        <v/>
      </c>
      <c r="H1114" s="32">
        <f>F1114-G1114</f>
        <v/>
      </c>
      <c r="I1114" s="29" t="n"/>
    </row>
    <row r="1115">
      <c r="A1115" s="29" t="n">
        <v>20216</v>
      </c>
      <c r="B1115" s="30" t="inlineStr">
        <is>
          <t>NSW-QLD</t>
        </is>
      </c>
      <c r="C1115" s="30" t="inlineStr">
        <is>
          <t>NSW</t>
        </is>
      </c>
      <c r="D1115" s="30" t="inlineStr">
        <is>
          <t>Full time</t>
        </is>
      </c>
      <c r="E1115" s="42">
        <f>VLOOKUP(A1115,'[1]Virtus SAMPLE PositionHistorySa'!$A:$L,12,0)</f>
        <v/>
      </c>
      <c r="F1115" s="31" t="inlineStr">
        <is>
          <t>13.29</t>
        </is>
      </c>
      <c r="G1115" s="32">
        <f>VLOOKUP(A1115,Sheet3!A:K,10,0)/38</f>
        <v/>
      </c>
      <c r="H1115" s="32">
        <f>F1115-G1115</f>
        <v/>
      </c>
      <c r="I1115" s="29" t="n"/>
    </row>
    <row r="1116">
      <c r="A1116" s="29" t="n">
        <v>1275</v>
      </c>
      <c r="B1116" s="30" t="inlineStr">
        <is>
          <t>VIC-TAS</t>
        </is>
      </c>
      <c r="C1116" s="30" t="inlineStr">
        <is>
          <t>MIVFN2023</t>
        </is>
      </c>
      <c r="D1116" s="30" t="inlineStr">
        <is>
          <t>Part time</t>
        </is>
      </c>
      <c r="E1116" s="42">
        <f>VLOOKUP(A1116,'[1]Virtus SAMPLE PositionHistorySa'!$A:$L,12,0)</f>
        <v/>
      </c>
      <c r="F1116" s="31" t="inlineStr">
        <is>
          <t>3.75</t>
        </is>
      </c>
      <c r="G1116" s="32" t="n"/>
      <c r="H1116" s="32" t="n"/>
      <c r="I1116" s="29" t="n"/>
    </row>
    <row r="1117">
      <c r="A1117" s="29" t="n">
        <v>1068</v>
      </c>
      <c r="B1117" s="30" t="inlineStr">
        <is>
          <t>VIC-TAS</t>
        </is>
      </c>
      <c r="C1117" s="30" t="inlineStr">
        <is>
          <t>MIVFN2023</t>
        </is>
      </c>
      <c r="D1117" s="30" t="inlineStr">
        <is>
          <t>Part time</t>
        </is>
      </c>
      <c r="E1117" s="42">
        <f>VLOOKUP(A1117,'[1]Virtus SAMPLE PositionHistorySa'!$A:$L,12,0)</f>
        <v/>
      </c>
      <c r="F1117" s="31" t="inlineStr">
        <is>
          <t>6.35</t>
        </is>
      </c>
      <c r="G1117" s="32" t="n"/>
      <c r="H1117" s="32" t="n"/>
      <c r="I1117" s="29" t="n"/>
    </row>
    <row r="1118">
      <c r="A1118" s="29" t="n">
        <v>20746</v>
      </c>
      <c r="B1118" s="30" t="inlineStr">
        <is>
          <t>NSW-QLD</t>
        </is>
      </c>
      <c r="C1118" s="30" t="inlineStr">
        <is>
          <t>IVFN2021</t>
        </is>
      </c>
      <c r="D1118" s="30" t="inlineStr">
        <is>
          <t>Part time</t>
        </is>
      </c>
      <c r="E1118" s="42">
        <f>VLOOKUP(A1118,'[1]Virtus SAMPLE PositionHistorySa'!$A:$L,12,0)</f>
        <v/>
      </c>
      <c r="F1118" s="31" t="inlineStr">
        <is>
          <t>4.62</t>
        </is>
      </c>
      <c r="G1118" s="32" t="n"/>
      <c r="H1118" s="32" t="n"/>
      <c r="I1118" s="29" t="n"/>
    </row>
    <row r="1119">
      <c r="A1119" s="29" t="inlineStr">
        <is>
          <t>AU23677</t>
        </is>
      </c>
      <c r="B1119" s="30" t="inlineStr">
        <is>
          <t>NSW-QLD</t>
        </is>
      </c>
      <c r="C1119" s="30" t="inlineStr">
        <is>
          <t>QN2025</t>
        </is>
      </c>
      <c r="D1119" s="30" t="inlineStr">
        <is>
          <t>Part time</t>
        </is>
      </c>
      <c r="E1119" s="42">
        <f>VLOOKUP(A1119,'[1]Virtus SAMPLE PositionHistorySa'!$A:$L,12,0)</f>
        <v/>
      </c>
      <c r="F1119" s="31" t="inlineStr">
        <is>
          <t>0.42</t>
        </is>
      </c>
      <c r="G1119" s="32" t="n"/>
      <c r="H1119" s="32" t="n"/>
      <c r="I1119" s="29" t="n"/>
    </row>
    <row r="1120">
      <c r="A1120" s="29" t="inlineStr">
        <is>
          <t>AU23693</t>
        </is>
      </c>
      <c r="B1120" s="30" t="inlineStr">
        <is>
          <t>NSW-QLD</t>
        </is>
      </c>
      <c r="C1120" s="30" t="inlineStr">
        <is>
          <t>IVFN2021</t>
        </is>
      </c>
      <c r="D1120" s="30">
        <f>VLOOKUP(A1120,Sheet3!A:E,5,0)</f>
        <v/>
      </c>
      <c r="E1120" s="42">
        <f>VLOOKUP(A1120,'[1]Virtus SAMPLE PositionHistorySa'!$A:$L,12,0)</f>
        <v/>
      </c>
      <c r="F1120" s="31" t="inlineStr">
        <is>
          <t>0.28</t>
        </is>
      </c>
      <c r="G1120" s="32" t="n"/>
      <c r="H1120" s="32" t="n"/>
      <c r="I1120" s="29" t="n"/>
    </row>
    <row r="1121">
      <c r="A1121" s="29" t="inlineStr">
        <is>
          <t>AU23696</t>
        </is>
      </c>
      <c r="B1121" s="30" t="inlineStr">
        <is>
          <t>NSW-QLD</t>
        </is>
      </c>
      <c r="C1121" s="30" t="inlineStr">
        <is>
          <t>IVFN2021</t>
        </is>
      </c>
      <c r="D1121" s="30" t="inlineStr">
        <is>
          <t>Part time</t>
        </is>
      </c>
      <c r="E1121" s="42">
        <f>VLOOKUP(A1121,'[1]Virtus SAMPLE PositionHistorySa'!$A:$L,12,0)</f>
        <v/>
      </c>
      <c r="F1121" s="31" t="inlineStr">
        <is>
          <t>0.28</t>
        </is>
      </c>
      <c r="G1121" s="32" t="n"/>
      <c r="H1121" s="32" t="n"/>
      <c r="I1121" s="29" t="n"/>
    </row>
    <row r="1122">
      <c r="A1122" s="29" t="inlineStr">
        <is>
          <t>AU23699</t>
        </is>
      </c>
      <c r="B1122" s="30" t="inlineStr">
        <is>
          <t>NSW-QLD</t>
        </is>
      </c>
      <c r="C1122" s="30" t="inlineStr">
        <is>
          <t>QS2024</t>
        </is>
      </c>
      <c r="D1122" s="30">
        <f>VLOOKUP(A1122,Sheet3!A:E,5,0)</f>
        <v/>
      </c>
      <c r="E1122" s="42">
        <f>VLOOKUP(A1122,'[1]Virtus SAMPLE PositionHistorySa'!$A:$L,12,0)</f>
        <v/>
      </c>
      <c r="F1122" s="31" t="inlineStr">
        <is>
          <t>0.28</t>
        </is>
      </c>
      <c r="G1122" s="32" t="n"/>
      <c r="H1122" s="32" t="n"/>
      <c r="I1122" s="29" t="n"/>
    </row>
    <row r="1123">
      <c r="A1123" s="29" t="inlineStr">
        <is>
          <t>AU23704</t>
        </is>
      </c>
      <c r="B1123" s="30" t="inlineStr">
        <is>
          <t>NSW-QLD</t>
        </is>
      </c>
      <c r="C1123" s="30" t="inlineStr">
        <is>
          <t>IVFS2023</t>
        </is>
      </c>
      <c r="D1123" s="30">
        <f>VLOOKUP(A1123,Sheet3!A:E,5,0)</f>
        <v/>
      </c>
      <c r="E1123" s="42">
        <f>VLOOKUP(A1123,'[1]Virtus SAMPLE PositionHistorySa'!$A:$L,12,0)</f>
        <v/>
      </c>
      <c r="F1123" s="31" t="inlineStr">
        <is>
          <t>0.28</t>
        </is>
      </c>
      <c r="G1123" s="32" t="n"/>
      <c r="H1123" s="32" t="n"/>
      <c r="I1123" s="29" t="n"/>
    </row>
    <row r="1124">
      <c r="A1124" s="29" t="n">
        <v>50139</v>
      </c>
      <c r="B1124" s="30" t="inlineStr">
        <is>
          <t>NSW-QLD</t>
        </is>
      </c>
      <c r="C1124" s="30" t="inlineStr">
        <is>
          <t>IVFN2021</t>
        </is>
      </c>
      <c r="D1124" s="30" t="inlineStr">
        <is>
          <t>Casual</t>
        </is>
      </c>
      <c r="E1124" s="42">
        <f>VLOOKUP(A1124,'[1]Virtus SAMPLE PositionHistorySa'!$A:$L,12,0)</f>
        <v/>
      </c>
      <c r="F1124" s="31" t="inlineStr">
        <is>
          <t>5.48</t>
        </is>
      </c>
      <c r="G1124" s="32" t="n"/>
      <c r="H1124" s="32" t="n"/>
      <c r="I1124" s="29" t="n"/>
    </row>
    <row r="1125">
      <c r="A1125" s="29" t="n">
        <v>50140</v>
      </c>
      <c r="B1125" s="30" t="inlineStr">
        <is>
          <t>NSW-QLD</t>
        </is>
      </c>
      <c r="C1125" s="30" t="inlineStr">
        <is>
          <t>IVFN2021</t>
        </is>
      </c>
      <c r="D1125" s="30" t="inlineStr">
        <is>
          <t>Part time</t>
        </is>
      </c>
      <c r="E1125" s="42">
        <f>VLOOKUP(A1125,'[1]Virtus SAMPLE PositionHistorySa'!$A:$L,12,0)</f>
        <v/>
      </c>
      <c r="F1125" s="31" t="inlineStr">
        <is>
          <t>5.48</t>
        </is>
      </c>
      <c r="G1125" s="32" t="n"/>
      <c r="H1125" s="32" t="n"/>
      <c r="I1125" s="29" t="n"/>
    </row>
    <row r="1126">
      <c r="A1126" s="29" t="inlineStr">
        <is>
          <t>AU23269</t>
        </is>
      </c>
      <c r="B1126" s="30" t="inlineStr">
        <is>
          <t>NSW-QLD</t>
        </is>
      </c>
      <c r="C1126" s="30" t="inlineStr">
        <is>
          <t>IVFS2023</t>
        </is>
      </c>
      <c r="D1126" s="30" t="inlineStr">
        <is>
          <t>Full time</t>
        </is>
      </c>
      <c r="E1126" s="42">
        <f>VLOOKUP(A1126,'[1]Virtus SAMPLE PositionHistorySa'!$A:$L,12,0)</f>
        <v/>
      </c>
      <c r="F1126" s="31" t="inlineStr">
        <is>
          <t>1.14</t>
        </is>
      </c>
      <c r="G1126" s="32">
        <f>VLOOKUP(A1126,Sheet3!A:K,10,0)/38</f>
        <v/>
      </c>
      <c r="H1126" s="32">
        <f>F1126-G1126</f>
        <v/>
      </c>
      <c r="I1126" s="29" t="n"/>
    </row>
    <row r="1127">
      <c r="A1127" s="29" t="inlineStr">
        <is>
          <t>AU23254</t>
        </is>
      </c>
      <c r="B1127" s="30" t="inlineStr">
        <is>
          <t>NSW-QLD</t>
        </is>
      </c>
      <c r="C1127" s="30" t="inlineStr">
        <is>
          <t>IVFS2023</t>
        </is>
      </c>
      <c r="D1127" s="30">
        <f>VLOOKUP(A1127,Sheet3!A:E,5,0)</f>
        <v/>
      </c>
      <c r="E1127" s="42">
        <f>VLOOKUP(A1127,'[1]Virtus SAMPLE PositionHistorySa'!$A:$L,12,0)</f>
        <v/>
      </c>
      <c r="F1127" s="31" t="inlineStr">
        <is>
          <t>1.14</t>
        </is>
      </c>
      <c r="G1127" s="32" t="n"/>
      <c r="H1127" s="32" t="n"/>
      <c r="I1127" s="29" t="n"/>
    </row>
    <row r="1128">
      <c r="A1128" s="29" t="inlineStr">
        <is>
          <t>AU23707</t>
        </is>
      </c>
      <c r="B1128" s="30" t="inlineStr">
        <is>
          <t>VIC-TAS</t>
        </is>
      </c>
      <c r="C1128" s="30" t="inlineStr">
        <is>
          <t>VIC</t>
        </is>
      </c>
      <c r="D1128" s="30" t="inlineStr">
        <is>
          <t>Casual</t>
        </is>
      </c>
      <c r="E1128" s="42">
        <f>VLOOKUP(A1128,'[1]Virtus SAMPLE PositionHistorySa'!$A:$L,12,0)</f>
        <v/>
      </c>
      <c r="F1128" s="31" t="inlineStr">
        <is>
          <t>0.28</t>
        </is>
      </c>
      <c r="G1128" s="32" t="n"/>
      <c r="H1128" s="32" t="n"/>
      <c r="I1128" s="29" t="n"/>
    </row>
    <row r="1129">
      <c r="A1129" s="29" t="n">
        <v>30139</v>
      </c>
      <c r="B1129" s="30" t="inlineStr">
        <is>
          <t>NSW-QLD</t>
        </is>
      </c>
      <c r="C1129" s="30" t="inlineStr">
        <is>
          <t>IVFN2021</t>
        </is>
      </c>
      <c r="D1129" s="30" t="inlineStr">
        <is>
          <t>Casual</t>
        </is>
      </c>
      <c r="E1129" s="42">
        <f>VLOOKUP(A1129,'[1]Virtus SAMPLE PositionHistorySa'!$A:$L,12,0)</f>
        <v/>
      </c>
      <c r="F1129" s="31" t="inlineStr">
        <is>
          <t>8.94</t>
        </is>
      </c>
      <c r="G1129" s="32" t="n"/>
      <c r="H1129" s="32" t="n"/>
      <c r="I1129" s="29" t="n"/>
    </row>
    <row r="1130">
      <c r="A1130" s="29" t="n">
        <v>993</v>
      </c>
      <c r="B1130" s="30" t="inlineStr">
        <is>
          <t>VIC-TAS</t>
        </is>
      </c>
      <c r="C1130" s="30" t="inlineStr">
        <is>
          <t>MIVFN2023</t>
        </is>
      </c>
      <c r="D1130" s="30" t="inlineStr">
        <is>
          <t>Full time</t>
        </is>
      </c>
      <c r="E1130" s="42">
        <f>VLOOKUP(A1130,'[1]Virtus SAMPLE PositionHistorySa'!$A:$L,12,0)</f>
        <v/>
      </c>
      <c r="F1130" s="31" t="inlineStr">
        <is>
          <t>7.21</t>
        </is>
      </c>
      <c r="G1130" s="32">
        <f>VLOOKUP(A1130,Sheet3!A:K,10,0)/38</f>
        <v/>
      </c>
      <c r="H1130" s="32">
        <f>F1130-G1130</f>
        <v/>
      </c>
      <c r="I1130" s="29" t="n"/>
    </row>
    <row r="1131">
      <c r="A1131" s="29" t="n">
        <v>1198</v>
      </c>
      <c r="B1131" s="30" t="inlineStr">
        <is>
          <t>VIC-TAS</t>
        </is>
      </c>
      <c r="C1131" s="30" t="inlineStr">
        <is>
          <t>MIVFN2023</t>
        </is>
      </c>
      <c r="D1131" s="30" t="inlineStr">
        <is>
          <t>Casual</t>
        </is>
      </c>
      <c r="E1131" s="42">
        <f>VLOOKUP(A1131,'[1]Virtus SAMPLE PositionHistorySa'!$A:$L,12,0)</f>
        <v/>
      </c>
      <c r="F1131" s="31" t="inlineStr">
        <is>
          <t>4.61</t>
        </is>
      </c>
      <c r="G1131" s="32" t="n"/>
      <c r="H1131" s="32" t="n"/>
      <c r="I1131" s="29" t="n"/>
    </row>
    <row r="1132">
      <c r="A1132" s="29" t="inlineStr">
        <is>
          <t>AU22901</t>
        </is>
      </c>
      <c r="B1132" s="30" t="inlineStr">
        <is>
          <t>NSW-QLD</t>
        </is>
      </c>
      <c r="C1132" s="30" t="inlineStr">
        <is>
          <t>IVFT2024</t>
        </is>
      </c>
      <c r="D1132" s="30" t="inlineStr">
        <is>
          <t>Full time</t>
        </is>
      </c>
      <c r="E1132" s="42">
        <f>VLOOKUP(A1132,'[1]Virtus SAMPLE PositionHistorySa'!$A:$L,12,0)</f>
        <v/>
      </c>
      <c r="F1132" s="31" t="inlineStr">
        <is>
          <t>2.01</t>
        </is>
      </c>
      <c r="G1132" s="32">
        <f>VLOOKUP(A1132,Sheet3!A:K,10,0)/38</f>
        <v/>
      </c>
      <c r="H1132" s="32">
        <f>F1132-G1132</f>
        <v/>
      </c>
      <c r="I1132" s="29" t="n"/>
    </row>
    <row r="1133">
      <c r="A1133" s="29" t="inlineStr">
        <is>
          <t>AU22890</t>
        </is>
      </c>
      <c r="B1133" s="30" t="inlineStr">
        <is>
          <t>NSW-QLD</t>
        </is>
      </c>
      <c r="C1133" s="30" t="inlineStr">
        <is>
          <t>QLD</t>
        </is>
      </c>
      <c r="D1133" s="30" t="inlineStr">
        <is>
          <t>Full time</t>
        </is>
      </c>
      <c r="E1133" s="42">
        <f>VLOOKUP(A1133,'[1]Virtus SAMPLE PositionHistorySa'!$A:$L,12,0)</f>
        <v/>
      </c>
      <c r="F1133" s="31" t="inlineStr">
        <is>
          <t>2.01</t>
        </is>
      </c>
      <c r="G1133" s="32">
        <f>VLOOKUP(A1133,Sheet3!A:K,10,0)/38</f>
        <v/>
      </c>
      <c r="H1133" s="32">
        <f>F1133-G1133</f>
        <v/>
      </c>
      <c r="I1133" s="29" t="n"/>
    </row>
    <row r="1134">
      <c r="A1134" s="29" t="inlineStr">
        <is>
          <t>AU22498</t>
        </is>
      </c>
      <c r="B1134" s="30" t="inlineStr">
        <is>
          <t>NSW-QLD</t>
        </is>
      </c>
      <c r="C1134" s="30" t="inlineStr">
        <is>
          <t>IVFN2021</t>
        </is>
      </c>
      <c r="D1134" s="30" t="inlineStr">
        <is>
          <t>Full time</t>
        </is>
      </c>
      <c r="E1134" s="42">
        <f>VLOOKUP(A1134,'[1]Virtus SAMPLE PositionHistorySa'!$A:$L,12,0)</f>
        <v/>
      </c>
      <c r="F1134" s="31" t="inlineStr">
        <is>
          <t>2.87</t>
        </is>
      </c>
      <c r="G1134" s="32">
        <f>VLOOKUP(A1134,Sheet3!A:K,10,0)/38</f>
        <v/>
      </c>
      <c r="H1134" s="32">
        <f>F1134-G1134</f>
        <v/>
      </c>
      <c r="I1134" s="29" t="n"/>
    </row>
    <row r="1135">
      <c r="A1135" s="29" t="inlineStr">
        <is>
          <t>AU22487</t>
        </is>
      </c>
      <c r="B1135" s="30" t="inlineStr">
        <is>
          <t>NSW-QLD</t>
        </is>
      </c>
      <c r="C1135" s="30" t="inlineStr">
        <is>
          <t>IVFN2021</t>
        </is>
      </c>
      <c r="D1135" s="30" t="inlineStr">
        <is>
          <t>Full time</t>
        </is>
      </c>
      <c r="E1135" s="42">
        <f>VLOOKUP(A1135,'[1]Virtus SAMPLE PositionHistorySa'!$A:$L,12,0)</f>
        <v/>
      </c>
      <c r="F1135" s="31" t="inlineStr">
        <is>
          <t>2.87</t>
        </is>
      </c>
      <c r="G1135" s="32">
        <f>VLOOKUP(A1135,Sheet3!A:K,10,0)/38</f>
        <v/>
      </c>
      <c r="H1135" s="32">
        <f>F1135-G1135</f>
        <v/>
      </c>
      <c r="I1135" s="29" t="n"/>
    </row>
    <row r="1136">
      <c r="A1136" s="29" t="n">
        <v>20865</v>
      </c>
      <c r="B1136" s="30" t="inlineStr">
        <is>
          <t>NSW-QLD</t>
        </is>
      </c>
      <c r="C1136" s="30" t="inlineStr">
        <is>
          <t>IVFT2024</t>
        </is>
      </c>
      <c r="D1136" s="30" t="inlineStr">
        <is>
          <t>Full time</t>
        </is>
      </c>
      <c r="E1136" s="42">
        <f>VLOOKUP(A1136,'[1]Virtus SAMPLE PositionHistorySa'!$A:$L,12,0)</f>
        <v/>
      </c>
      <c r="F1136" s="31" t="inlineStr">
        <is>
          <t>3.73</t>
        </is>
      </c>
      <c r="G1136" s="32">
        <f>VLOOKUP(A1136,Sheet3!A:K,10,0)/38</f>
        <v/>
      </c>
      <c r="H1136" s="32">
        <f>F1136-G1136</f>
        <v/>
      </c>
      <c r="I1136" s="29" t="n"/>
    </row>
    <row r="1137">
      <c r="A1137" s="29" t="n">
        <v>70013</v>
      </c>
      <c r="B1137" s="30" t="inlineStr">
        <is>
          <t>NSW-QLD</t>
        </is>
      </c>
      <c r="C1137" s="30" t="inlineStr">
        <is>
          <t>QN2025</t>
        </is>
      </c>
      <c r="D1137" s="30" t="inlineStr">
        <is>
          <t>Part time</t>
        </is>
      </c>
      <c r="E1137" s="42">
        <f>VLOOKUP(A1137,'[1]Virtus SAMPLE PositionHistorySa'!$A:$L,12,0)</f>
        <v/>
      </c>
      <c r="F1137" s="31" t="inlineStr">
        <is>
          <t>13.40</t>
        </is>
      </c>
      <c r="G1137" s="32" t="n"/>
      <c r="H1137" s="32" t="n"/>
      <c r="I1137" s="29" t="n"/>
    </row>
    <row r="1138">
      <c r="A1138" s="29" t="n">
        <v>70011</v>
      </c>
      <c r="B1138" s="30" t="inlineStr">
        <is>
          <t>NSW-QLD</t>
        </is>
      </c>
      <c r="C1138" s="30" t="inlineStr">
        <is>
          <t>QS2024</t>
        </is>
      </c>
      <c r="D1138" s="30" t="inlineStr">
        <is>
          <t>Part time</t>
        </is>
      </c>
      <c r="E1138" s="42">
        <f>VLOOKUP(A1138,'[1]Virtus SAMPLE PositionHistorySa'!$A:$L,12,0)</f>
        <v/>
      </c>
      <c r="F1138" s="31" t="inlineStr">
        <is>
          <t>3.99</t>
        </is>
      </c>
      <c r="G1138" s="32" t="n"/>
      <c r="H1138" s="32" t="n"/>
      <c r="I1138" s="29" t="n"/>
    </row>
    <row r="1139">
      <c r="A1139" s="29" t="n">
        <v>20864</v>
      </c>
      <c r="B1139" s="30" t="inlineStr">
        <is>
          <t>NSW-QLD</t>
        </is>
      </c>
      <c r="C1139" s="30" t="inlineStr">
        <is>
          <t>IVFT2024</t>
        </is>
      </c>
      <c r="D1139" s="30" t="inlineStr">
        <is>
          <t>Full time</t>
        </is>
      </c>
      <c r="E1139" s="42">
        <f>VLOOKUP(A1139,'[1]Virtus SAMPLE PositionHistorySa'!$A:$L,12,0)</f>
        <v/>
      </c>
      <c r="F1139" s="31" t="inlineStr">
        <is>
          <t>3.73</t>
        </is>
      </c>
      <c r="G1139" s="32">
        <f>VLOOKUP(A1139,Sheet3!A:K,10,0)/38</f>
        <v/>
      </c>
      <c r="H1139" s="32">
        <f>F1139-G1139</f>
        <v/>
      </c>
      <c r="I1139" s="29" t="n"/>
    </row>
    <row r="1140">
      <c r="A1140" s="29" t="inlineStr">
        <is>
          <t>AU23712</t>
        </is>
      </c>
      <c r="B1140" s="30" t="inlineStr">
        <is>
          <t>NSW-QLD</t>
        </is>
      </c>
      <c r="C1140" s="30" t="inlineStr">
        <is>
          <t>NSW</t>
        </is>
      </c>
      <c r="D1140" s="30" t="inlineStr">
        <is>
          <t>Full time</t>
        </is>
      </c>
      <c r="E1140" s="42">
        <f>VLOOKUP(A1140,'[1]Virtus SAMPLE PositionHistorySa'!$A:$L,12,0)</f>
        <v/>
      </c>
      <c r="F1140" s="31" t="inlineStr">
        <is>
          <t>0.26</t>
        </is>
      </c>
      <c r="G1140" s="32">
        <f>VLOOKUP(A1140,Sheet3!A:K,10,0)/38</f>
        <v/>
      </c>
      <c r="H1140" s="32">
        <f>F1140-G1140</f>
        <v/>
      </c>
      <c r="I1140" s="33" t="inlineStr">
        <is>
          <t>just started and has a balance in Micropay?</t>
        </is>
      </c>
    </row>
    <row r="1141">
      <c r="A1141" s="29" t="inlineStr">
        <is>
          <t>AU23698</t>
        </is>
      </c>
      <c r="B1141" s="30" t="inlineStr">
        <is>
          <t>NSW-QLD</t>
        </is>
      </c>
      <c r="C1141" s="30" t="inlineStr">
        <is>
          <t>IVFN2021</t>
        </is>
      </c>
      <c r="D1141" s="30" t="inlineStr">
        <is>
          <t>Casual</t>
        </is>
      </c>
      <c r="E1141" s="42">
        <f>VLOOKUP(A1141,'[1]Virtus SAMPLE PositionHistorySa'!$A:$L,12,0)</f>
        <v/>
      </c>
      <c r="F1141" s="31" t="inlineStr">
        <is>
          <t>0.26</t>
        </is>
      </c>
      <c r="G1141" s="32" t="n"/>
      <c r="H1141" s="32" t="n"/>
      <c r="I1141" s="29" t="n"/>
    </row>
    <row r="1142">
      <c r="A1142" s="29" t="inlineStr">
        <is>
          <t>AU23702</t>
        </is>
      </c>
      <c r="B1142" s="30" t="inlineStr">
        <is>
          <t>NSW-QLD</t>
        </is>
      </c>
      <c r="C1142" s="30" t="inlineStr">
        <is>
          <t>IVFS2023</t>
        </is>
      </c>
      <c r="D1142" s="30" t="inlineStr">
        <is>
          <t>Casual</t>
        </is>
      </c>
      <c r="E1142" s="42">
        <f>VLOOKUP(A1142,'[1]Virtus SAMPLE PositionHistorySa'!$A:$L,12,0)</f>
        <v/>
      </c>
      <c r="F1142" s="31" t="inlineStr">
        <is>
          <t>0.26</t>
        </is>
      </c>
      <c r="G1142" s="32" t="n"/>
      <c r="H1142" s="32" t="n"/>
      <c r="I1142" s="29" t="n"/>
    </row>
    <row r="1143">
      <c r="A1143" s="29" t="inlineStr">
        <is>
          <t>AU23714</t>
        </is>
      </c>
      <c r="B1143" s="30" t="inlineStr">
        <is>
          <t>NSW-QLD</t>
        </is>
      </c>
      <c r="C1143" s="30" t="inlineStr">
        <is>
          <t>IVFN2021</t>
        </is>
      </c>
      <c r="D1143" s="30">
        <f>VLOOKUP(A1143,Sheet3!A:E,5,0)</f>
        <v/>
      </c>
      <c r="E1143" s="42">
        <f>VLOOKUP(A1143,'[1]Virtus SAMPLE PositionHistorySa'!$A:$L,12,0)</f>
        <v/>
      </c>
      <c r="F1143" s="31" t="inlineStr">
        <is>
          <t>0.26</t>
        </is>
      </c>
      <c r="G1143" s="32" t="n"/>
      <c r="H1143" s="32" t="n"/>
      <c r="I1143" s="29" t="n"/>
    </row>
    <row r="1144">
      <c r="A1144" s="29" t="inlineStr">
        <is>
          <t>AU23716</t>
        </is>
      </c>
      <c r="B1144" s="30" t="inlineStr">
        <is>
          <t>NSW-QLD</t>
        </is>
      </c>
      <c r="C1144" s="30" t="inlineStr">
        <is>
          <t>IVFN2021</t>
        </is>
      </c>
      <c r="D1144" s="30" t="inlineStr">
        <is>
          <t>Part time</t>
        </is>
      </c>
      <c r="E1144" s="42">
        <f>VLOOKUP(A1144,'[1]Virtus SAMPLE PositionHistorySa'!$A:$L,12,0)</f>
        <v/>
      </c>
      <c r="F1144" s="31" t="inlineStr">
        <is>
          <t>0.26</t>
        </is>
      </c>
      <c r="G1144" s="32" t="n"/>
      <c r="H1144" s="32" t="n"/>
      <c r="I1144" s="29" t="n"/>
    </row>
    <row r="1145">
      <c r="A1145" s="29" t="n">
        <v>80067</v>
      </c>
      <c r="B1145" s="30" t="inlineStr">
        <is>
          <t>NSW-QLD</t>
        </is>
      </c>
      <c r="C1145" s="30" t="inlineStr">
        <is>
          <t>QN2025</t>
        </is>
      </c>
      <c r="D1145" s="30" t="inlineStr">
        <is>
          <t>Casual</t>
        </is>
      </c>
      <c r="E1145" s="42">
        <f>VLOOKUP(A1145,'[1]Virtus SAMPLE PositionHistorySa'!$A:$L,12,0)</f>
        <v/>
      </c>
      <c r="F1145" s="31" t="inlineStr">
        <is>
          <t>10.85</t>
        </is>
      </c>
      <c r="G1145" s="32" t="n"/>
      <c r="H1145" s="32" t="n"/>
      <c r="I1145" s="29" t="n"/>
    </row>
    <row r="1146">
      <c r="A1146" s="29" t="n">
        <v>80359</v>
      </c>
      <c r="B1146" s="30" t="inlineStr">
        <is>
          <t>NSW-QLD</t>
        </is>
      </c>
      <c r="C1146" s="30" t="inlineStr">
        <is>
          <t>IVFS2023</t>
        </is>
      </c>
      <c r="D1146" s="30" t="inlineStr">
        <is>
          <t>Full time</t>
        </is>
      </c>
      <c r="E1146" s="42">
        <f>VLOOKUP(A1146,'[1]Virtus SAMPLE PositionHistorySa'!$A:$L,12,0)</f>
        <v/>
      </c>
      <c r="F1146" s="31" t="inlineStr">
        <is>
          <t>4.57</t>
        </is>
      </c>
      <c r="G1146" s="32">
        <f>VLOOKUP(A1146,Sheet3!A:K,10,0)/38</f>
        <v/>
      </c>
      <c r="H1146" s="32">
        <f>F1146-G1146</f>
        <v/>
      </c>
      <c r="I1146" s="29" t="n"/>
    </row>
    <row r="1147">
      <c r="A1147" s="29" t="n">
        <v>60162</v>
      </c>
      <c r="B1147" s="30" t="inlineStr">
        <is>
          <t>NSW-QLD</t>
        </is>
      </c>
      <c r="C1147" s="30" t="inlineStr">
        <is>
          <t>QN2025</t>
        </is>
      </c>
      <c r="D1147" s="30" t="inlineStr">
        <is>
          <t>Casual</t>
        </is>
      </c>
      <c r="E1147" s="42">
        <f>VLOOKUP(A1147,'[1]Virtus SAMPLE PositionHistorySa'!$A:$L,12,0)</f>
        <v/>
      </c>
      <c r="F1147" s="31" t="inlineStr">
        <is>
          <t>6.85</t>
        </is>
      </c>
      <c r="G1147" s="32" t="n"/>
      <c r="H1147" s="32" t="n"/>
      <c r="I1147" s="29" t="n"/>
    </row>
    <row r="1148">
      <c r="A1148" s="29" t="n">
        <v>1277</v>
      </c>
      <c r="B1148" s="30" t="inlineStr">
        <is>
          <t>VIC-TAS</t>
        </is>
      </c>
      <c r="C1148" s="30" t="inlineStr">
        <is>
          <t>MIVFS2022</t>
        </is>
      </c>
      <c r="D1148" s="30" t="inlineStr">
        <is>
          <t>Full time</t>
        </is>
      </c>
      <c r="E1148" s="42">
        <f>VLOOKUP(A1148,'[1]Virtus SAMPLE PositionHistorySa'!$A:$L,12,0)</f>
        <v/>
      </c>
      <c r="F1148" s="31" t="inlineStr">
        <is>
          <t>3.70</t>
        </is>
      </c>
      <c r="G1148" s="32">
        <f>VLOOKUP(A1148,Sheet3!A:K,10,0)/38</f>
        <v/>
      </c>
      <c r="H1148" s="32">
        <f>F1148-G1148</f>
        <v/>
      </c>
      <c r="I1148" s="29" t="n"/>
    </row>
    <row r="1149">
      <c r="A1149" s="29" t="n">
        <v>80053</v>
      </c>
      <c r="B1149" s="30" t="inlineStr">
        <is>
          <t>NSW-QLD</t>
        </is>
      </c>
      <c r="C1149" s="30" t="inlineStr">
        <is>
          <t>QS2024</t>
        </is>
      </c>
      <c r="D1149" s="30" t="inlineStr">
        <is>
          <t>Part time</t>
        </is>
      </c>
      <c r="E1149" s="42">
        <f>VLOOKUP(A1149,'[1]Virtus SAMPLE PositionHistorySa'!$A:$L,12,0)</f>
        <v/>
      </c>
      <c r="F1149" s="31" t="inlineStr">
        <is>
          <t>11.35</t>
        </is>
      </c>
      <c r="G1149" s="32" t="n"/>
      <c r="H1149" s="32" t="n"/>
      <c r="I1149" s="29" t="n"/>
    </row>
    <row r="1150">
      <c r="A1150" s="29" t="n">
        <v>60180</v>
      </c>
      <c r="B1150" s="30" t="inlineStr">
        <is>
          <t>NSW-QLD</t>
        </is>
      </c>
      <c r="C1150" s="30" t="inlineStr">
        <is>
          <t>IVFS2023</t>
        </is>
      </c>
      <c r="D1150" s="30" t="inlineStr">
        <is>
          <t>Full time</t>
        </is>
      </c>
      <c r="E1150" s="42">
        <f>VLOOKUP(A1150,'[1]Virtus SAMPLE PositionHistorySa'!$A:$L,12,0)</f>
        <v/>
      </c>
      <c r="F1150" s="31" t="inlineStr">
        <is>
          <t>11.17</t>
        </is>
      </c>
      <c r="G1150" s="32">
        <f>VLOOKUP(A1150,Sheet3!A:K,10,0)/38</f>
        <v/>
      </c>
      <c r="H1150" s="32">
        <f>F1150-G1150</f>
        <v/>
      </c>
      <c r="I1150" s="29" t="n"/>
    </row>
    <row r="1151">
      <c r="A1151" s="29" t="n">
        <v>90063</v>
      </c>
      <c r="B1151" s="30" t="inlineStr">
        <is>
          <t>NSW-QLD</t>
        </is>
      </c>
      <c r="C1151" s="30" t="inlineStr">
        <is>
          <t>IVFS2023</t>
        </is>
      </c>
      <c r="D1151" s="30" t="inlineStr">
        <is>
          <t>Full time</t>
        </is>
      </c>
      <c r="E1151" s="42">
        <f>VLOOKUP(A1151,'[1]Virtus SAMPLE PositionHistorySa'!$A:$L,12,0)</f>
        <v/>
      </c>
      <c r="F1151" s="31" t="inlineStr">
        <is>
          <t>7.16</t>
        </is>
      </c>
      <c r="G1151" s="32">
        <f>VLOOKUP(A1151,Sheet3!A:K,10,0)/38</f>
        <v/>
      </c>
      <c r="H1151" s="32">
        <f>F1151-G1151</f>
        <v/>
      </c>
      <c r="I1151" s="29" t="n"/>
    </row>
    <row r="1152">
      <c r="A1152" s="29" t="inlineStr">
        <is>
          <t>AU23745</t>
        </is>
      </c>
      <c r="B1152" s="30" t="inlineStr">
        <is>
          <t>VIC-TAS</t>
        </is>
      </c>
      <c r="C1152" s="30" t="inlineStr">
        <is>
          <t>MIVFN2023</t>
        </is>
      </c>
      <c r="D1152" s="30" t="inlineStr">
        <is>
          <t>Full time</t>
        </is>
      </c>
      <c r="E1152" s="42">
        <f>VLOOKUP(A1152,'[1]Virtus SAMPLE PositionHistorySa'!$A:$L,12,0)</f>
        <v/>
      </c>
      <c r="F1152" s="31" t="inlineStr">
        <is>
          <t>0.23</t>
        </is>
      </c>
      <c r="G1152" s="32">
        <f>VLOOKUP(A1152,Sheet3!A:K,10,0)/38</f>
        <v/>
      </c>
      <c r="H1152" s="32">
        <f>F1152-G1152</f>
        <v/>
      </c>
      <c r="I1152" s="29" t="n"/>
    </row>
    <row r="1153">
      <c r="A1153" s="29" t="inlineStr">
        <is>
          <t>AU23727</t>
        </is>
      </c>
      <c r="B1153" s="30" t="inlineStr">
        <is>
          <t>NSW-QLD</t>
        </is>
      </c>
      <c r="C1153" s="30" t="inlineStr">
        <is>
          <t>VIC</t>
        </is>
      </c>
      <c r="D1153" s="30" t="inlineStr">
        <is>
          <t>Full time</t>
        </is>
      </c>
      <c r="E1153" s="42">
        <f>VLOOKUP(A1153,'[1]Virtus SAMPLE PositionHistorySa'!$A:$L,12,0)</f>
        <v/>
      </c>
      <c r="F1153" s="31" t="inlineStr">
        <is>
          <t>0.23</t>
        </is>
      </c>
      <c r="G1153" s="32">
        <f>VLOOKUP(A1153,Sheet3!A:K,10,0)/38</f>
        <v/>
      </c>
      <c r="H1153" s="32">
        <f>F1153-G1153</f>
        <v/>
      </c>
      <c r="I1153" s="29" t="n"/>
    </row>
    <row r="1154">
      <c r="A1154" s="29" t="inlineStr">
        <is>
          <t>AU23688</t>
        </is>
      </c>
      <c r="B1154" s="30" t="inlineStr">
        <is>
          <t>NSW-QLD</t>
        </is>
      </c>
      <c r="C1154" s="30" t="inlineStr">
        <is>
          <t>IVFS2023</t>
        </is>
      </c>
      <c r="D1154" s="30" t="inlineStr">
        <is>
          <t>Casual</t>
        </is>
      </c>
      <c r="E1154" s="42">
        <f>VLOOKUP(A1154,'[1]Virtus SAMPLE PositionHistorySa'!$A:$L,12,0)</f>
        <v/>
      </c>
      <c r="F1154" s="31" t="inlineStr">
        <is>
          <t>0.23</t>
        </is>
      </c>
      <c r="G1154" s="32" t="n"/>
      <c r="H1154" s="32" t="n"/>
      <c r="I1154" s="29" t="n"/>
    </row>
    <row r="1155">
      <c r="A1155" s="29" t="inlineStr">
        <is>
          <t>AU23708</t>
        </is>
      </c>
      <c r="B1155" s="30" t="inlineStr">
        <is>
          <t>NSW-QLD</t>
        </is>
      </c>
      <c r="C1155" s="30" t="inlineStr">
        <is>
          <t>IVFN2021</t>
        </is>
      </c>
      <c r="D1155" s="30" t="inlineStr">
        <is>
          <t>Part time</t>
        </is>
      </c>
      <c r="E1155" s="42">
        <f>VLOOKUP(A1155,'[1]Virtus SAMPLE PositionHistorySa'!$A:$L,12,0)</f>
        <v/>
      </c>
      <c r="F1155" s="31" t="inlineStr">
        <is>
          <t>0.23</t>
        </is>
      </c>
      <c r="G1155" s="32" t="n"/>
      <c r="H1155" s="32" t="n"/>
      <c r="I1155" s="29" t="n"/>
    </row>
    <row r="1156">
      <c r="A1156" s="29" t="inlineStr">
        <is>
          <t>AU23724</t>
        </is>
      </c>
      <c r="B1156" s="30" t="inlineStr">
        <is>
          <t>NSW-QLD</t>
        </is>
      </c>
      <c r="C1156" s="30" t="inlineStr">
        <is>
          <t>IVFN2021</t>
        </is>
      </c>
      <c r="D1156" s="30" t="inlineStr">
        <is>
          <t>Part time</t>
        </is>
      </c>
      <c r="E1156" s="42">
        <f>VLOOKUP(A1156,'[1]Virtus SAMPLE PositionHistorySa'!$A:$L,12,0)</f>
        <v/>
      </c>
      <c r="F1156" s="31" t="inlineStr">
        <is>
          <t>0.23</t>
        </is>
      </c>
      <c r="G1156" s="32" t="n"/>
      <c r="H1156" s="32" t="n"/>
      <c r="I1156" s="29" t="n"/>
    </row>
    <row r="1157">
      <c r="A1157" s="29" t="inlineStr">
        <is>
          <t>AU23728</t>
        </is>
      </c>
      <c r="B1157" s="30" t="inlineStr">
        <is>
          <t>VIC-TAS</t>
        </is>
      </c>
      <c r="C1157" s="30" t="inlineStr">
        <is>
          <t>MIVFN2023</t>
        </is>
      </c>
      <c r="D1157" s="30" t="inlineStr">
        <is>
          <t>Part time</t>
        </is>
      </c>
      <c r="E1157" s="42">
        <f>VLOOKUP(A1157,'[1]Virtus SAMPLE PositionHistorySa'!$A:$L,12,0)</f>
        <v/>
      </c>
      <c r="F1157" s="31" t="inlineStr">
        <is>
          <t>0.23</t>
        </is>
      </c>
      <c r="G1157" s="32" t="n"/>
      <c r="H1157" s="32" t="n"/>
      <c r="I1157" s="29" t="n"/>
    </row>
    <row r="1158">
      <c r="A1158" s="29" t="inlineStr">
        <is>
          <t>AU23746</t>
        </is>
      </c>
      <c r="B1158" s="30" t="inlineStr">
        <is>
          <t>VIC-TAS</t>
        </is>
      </c>
      <c r="C1158" s="30" t="inlineStr">
        <is>
          <t>MIVFN2023</t>
        </is>
      </c>
      <c r="D1158" s="30" t="inlineStr">
        <is>
          <t>Casual</t>
        </is>
      </c>
      <c r="E1158" s="42">
        <f>VLOOKUP(A1158,'[1]Virtus SAMPLE PositionHistorySa'!$A:$L,12,0)</f>
        <v/>
      </c>
      <c r="F1158" s="31" t="inlineStr">
        <is>
          <t>0.23</t>
        </is>
      </c>
      <c r="G1158" s="32" t="n"/>
      <c r="H1158" s="32" t="n"/>
      <c r="I1158" s="29" t="n"/>
    </row>
    <row r="1159">
      <c r="A1159" s="29" t="inlineStr">
        <is>
          <t>AU23747</t>
        </is>
      </c>
      <c r="B1159" s="30" t="inlineStr">
        <is>
          <t>VIC-TAS</t>
        </is>
      </c>
      <c r="C1159" s="30" t="inlineStr">
        <is>
          <t>MIVFN2023</t>
        </is>
      </c>
      <c r="D1159" s="30" t="inlineStr">
        <is>
          <t>Part time</t>
        </is>
      </c>
      <c r="E1159" s="42">
        <f>VLOOKUP(A1159,'[1]Virtus SAMPLE PositionHistorySa'!$A:$L,12,0)</f>
        <v/>
      </c>
      <c r="F1159" s="31" t="inlineStr">
        <is>
          <t>0.23</t>
        </is>
      </c>
      <c r="G1159" s="32" t="n"/>
      <c r="H1159" s="32" t="n"/>
      <c r="I1159" s="29" t="n"/>
    </row>
    <row r="1160">
      <c r="A1160" s="29" t="inlineStr">
        <is>
          <t>AU23752</t>
        </is>
      </c>
      <c r="B1160" s="30" t="inlineStr">
        <is>
          <t>NSW-QLD</t>
        </is>
      </c>
      <c r="C1160" s="30" t="inlineStr">
        <is>
          <t>QS2024</t>
        </is>
      </c>
      <c r="D1160" s="30" t="inlineStr">
        <is>
          <t>Casual</t>
        </is>
      </c>
      <c r="E1160" s="42">
        <f>VLOOKUP(A1160,'[1]Virtus SAMPLE PositionHistorySa'!$A:$L,12,0)</f>
        <v/>
      </c>
      <c r="F1160" s="31" t="inlineStr">
        <is>
          <t>0.23</t>
        </is>
      </c>
      <c r="G1160" s="32" t="n"/>
      <c r="H1160" s="32" t="n"/>
      <c r="I1160" s="29" t="n"/>
    </row>
    <row r="1161">
      <c r="A1161" s="29" t="n">
        <v>30020</v>
      </c>
      <c r="B1161" s="30" t="inlineStr">
        <is>
          <t>NSW-QLD</t>
        </is>
      </c>
      <c r="C1161" s="30" t="inlineStr">
        <is>
          <t>IVFN2021</t>
        </is>
      </c>
      <c r="D1161" s="30" t="inlineStr">
        <is>
          <t>Part time</t>
        </is>
      </c>
      <c r="E1161" s="42">
        <f>VLOOKUP(A1161,'[1]Virtus SAMPLE PositionHistorySa'!$A:$L,12,0)</f>
        <v/>
      </c>
      <c r="F1161" s="31" t="inlineStr">
        <is>
          <t>7.22</t>
        </is>
      </c>
      <c r="G1161" s="32" t="n"/>
      <c r="H1161" s="32" t="n"/>
      <c r="I1161" s="29" t="n"/>
    </row>
    <row r="1162">
      <c r="A1162" s="29" t="n">
        <v>20350</v>
      </c>
      <c r="B1162" s="30" t="inlineStr">
        <is>
          <t>NSW-QLD</t>
        </is>
      </c>
      <c r="C1162" s="30" t="inlineStr">
        <is>
          <t>IVFS2023</t>
        </is>
      </c>
      <c r="D1162" s="30" t="inlineStr">
        <is>
          <t>Full time</t>
        </is>
      </c>
      <c r="E1162" s="42">
        <f>VLOOKUP(A1162,'[1]Virtus SAMPLE PositionHistorySa'!$A:$L,12,0)</f>
        <v/>
      </c>
      <c r="F1162" s="31" t="inlineStr">
        <is>
          <t>10.63</t>
        </is>
      </c>
      <c r="G1162" s="32">
        <f>VLOOKUP(A1162,Sheet3!A:K,10,0)/38</f>
        <v/>
      </c>
      <c r="H1162" s="32">
        <f>F1162-G1162</f>
        <v/>
      </c>
      <c r="I1162" s="29" t="n"/>
    </row>
    <row r="1163">
      <c r="A1163" s="29" t="n">
        <v>92</v>
      </c>
      <c r="B1163" s="30" t="inlineStr">
        <is>
          <t>VIC-TAS</t>
        </is>
      </c>
      <c r="C1163" s="30" t="inlineStr">
        <is>
          <t>TIVF2024</t>
        </is>
      </c>
      <c r="D1163" s="30" t="inlineStr">
        <is>
          <t>Full time</t>
        </is>
      </c>
      <c r="E1163" s="42">
        <f>VLOOKUP(A1163,'[1]Virtus SAMPLE PositionHistorySa'!$A:$L,12,0)</f>
        <v/>
      </c>
      <c r="F1163" s="31" t="inlineStr">
        <is>
          <t>5.43</t>
        </is>
      </c>
      <c r="G1163" s="32">
        <f>VLOOKUP(A1163,Sheet3!A:K,10,0)/38</f>
        <v/>
      </c>
      <c r="H1163" s="32">
        <f>F1163-G1163</f>
        <v/>
      </c>
      <c r="I1163" s="29" t="n"/>
    </row>
    <row r="1164">
      <c r="A1164" s="29" t="n">
        <v>60041</v>
      </c>
      <c r="B1164" s="30" t="inlineStr">
        <is>
          <t>NSW-QLD</t>
        </is>
      </c>
      <c r="C1164" s="30" t="inlineStr">
        <is>
          <t>QN2025</t>
        </is>
      </c>
      <c r="D1164" s="30" t="inlineStr">
        <is>
          <t>Casual</t>
        </is>
      </c>
      <c r="E1164" s="42">
        <f>VLOOKUP(A1164,'[1]Virtus SAMPLE PositionHistorySa'!$A:$L,12,0)</f>
        <v/>
      </c>
      <c r="F1164" s="31" t="inlineStr">
        <is>
          <t>8.14</t>
        </is>
      </c>
      <c r="G1164" s="32" t="n"/>
      <c r="H1164" s="32" t="n"/>
      <c r="I1164" s="29" t="n"/>
    </row>
    <row r="1165">
      <c r="A1165" s="29" t="inlineStr">
        <is>
          <t>AU23278</t>
        </is>
      </c>
      <c r="B1165" s="30" t="inlineStr">
        <is>
          <t>VIC-TAS</t>
        </is>
      </c>
      <c r="C1165" s="30" t="inlineStr">
        <is>
          <t>MIVFN2023</t>
        </is>
      </c>
      <c r="D1165" s="30" t="inlineStr">
        <is>
          <t>Full time</t>
        </is>
      </c>
      <c r="E1165" s="42">
        <f>VLOOKUP(A1165,'[1]Virtus SAMPLE PositionHistorySa'!$A:$L,12,0)</f>
        <v/>
      </c>
      <c r="F1165" s="31" t="inlineStr">
        <is>
          <t>1.09</t>
        </is>
      </c>
      <c r="G1165" s="32">
        <f>VLOOKUP(A1165,Sheet3!A:K,10,0)/38</f>
        <v/>
      </c>
      <c r="H1165" s="32">
        <f>F1165-G1165</f>
        <v/>
      </c>
      <c r="I1165" s="29" t="n"/>
    </row>
    <row r="1166">
      <c r="A1166" s="29" t="inlineStr">
        <is>
          <t>AU23286</t>
        </is>
      </c>
      <c r="B1166" s="30" t="inlineStr">
        <is>
          <t>NSW-QLD</t>
        </is>
      </c>
      <c r="C1166" s="30" t="inlineStr">
        <is>
          <t>QN2025</t>
        </is>
      </c>
      <c r="D1166" s="30" t="inlineStr">
        <is>
          <t>Casual</t>
        </is>
      </c>
      <c r="E1166" s="42">
        <f>VLOOKUP(A1166,'[1]Virtus SAMPLE PositionHistorySa'!$A:$L,12,0)</f>
        <v/>
      </c>
      <c r="F1166" s="31" t="inlineStr">
        <is>
          <t>1.64</t>
        </is>
      </c>
      <c r="G1166" s="32" t="n"/>
      <c r="H1166" s="32" t="n"/>
      <c r="I1166" s="29" t="n"/>
    </row>
    <row r="1167">
      <c r="A1167" s="29" t="inlineStr">
        <is>
          <t>AU22908</t>
        </is>
      </c>
      <c r="B1167" s="30" t="inlineStr">
        <is>
          <t>NSW-QLD</t>
        </is>
      </c>
      <c r="C1167" s="30" t="inlineStr">
        <is>
          <t>QS2024</t>
        </is>
      </c>
      <c r="D1167" s="30" t="inlineStr">
        <is>
          <t>Full time</t>
        </is>
      </c>
      <c r="E1167" s="42">
        <f>VLOOKUP(A1167,'[1]Virtus SAMPLE PositionHistorySa'!$A:$L,12,0)</f>
        <v/>
      </c>
      <c r="F1167" s="31" t="inlineStr">
        <is>
          <t>1.96</t>
        </is>
      </c>
      <c r="G1167" s="32">
        <f>VLOOKUP(A1167,Sheet3!A:K,10,0)/38</f>
        <v/>
      </c>
      <c r="H1167" s="32">
        <f>F1167-G1167</f>
        <v/>
      </c>
      <c r="I1167" s="29" t="n"/>
    </row>
    <row r="1168">
      <c r="A1168" s="29" t="inlineStr">
        <is>
          <t>AU22927</t>
        </is>
      </c>
      <c r="B1168" s="30" t="inlineStr">
        <is>
          <t>NSW-QLD</t>
        </is>
      </c>
      <c r="C1168" s="30" t="inlineStr">
        <is>
          <t>QS2024</t>
        </is>
      </c>
      <c r="D1168" s="30" t="inlineStr">
        <is>
          <t>Full time</t>
        </is>
      </c>
      <c r="E1168" s="42">
        <f>VLOOKUP(A1168,'[1]Virtus SAMPLE PositionHistorySa'!$A:$L,12,0)</f>
        <v/>
      </c>
      <c r="F1168" s="31" t="inlineStr">
        <is>
          <t>1.96</t>
        </is>
      </c>
      <c r="G1168" s="32">
        <f>VLOOKUP(A1168,Sheet3!A:K,10,0)/38</f>
        <v/>
      </c>
      <c r="H1168" s="32">
        <f>F1168-G1168</f>
        <v/>
      </c>
      <c r="I1168" s="29" t="n"/>
    </row>
    <row r="1169">
      <c r="A1169" s="29" t="inlineStr">
        <is>
          <t>AU22904</t>
        </is>
      </c>
      <c r="B1169" s="30" t="inlineStr">
        <is>
          <t>NSW-QLD</t>
        </is>
      </c>
      <c r="C1169" s="30" t="inlineStr">
        <is>
          <t>IVFS2023</t>
        </is>
      </c>
      <c r="D1169" s="30" t="inlineStr">
        <is>
          <t>Part time</t>
        </is>
      </c>
      <c r="E1169" s="42">
        <f>VLOOKUP(A1169,'[1]Virtus SAMPLE PositionHistorySa'!$A:$L,12,0)</f>
        <v/>
      </c>
      <c r="F1169" s="31" t="inlineStr">
        <is>
          <t>1.96</t>
        </is>
      </c>
      <c r="G1169" s="32" t="n"/>
      <c r="H1169" s="32" t="n"/>
      <c r="I1169" s="29" t="n"/>
    </row>
    <row r="1170">
      <c r="A1170" s="29" t="inlineStr">
        <is>
          <t>AU22913</t>
        </is>
      </c>
      <c r="B1170" s="30" t="inlineStr">
        <is>
          <t>NSW-QLD</t>
        </is>
      </c>
      <c r="C1170" s="30" t="inlineStr">
        <is>
          <t>IVFS2023</t>
        </is>
      </c>
      <c r="D1170" s="30" t="inlineStr">
        <is>
          <t>Part time</t>
        </is>
      </c>
      <c r="E1170" s="42">
        <f>VLOOKUP(A1170,'[1]Virtus SAMPLE PositionHistorySa'!$A:$L,12,0)</f>
        <v/>
      </c>
      <c r="F1170" s="31" t="inlineStr">
        <is>
          <t>1.96</t>
        </is>
      </c>
      <c r="G1170" s="32" t="n"/>
      <c r="H1170" s="32" t="n"/>
      <c r="I1170" s="29" t="n"/>
    </row>
    <row r="1171">
      <c r="A1171" s="29" t="inlineStr">
        <is>
          <t>AU23296</t>
        </is>
      </c>
      <c r="B1171" s="30" t="inlineStr">
        <is>
          <t>NSW-QLD</t>
        </is>
      </c>
      <c r="C1171" s="30" t="inlineStr">
        <is>
          <t>IVFN2021</t>
        </is>
      </c>
      <c r="D1171" s="30" t="inlineStr">
        <is>
          <t>Casual</t>
        </is>
      </c>
      <c r="E1171" s="42">
        <f>VLOOKUP(A1171,'[1]Virtus SAMPLE PositionHistorySa'!$A:$L,12,0)</f>
        <v/>
      </c>
      <c r="F1171" s="31" t="inlineStr">
        <is>
          <t>1.09</t>
        </is>
      </c>
      <c r="G1171" s="32" t="n"/>
      <c r="H1171" s="32" t="n"/>
      <c r="I1171" s="29" t="n"/>
    </row>
    <row r="1172">
      <c r="A1172" s="29" t="n">
        <v>90081</v>
      </c>
      <c r="B1172" s="30" t="inlineStr">
        <is>
          <t>NSW-QLD</t>
        </is>
      </c>
      <c r="C1172" s="30" t="inlineStr">
        <is>
          <t>IVFS2023</t>
        </is>
      </c>
      <c r="D1172" s="30" t="inlineStr">
        <is>
          <t>Casual</t>
        </is>
      </c>
      <c r="E1172" s="42">
        <f>VLOOKUP(A1172,'[1]Virtus SAMPLE PositionHistorySa'!$A:$L,12,0)</f>
        <v/>
      </c>
      <c r="F1172" s="31" t="inlineStr">
        <is>
          <t>6.29</t>
        </is>
      </c>
      <c r="G1172" s="32" t="n"/>
      <c r="H1172" s="32" t="n"/>
      <c r="I1172" s="29" t="n"/>
    </row>
    <row r="1173">
      <c r="A1173" s="29" t="n">
        <v>20874</v>
      </c>
      <c r="B1173" s="30" t="inlineStr">
        <is>
          <t>NSW-QLD</t>
        </is>
      </c>
      <c r="C1173" s="30" t="inlineStr">
        <is>
          <t>NSW</t>
        </is>
      </c>
      <c r="D1173" s="30" t="inlineStr">
        <is>
          <t>Full time</t>
        </is>
      </c>
      <c r="E1173" s="42">
        <f>VLOOKUP(A1173,'[1]Virtus SAMPLE PositionHistorySa'!$A:$L,12,0)</f>
        <v/>
      </c>
      <c r="F1173" s="31" t="inlineStr">
        <is>
          <t>3.69</t>
        </is>
      </c>
      <c r="G1173" s="32">
        <f>VLOOKUP(A1173,Sheet3!A:K,10,0)/38</f>
        <v/>
      </c>
      <c r="H1173" s="32">
        <f>F1173-G1173</f>
        <v/>
      </c>
      <c r="I1173" s="29" t="n"/>
    </row>
    <row r="1174">
      <c r="A1174" s="29" t="n">
        <v>60177</v>
      </c>
      <c r="B1174" s="30" t="inlineStr">
        <is>
          <t>NSW-QLD</t>
        </is>
      </c>
      <c r="C1174" s="30" t="inlineStr">
        <is>
          <t>QN2025</t>
        </is>
      </c>
      <c r="D1174" s="30" t="inlineStr">
        <is>
          <t>Full time</t>
        </is>
      </c>
      <c r="E1174" s="42">
        <f>VLOOKUP(A1174,'[1]Virtus SAMPLE PositionHistorySa'!$A:$L,12,0)</f>
        <v/>
      </c>
      <c r="F1174" s="31" t="inlineStr">
        <is>
          <t>5.53</t>
        </is>
      </c>
      <c r="G1174" s="32">
        <f>VLOOKUP(A1174,Sheet3!A:K,10,0)/38</f>
        <v/>
      </c>
      <c r="H1174" s="32">
        <f>F1174-G1174</f>
        <v/>
      </c>
      <c r="I1174" s="29" t="n"/>
    </row>
    <row r="1175">
      <c r="A1175" s="29" t="n">
        <v>80427</v>
      </c>
      <c r="B1175" s="30" t="inlineStr">
        <is>
          <t>NSW-QLD</t>
        </is>
      </c>
      <c r="C1175" s="30" t="inlineStr">
        <is>
          <t>QLD</t>
        </is>
      </c>
      <c r="D1175" s="30" t="inlineStr">
        <is>
          <t>Full time</t>
        </is>
      </c>
      <c r="E1175" s="42">
        <f>VLOOKUP(A1175,'[1]Virtus SAMPLE PositionHistorySa'!$A:$L,12,0)</f>
        <v/>
      </c>
      <c r="F1175" s="31" t="inlineStr">
        <is>
          <t>3.69</t>
        </is>
      </c>
      <c r="G1175" s="32">
        <f>VLOOKUP(A1175,Sheet3!A:K,10,0)/38</f>
        <v/>
      </c>
      <c r="H1175" s="32">
        <f>F1175-G1175</f>
        <v/>
      </c>
      <c r="I1175" s="29" t="n"/>
    </row>
    <row r="1176">
      <c r="A1176" s="29" t="n">
        <v>20171</v>
      </c>
      <c r="B1176" s="30" t="inlineStr">
        <is>
          <t>NSW-QLD</t>
        </is>
      </c>
      <c r="C1176" s="30" t="inlineStr">
        <is>
          <t>IVFT2024</t>
        </is>
      </c>
      <c r="D1176" s="30" t="inlineStr">
        <is>
          <t>Part time</t>
        </is>
      </c>
      <c r="E1176" s="42">
        <f>VLOOKUP(A1176,'[1]Virtus SAMPLE PositionHistorySa'!$A:$L,12,0)</f>
        <v/>
      </c>
      <c r="F1176" s="31" t="inlineStr">
        <is>
          <t>17.96</t>
        </is>
      </c>
      <c r="G1176" s="32" t="n"/>
      <c r="H1176" s="32" t="n"/>
      <c r="I1176" s="29" t="n"/>
    </row>
    <row r="1177">
      <c r="A1177" s="29" t="n">
        <v>20538</v>
      </c>
      <c r="B1177" s="30" t="inlineStr">
        <is>
          <t>NSW-QLD</t>
        </is>
      </c>
      <c r="C1177" s="30" t="inlineStr">
        <is>
          <t>IVFT2024</t>
        </is>
      </c>
      <c r="D1177" s="30" t="inlineStr">
        <is>
          <t>Part time</t>
        </is>
      </c>
      <c r="E1177" s="42">
        <f>VLOOKUP(A1177,'[1]Virtus SAMPLE PositionHistorySa'!$A:$L,12,0)</f>
        <v/>
      </c>
      <c r="F1177" s="31" t="inlineStr">
        <is>
          <t>8.02</t>
        </is>
      </c>
      <c r="G1177" s="32" t="n"/>
      <c r="H1177" s="32" t="n"/>
      <c r="I1177" s="29" t="n"/>
    </row>
    <row r="1178">
      <c r="A1178" s="29" t="n">
        <v>20765</v>
      </c>
      <c r="B1178" s="30" t="inlineStr">
        <is>
          <t>NSW-QLD</t>
        </is>
      </c>
      <c r="C1178" s="30" t="inlineStr">
        <is>
          <t>NSW</t>
        </is>
      </c>
      <c r="D1178" s="30" t="inlineStr">
        <is>
          <t>Full time</t>
        </is>
      </c>
      <c r="E1178" s="42">
        <f>VLOOKUP(A1178,'[1]Virtus SAMPLE PositionHistorySa'!$A:$L,12,0)</f>
        <v/>
      </c>
      <c r="F1178" s="31" t="inlineStr">
        <is>
          <t>4.55</t>
        </is>
      </c>
      <c r="G1178" s="32">
        <f>VLOOKUP(A1178,Sheet3!A:K,10,0)/38</f>
        <v/>
      </c>
      <c r="H1178" s="32">
        <f>F1178-G1178</f>
        <v/>
      </c>
      <c r="I1178" s="29" t="n"/>
    </row>
    <row r="1179">
      <c r="A1179" s="29" t="n">
        <v>115</v>
      </c>
      <c r="B1179" s="30" t="inlineStr">
        <is>
          <t>VIC-TAS</t>
        </is>
      </c>
      <c r="C1179" s="30" t="inlineStr">
        <is>
          <t>TIVF2024</t>
        </is>
      </c>
      <c r="D1179" s="30" t="inlineStr">
        <is>
          <t>Casual</t>
        </is>
      </c>
      <c r="E1179" s="42">
        <f>VLOOKUP(A1179,'[1]Virtus SAMPLE PositionHistorySa'!$A:$L,12,0)</f>
        <v/>
      </c>
      <c r="F1179" s="31" t="inlineStr">
        <is>
          <t>4.55</t>
        </is>
      </c>
      <c r="G1179" s="32" t="n"/>
      <c r="H1179" s="32" t="n"/>
      <c r="I1179" s="29" t="n"/>
    </row>
    <row r="1180">
      <c r="A1180" s="29" t="n">
        <v>20762</v>
      </c>
      <c r="B1180" s="30" t="inlineStr">
        <is>
          <t>NSW-QLD</t>
        </is>
      </c>
      <c r="C1180" s="30" t="inlineStr">
        <is>
          <t>IVFN2021</t>
        </is>
      </c>
      <c r="D1180" s="30" t="inlineStr">
        <is>
          <t>Part time</t>
        </is>
      </c>
      <c r="E1180" s="42">
        <f>VLOOKUP(A1180,'[1]Virtus SAMPLE PositionHistorySa'!$A:$L,12,0)</f>
        <v/>
      </c>
      <c r="F1180" s="31" t="inlineStr">
        <is>
          <t>4.55</t>
        </is>
      </c>
      <c r="G1180" s="32" t="n"/>
      <c r="H1180" s="32" t="n"/>
      <c r="I1180" s="29" t="n"/>
    </row>
    <row r="1181">
      <c r="A1181" s="29" t="n">
        <v>50168</v>
      </c>
      <c r="B1181" s="30" t="inlineStr">
        <is>
          <t>NSW-QLD</t>
        </is>
      </c>
      <c r="C1181" s="30" t="inlineStr">
        <is>
          <t>IVFN2021</t>
        </is>
      </c>
      <c r="D1181" s="30" t="inlineStr">
        <is>
          <t>Casual</t>
        </is>
      </c>
      <c r="E1181" s="42">
        <f>VLOOKUP(A1181,'[1]Virtus SAMPLE PositionHistorySa'!$A:$L,12,0)</f>
        <v/>
      </c>
      <c r="F1181" s="31" t="inlineStr">
        <is>
          <t>4.55</t>
        </is>
      </c>
      <c r="G1181" s="32" t="n"/>
      <c r="H1181" s="32" t="n"/>
      <c r="I1181" s="29" t="n"/>
    </row>
    <row r="1182">
      <c r="A1182" s="29" t="n">
        <v>20870</v>
      </c>
      <c r="B1182" s="30" t="inlineStr">
        <is>
          <t>NSW-QLD</t>
        </is>
      </c>
      <c r="C1182" s="30" t="inlineStr">
        <is>
          <t>IVFN2021</t>
        </is>
      </c>
      <c r="D1182" s="30" t="inlineStr">
        <is>
          <t>Full time</t>
        </is>
      </c>
      <c r="E1182" s="42">
        <f>VLOOKUP(A1182,'[1]Virtus SAMPLE PositionHistorySa'!$A:$L,12,0)</f>
        <v/>
      </c>
      <c r="F1182" s="31" t="inlineStr">
        <is>
          <t>3.68</t>
        </is>
      </c>
      <c r="G1182" s="32">
        <f>VLOOKUP(A1182,Sheet3!A:K,10,0)/38</f>
        <v/>
      </c>
      <c r="H1182" s="32">
        <f>F1182-G1182</f>
        <v/>
      </c>
      <c r="I1182" s="29" t="n"/>
    </row>
    <row r="1183">
      <c r="A1183" s="29" t="n">
        <v>20158</v>
      </c>
      <c r="B1183" s="30" t="inlineStr">
        <is>
          <t>NSW-QLD</t>
        </is>
      </c>
      <c r="C1183" s="30" t="inlineStr">
        <is>
          <t>NSW</t>
        </is>
      </c>
      <c r="D1183" s="30" t="inlineStr">
        <is>
          <t>Full time</t>
        </is>
      </c>
      <c r="E1183" s="42">
        <f>VLOOKUP(A1183,'[1]Virtus SAMPLE PositionHistorySa'!$A:$L,12,0)</f>
        <v/>
      </c>
      <c r="F1183" s="31" t="inlineStr">
        <is>
          <t>4.81</t>
        </is>
      </c>
      <c r="G1183" s="32">
        <f>VLOOKUP(A1183,Sheet3!A:K,10,0)/38</f>
        <v/>
      </c>
      <c r="H1183" s="32">
        <f>F1183-G1183</f>
        <v/>
      </c>
      <c r="I1183" s="29" t="n"/>
    </row>
    <row r="1184">
      <c r="A1184" s="29" t="n">
        <v>20399</v>
      </c>
      <c r="B1184" s="30" t="inlineStr">
        <is>
          <t>NSW-QLD</t>
        </is>
      </c>
      <c r="C1184" s="30" t="inlineStr">
        <is>
          <t>IVFN2021</t>
        </is>
      </c>
      <c r="D1184" s="30" t="inlineStr">
        <is>
          <t>Full time</t>
        </is>
      </c>
      <c r="E1184" s="42">
        <f>VLOOKUP(A1184,'[1]Virtus SAMPLE PositionHistorySa'!$A:$L,12,0)</f>
        <v/>
      </c>
      <c r="F1184" s="31" t="inlineStr">
        <is>
          <t>7.00</t>
        </is>
      </c>
      <c r="G1184" s="32">
        <f>VLOOKUP(A1184,Sheet3!A:K,10,0)/38</f>
        <v/>
      </c>
      <c r="H1184" s="32">
        <f>F1184-G1184</f>
        <v/>
      </c>
      <c r="I1184" s="29" t="n"/>
    </row>
    <row r="1185">
      <c r="A1185" s="29" t="n">
        <v>40064</v>
      </c>
      <c r="B1185" s="30" t="inlineStr">
        <is>
          <t>NSW-QLD</t>
        </is>
      </c>
      <c r="C1185" s="30" t="inlineStr">
        <is>
          <t>IVFN2021</t>
        </is>
      </c>
      <c r="D1185" s="30" t="inlineStr">
        <is>
          <t>Part time</t>
        </is>
      </c>
      <c r="E1185" s="42">
        <f>VLOOKUP(A1185,'[1]Virtus SAMPLE PositionHistorySa'!$A:$L,12,0)</f>
        <v/>
      </c>
      <c r="F1185" s="31" t="inlineStr">
        <is>
          <t>7.25</t>
        </is>
      </c>
      <c r="G1185" s="32" t="n"/>
      <c r="H1185" s="32" t="n"/>
      <c r="I1185" s="29" t="n"/>
    </row>
    <row r="1186">
      <c r="A1186" s="29" t="inlineStr">
        <is>
          <t>AU23717</t>
        </is>
      </c>
      <c r="B1186" s="30" t="inlineStr">
        <is>
          <t>VIC-TAS</t>
        </is>
      </c>
      <c r="C1186" s="30" t="inlineStr">
        <is>
          <t>MIVFS2022</t>
        </is>
      </c>
      <c r="D1186" s="30" t="inlineStr">
        <is>
          <t>Full time</t>
        </is>
      </c>
      <c r="E1186" s="42">
        <f>VLOOKUP(A1186,'[1]Virtus SAMPLE PositionHistorySa'!$A:$L,12,0)</f>
        <v/>
      </c>
      <c r="F1186" s="31" t="inlineStr">
        <is>
          <t>0.21</t>
        </is>
      </c>
      <c r="G1186" s="32">
        <f>VLOOKUP(A1186,Sheet3!A:K,10,0)/38</f>
        <v/>
      </c>
      <c r="H1186" s="32">
        <f>F1186-G1186</f>
        <v/>
      </c>
      <c r="I1186" s="29" t="n"/>
    </row>
    <row r="1187">
      <c r="A1187" s="29" t="inlineStr">
        <is>
          <t>AU23722</t>
        </is>
      </c>
      <c r="B1187" s="30" t="inlineStr">
        <is>
          <t>NSW-QLD</t>
        </is>
      </c>
      <c r="C1187" s="30" t="inlineStr">
        <is>
          <t>NSW</t>
        </is>
      </c>
      <c r="D1187" s="30" t="inlineStr">
        <is>
          <t>Full time</t>
        </is>
      </c>
      <c r="E1187" s="42">
        <f>VLOOKUP(A1187,'[1]Virtus SAMPLE PositionHistorySa'!$A:$L,12,0)</f>
        <v/>
      </c>
      <c r="F1187" s="31" t="inlineStr">
        <is>
          <t>0.21</t>
        </is>
      </c>
      <c r="G1187" s="32">
        <f>VLOOKUP(A1187,Sheet3!A:K,10,0)/38</f>
        <v/>
      </c>
      <c r="H1187" s="32">
        <f>F1187-G1187</f>
        <v/>
      </c>
      <c r="I1187" s="29" t="n"/>
    </row>
    <row r="1188">
      <c r="A1188" s="29" t="inlineStr">
        <is>
          <t>AU23821</t>
        </is>
      </c>
      <c r="B1188" s="30" t="inlineStr">
        <is>
          <t>NSW-QLD</t>
        </is>
      </c>
      <c r="C1188" s="30" t="inlineStr">
        <is>
          <t>VIC</t>
        </is>
      </c>
      <c r="D1188" s="30" t="inlineStr">
        <is>
          <t>Full time</t>
        </is>
      </c>
      <c r="E1188" s="42">
        <f>VLOOKUP(A1188,'[1]Virtus SAMPLE PositionHistorySa'!$A:$L,12,0)</f>
        <v/>
      </c>
      <c r="F1188" s="31" t="inlineStr">
        <is>
          <t>0.21</t>
        </is>
      </c>
      <c r="G1188" s="32">
        <f>VLOOKUP(A1188,Sheet3!A:K,10,0)/38</f>
        <v/>
      </c>
      <c r="H1188" s="32">
        <f>F1188-G1188</f>
        <v/>
      </c>
      <c r="I1188" s="29" t="n"/>
    </row>
    <row r="1189">
      <c r="A1189" s="29" t="inlineStr">
        <is>
          <t>AU23725</t>
        </is>
      </c>
      <c r="B1189" s="30" t="inlineStr">
        <is>
          <t>VIC-TAS</t>
        </is>
      </c>
      <c r="C1189" s="30" t="inlineStr">
        <is>
          <t>MIVFN2023</t>
        </is>
      </c>
      <c r="D1189" s="30">
        <f>VLOOKUP(A1189,Sheet3!A:E,5,0)</f>
        <v/>
      </c>
      <c r="E1189" s="42">
        <f>VLOOKUP(A1189,'[1]Virtus SAMPLE PositionHistorySa'!$A:$L,12,0)</f>
        <v/>
      </c>
      <c r="F1189" s="31" t="inlineStr">
        <is>
          <t>0.21</t>
        </is>
      </c>
      <c r="G1189" s="32" t="n"/>
      <c r="H1189" s="32" t="n"/>
      <c r="I1189" s="29" t="n"/>
    </row>
    <row r="1190">
      <c r="A1190" s="29" t="inlineStr">
        <is>
          <t>AU23736</t>
        </is>
      </c>
      <c r="B1190" s="30" t="inlineStr">
        <is>
          <t>VIC-TAS</t>
        </is>
      </c>
      <c r="C1190" s="30" t="inlineStr">
        <is>
          <t>MIVFN2023</t>
        </is>
      </c>
      <c r="D1190" s="30">
        <f>VLOOKUP(A1190,Sheet3!A:E,5,0)</f>
        <v/>
      </c>
      <c r="E1190" s="42">
        <f>VLOOKUP(A1190,'[1]Virtus SAMPLE PositionHistorySa'!$A:$L,12,0)</f>
        <v/>
      </c>
      <c r="F1190" s="31" t="inlineStr">
        <is>
          <t>0.21</t>
        </is>
      </c>
      <c r="G1190" s="32" t="n"/>
      <c r="H1190" s="32" t="n"/>
      <c r="I1190" s="29" t="n"/>
    </row>
    <row r="1191">
      <c r="A1191" s="29" t="inlineStr">
        <is>
          <t>AU23742</t>
        </is>
      </c>
      <c r="B1191" s="30" t="inlineStr">
        <is>
          <t>NSW-QLD</t>
        </is>
      </c>
      <c r="C1191" s="30" t="inlineStr">
        <is>
          <t>IVFS2023</t>
        </is>
      </c>
      <c r="D1191" s="30" t="inlineStr">
        <is>
          <t>Casual</t>
        </is>
      </c>
      <c r="E1191" s="42">
        <f>VLOOKUP(A1191,'[1]Virtus SAMPLE PositionHistorySa'!$A:$L,12,0)</f>
        <v/>
      </c>
      <c r="F1191" s="31" t="inlineStr">
        <is>
          <t>0.21</t>
        </is>
      </c>
      <c r="G1191" s="32" t="n"/>
      <c r="H1191" s="32" t="n"/>
      <c r="I1191" s="29" t="n"/>
    </row>
    <row r="1192">
      <c r="A1192" s="29" t="inlineStr">
        <is>
          <t>AU23294</t>
        </is>
      </c>
      <c r="B1192" s="30" t="inlineStr">
        <is>
          <t>VIC-TAS</t>
        </is>
      </c>
      <c r="C1192" s="30" t="inlineStr">
        <is>
          <t>TIVF2024</t>
        </is>
      </c>
      <c r="D1192" s="30" t="inlineStr">
        <is>
          <t>Full time</t>
        </is>
      </c>
      <c r="E1192" s="42">
        <f>VLOOKUP(A1192,'[1]Virtus SAMPLE PositionHistorySa'!$A:$L,12,0)</f>
        <v/>
      </c>
      <c r="F1192" s="31" t="inlineStr">
        <is>
          <t>1.08</t>
        </is>
      </c>
      <c r="G1192" s="32">
        <f>VLOOKUP(A1192,Sheet3!A:K,10,0)/38</f>
        <v/>
      </c>
      <c r="H1192" s="32">
        <f>F1192-G1192</f>
        <v/>
      </c>
      <c r="I1192" s="29" t="n"/>
    </row>
    <row r="1193">
      <c r="A1193" s="29" t="inlineStr">
        <is>
          <t>AU23740</t>
        </is>
      </c>
      <c r="B1193" s="30" t="inlineStr">
        <is>
          <t>NSW-QLD</t>
        </is>
      </c>
      <c r="C1193" s="30" t="inlineStr">
        <is>
          <t>NSW</t>
        </is>
      </c>
      <c r="D1193" s="30" t="inlineStr">
        <is>
          <t>Full time</t>
        </is>
      </c>
      <c r="E1193" s="42">
        <f>VLOOKUP(A1193,'[1]Virtus SAMPLE PositionHistorySa'!$A:$L,12,0)</f>
        <v/>
      </c>
      <c r="F1193" s="31" t="inlineStr">
        <is>
          <t>0.21</t>
        </is>
      </c>
      <c r="G1193" s="32">
        <f>VLOOKUP(A1193,Sheet3!A:K,10,0)/38</f>
        <v/>
      </c>
      <c r="H1193" s="32">
        <f>F1193-G1193</f>
        <v/>
      </c>
      <c r="I1193" s="29" t="n"/>
    </row>
    <row r="1194">
      <c r="A1194" s="29" t="inlineStr">
        <is>
          <t>AU23741</t>
        </is>
      </c>
      <c r="B1194" s="30" t="inlineStr">
        <is>
          <t>NSW-QLD</t>
        </is>
      </c>
      <c r="C1194" s="30" t="inlineStr">
        <is>
          <t>IVFS2023</t>
        </is>
      </c>
      <c r="D1194" s="30" t="inlineStr">
        <is>
          <t>Casual</t>
        </is>
      </c>
      <c r="E1194" s="42">
        <f>VLOOKUP(A1194,'[1]Virtus SAMPLE PositionHistorySa'!$A:$L,12,0)</f>
        <v/>
      </c>
      <c r="F1194" s="31" t="inlineStr">
        <is>
          <t>0.21</t>
        </is>
      </c>
      <c r="G1194" s="32" t="n"/>
      <c r="H1194" s="32" t="n"/>
      <c r="I1194" s="29" t="n"/>
    </row>
    <row r="1195">
      <c r="A1195" s="29" t="n">
        <v>1076</v>
      </c>
      <c r="B1195" s="30" t="inlineStr">
        <is>
          <t>VIC-TAS</t>
        </is>
      </c>
      <c r="C1195" s="30" t="inlineStr">
        <is>
          <t>MIVFN2023</t>
        </is>
      </c>
      <c r="D1195" s="30" t="inlineStr">
        <is>
          <t>Part time</t>
        </is>
      </c>
      <c r="E1195" s="42">
        <f>VLOOKUP(A1195,'[1]Virtus SAMPLE PositionHistorySa'!$A:$L,12,0)</f>
        <v/>
      </c>
      <c r="F1195" s="31" t="inlineStr">
        <is>
          <t>6.28</t>
        </is>
      </c>
      <c r="G1195" s="32" t="n"/>
      <c r="H1195" s="32" t="n"/>
      <c r="I1195" s="29" t="n"/>
    </row>
    <row r="1196">
      <c r="A1196" s="29" t="n">
        <v>50142</v>
      </c>
      <c r="B1196" s="30" t="inlineStr">
        <is>
          <t>NSW-QLD</t>
        </is>
      </c>
      <c r="C1196" s="30" t="inlineStr">
        <is>
          <t>IVFS2023</t>
        </is>
      </c>
      <c r="D1196" s="30" t="inlineStr">
        <is>
          <t>Part time</t>
        </is>
      </c>
      <c r="E1196" s="42">
        <f>VLOOKUP(A1196,'[1]Virtus SAMPLE PositionHistorySa'!$A:$L,12,0)</f>
        <v/>
      </c>
      <c r="F1196" s="31" t="inlineStr">
        <is>
          <t>5.41</t>
        </is>
      </c>
      <c r="G1196" s="32" t="n"/>
      <c r="H1196" s="32" t="n"/>
      <c r="I1196" s="29" t="n"/>
    </row>
    <row r="1197">
      <c r="A1197" s="29" t="n">
        <v>80066</v>
      </c>
      <c r="B1197" s="30" t="inlineStr">
        <is>
          <t>NSW-QLD</t>
        </is>
      </c>
      <c r="C1197" s="30" t="inlineStr">
        <is>
          <t>IVFS2023</t>
        </is>
      </c>
      <c r="D1197" s="30" t="inlineStr">
        <is>
          <t>Part time</t>
        </is>
      </c>
      <c r="E1197" s="42">
        <f>VLOOKUP(A1197,'[1]Virtus SAMPLE PositionHistorySa'!$A:$L,12,0)</f>
        <v/>
      </c>
      <c r="F1197" s="31" t="inlineStr">
        <is>
          <t>10.61</t>
        </is>
      </c>
      <c r="G1197" s="32" t="n"/>
      <c r="H1197" s="32" t="n"/>
      <c r="I1197" s="29" t="n"/>
    </row>
    <row r="1198">
      <c r="A1198" s="29" t="inlineStr">
        <is>
          <t>AU22521</t>
        </is>
      </c>
      <c r="B1198" s="30" t="inlineStr">
        <is>
          <t>VIC-TAS</t>
        </is>
      </c>
      <c r="C1198" s="30" t="inlineStr">
        <is>
          <t>MIVFN2023</t>
        </is>
      </c>
      <c r="D1198" s="30" t="inlineStr">
        <is>
          <t>Part time</t>
        </is>
      </c>
      <c r="E1198" s="42">
        <f>VLOOKUP(A1198,'[1]Virtus SAMPLE PositionHistorySa'!$A:$L,12,0)</f>
        <v/>
      </c>
      <c r="F1198" s="31" t="inlineStr">
        <is>
          <t>2.80</t>
        </is>
      </c>
      <c r="G1198" s="32" t="n"/>
      <c r="H1198" s="32" t="n"/>
      <c r="I1198" s="29" t="n"/>
    </row>
    <row r="1199">
      <c r="A1199" s="29" t="n">
        <v>70009</v>
      </c>
      <c r="B1199" s="30" t="inlineStr">
        <is>
          <t>NSW-QLD</t>
        </is>
      </c>
      <c r="C1199" s="30" t="inlineStr">
        <is>
          <t>QN2025</t>
        </is>
      </c>
      <c r="D1199" s="30" t="inlineStr">
        <is>
          <t>Part time</t>
        </is>
      </c>
      <c r="E1199" s="42">
        <f>VLOOKUP(A1199,'[1]Virtus SAMPLE PositionHistorySa'!$A:$L,12,0)</f>
        <v/>
      </c>
      <c r="F1199" s="31" t="inlineStr">
        <is>
          <t>14.30</t>
        </is>
      </c>
      <c r="G1199" s="32" t="n"/>
      <c r="H1199" s="32" t="n"/>
      <c r="I1199" s="29" t="n"/>
    </row>
    <row r="1200">
      <c r="A1200" s="29" t="n">
        <v>440</v>
      </c>
      <c r="B1200" s="30" t="inlineStr">
        <is>
          <t>VIC-TAS</t>
        </is>
      </c>
      <c r="C1200" s="30" t="inlineStr">
        <is>
          <t>MIVFN2023</t>
        </is>
      </c>
      <c r="D1200" s="30" t="inlineStr">
        <is>
          <t>Part time</t>
        </is>
      </c>
      <c r="E1200" s="42">
        <f>VLOOKUP(A1200,'[1]Virtus SAMPLE PositionHistorySa'!$A:$L,12,0)</f>
        <v/>
      </c>
      <c r="F1200" s="31" t="inlineStr">
        <is>
          <t>24.67</t>
        </is>
      </c>
      <c r="G1200" s="32" t="n"/>
      <c r="H1200" s="32" t="n"/>
      <c r="I1200" s="29" t="n"/>
    </row>
    <row r="1201">
      <c r="A1201" s="29" t="n">
        <v>40121</v>
      </c>
      <c r="B1201" s="30" t="inlineStr">
        <is>
          <t>NSW-QLD</t>
        </is>
      </c>
      <c r="C1201" s="30" t="inlineStr">
        <is>
          <t>IVFN2021</t>
        </is>
      </c>
      <c r="D1201" s="30" t="inlineStr">
        <is>
          <t>Part time</t>
        </is>
      </c>
      <c r="E1201" s="42">
        <f>VLOOKUP(A1201,'[1]Virtus SAMPLE PositionHistorySa'!$A:$L,12,0)</f>
        <v/>
      </c>
      <c r="F1201" s="31" t="inlineStr">
        <is>
          <t>4.53</t>
        </is>
      </c>
      <c r="G1201" s="32" t="n"/>
      <c r="H1201" s="32" t="n"/>
      <c r="I1201" s="29" t="n"/>
    </row>
    <row r="1202">
      <c r="A1202" s="29" t="inlineStr">
        <is>
          <t>AU22518</t>
        </is>
      </c>
      <c r="B1202" s="30" t="inlineStr">
        <is>
          <t>VIC-TAS</t>
        </is>
      </c>
      <c r="C1202" s="30" t="inlineStr">
        <is>
          <t>MIVFN2023</t>
        </is>
      </c>
      <c r="D1202" s="30" t="inlineStr">
        <is>
          <t>Full time</t>
        </is>
      </c>
      <c r="E1202" s="42">
        <f>VLOOKUP(A1202,'[1]Virtus SAMPLE PositionHistorySa'!$A:$L,12,0)</f>
        <v/>
      </c>
      <c r="F1202" s="31" t="inlineStr">
        <is>
          <t>2.80</t>
        </is>
      </c>
      <c r="G1202" s="32">
        <f>VLOOKUP(A1202,Sheet3!A:K,10,0)/38</f>
        <v/>
      </c>
      <c r="H1202" s="32">
        <f>F1202-G1202</f>
        <v/>
      </c>
      <c r="I1202" s="29" t="n"/>
    </row>
    <row r="1203">
      <c r="A1203" s="29" t="inlineStr">
        <is>
          <t>AU23753</t>
        </is>
      </c>
      <c r="B1203" s="30" t="inlineStr">
        <is>
          <t>NSW-QLD</t>
        </is>
      </c>
      <c r="C1203" s="30" t="inlineStr">
        <is>
          <t>IVFN2021</t>
        </is>
      </c>
      <c r="D1203" s="30" t="inlineStr">
        <is>
          <t>Casual</t>
        </is>
      </c>
      <c r="E1203" s="42">
        <f>VLOOKUP(A1203,'[1]Virtus SAMPLE PositionHistorySa'!$A:$L,12,0)</f>
        <v/>
      </c>
      <c r="F1203" s="31" t="inlineStr">
        <is>
          <t>0.20</t>
        </is>
      </c>
      <c r="G1203" s="32" t="n"/>
      <c r="H1203" s="32" t="n"/>
      <c r="I1203" s="29" t="n"/>
    </row>
    <row r="1204">
      <c r="A1204" s="29" t="n">
        <v>1281</v>
      </c>
      <c r="B1204" s="30" t="inlineStr">
        <is>
          <t>VIC-TAS</t>
        </is>
      </c>
      <c r="C1204" s="30" t="inlineStr">
        <is>
          <t>MIVFS2022</t>
        </is>
      </c>
      <c r="D1204" s="30" t="inlineStr">
        <is>
          <t>Full time</t>
        </is>
      </c>
      <c r="E1204" s="42">
        <f>VLOOKUP(A1204,'[1]Virtus SAMPLE PositionHistorySa'!$A:$L,12,0)</f>
        <v/>
      </c>
      <c r="F1204" s="31" t="inlineStr">
        <is>
          <t>3.66</t>
        </is>
      </c>
      <c r="G1204" s="32">
        <f>VLOOKUP(A1204,Sheet3!A:K,10,0)/38</f>
        <v/>
      </c>
      <c r="H1204" s="32">
        <f>F1204-G1204</f>
        <v/>
      </c>
      <c r="I1204" s="29" t="n"/>
    </row>
    <row r="1205">
      <c r="A1205" s="29" t="inlineStr">
        <is>
          <t>AU23762</t>
        </is>
      </c>
      <c r="B1205" s="30" t="inlineStr">
        <is>
          <t>VIC-TAS</t>
        </is>
      </c>
      <c r="C1205" s="30" t="inlineStr">
        <is>
          <t>MIVFS2022</t>
        </is>
      </c>
      <c r="D1205" s="30" t="inlineStr">
        <is>
          <t>Full time</t>
        </is>
      </c>
      <c r="E1205" s="42">
        <f>VLOOKUP(A1205,'[1]Virtus SAMPLE PositionHistorySa'!$A:$L,12,0)</f>
        <v/>
      </c>
      <c r="F1205" s="31" t="inlineStr">
        <is>
          <t>0.20</t>
        </is>
      </c>
      <c r="G1205" s="32">
        <f>VLOOKUP(A1205,Sheet3!A:K,10,0)/38</f>
        <v/>
      </c>
      <c r="H1205" s="32">
        <f>F1205-G1205</f>
        <v/>
      </c>
      <c r="I1205" s="29" t="n"/>
    </row>
    <row r="1206">
      <c r="A1206" s="29" t="inlineStr">
        <is>
          <t>AU23758</t>
        </is>
      </c>
      <c r="B1206" s="30" t="inlineStr">
        <is>
          <t>NSW-QLD</t>
        </is>
      </c>
      <c r="C1206" s="30" t="inlineStr">
        <is>
          <t>IVFS2023</t>
        </is>
      </c>
      <c r="D1206" s="30" t="inlineStr">
        <is>
          <t>Full time</t>
        </is>
      </c>
      <c r="E1206" s="42">
        <f>VLOOKUP(A1206,'[1]Virtus SAMPLE PositionHistorySa'!$A:$L,12,0)</f>
        <v/>
      </c>
      <c r="F1206" s="31" t="inlineStr">
        <is>
          <t>0.20</t>
        </is>
      </c>
      <c r="G1206" s="32">
        <f>VLOOKUP(A1206,Sheet3!A:K,10,0)/38</f>
        <v/>
      </c>
      <c r="H1206" s="32">
        <f>F1206-G1206</f>
        <v/>
      </c>
      <c r="I1206" s="29" t="n"/>
    </row>
    <row r="1207">
      <c r="A1207" s="29" t="inlineStr">
        <is>
          <t>AU23749</t>
        </is>
      </c>
      <c r="B1207" s="30" t="inlineStr">
        <is>
          <t>NSW-QLD</t>
        </is>
      </c>
      <c r="C1207" s="30" t="inlineStr">
        <is>
          <t>IVFN2021</t>
        </is>
      </c>
      <c r="D1207" s="30" t="inlineStr">
        <is>
          <t>Full time</t>
        </is>
      </c>
      <c r="E1207" s="42">
        <f>VLOOKUP(A1207,'[1]Virtus SAMPLE PositionHistorySa'!$A:$L,12,0)</f>
        <v/>
      </c>
      <c r="F1207" s="31" t="inlineStr">
        <is>
          <t>0.20</t>
        </is>
      </c>
      <c r="G1207" s="32">
        <f>VLOOKUP(A1207,Sheet3!A:K,10,0)/38</f>
        <v/>
      </c>
      <c r="H1207" s="32">
        <f>F1207-G1207</f>
        <v/>
      </c>
      <c r="I1207" s="29" t="n"/>
    </row>
    <row r="1208">
      <c r="A1208" s="29" t="inlineStr">
        <is>
          <t>AU23769</t>
        </is>
      </c>
      <c r="B1208" s="30" t="inlineStr">
        <is>
          <t>NSW-QLD</t>
        </is>
      </c>
      <c r="C1208" s="30" t="inlineStr">
        <is>
          <t>IVFS2023</t>
        </is>
      </c>
      <c r="D1208" s="30" t="inlineStr">
        <is>
          <t>Full time</t>
        </is>
      </c>
      <c r="E1208" s="42">
        <f>VLOOKUP(A1208,'[1]Virtus SAMPLE PositionHistorySa'!$A:$L,12,0)</f>
        <v/>
      </c>
      <c r="F1208" s="31" t="inlineStr">
        <is>
          <t>0.20</t>
        </is>
      </c>
      <c r="G1208" s="32">
        <f>VLOOKUP(A1208,Sheet3!A:K,10,0)/38</f>
        <v/>
      </c>
      <c r="H1208" s="32">
        <f>F1208-G1208</f>
        <v/>
      </c>
      <c r="I1208" s="29" t="n"/>
    </row>
    <row r="1209">
      <c r="A1209" s="29" t="inlineStr">
        <is>
          <t>AU23750</t>
        </is>
      </c>
      <c r="B1209" s="30" t="inlineStr">
        <is>
          <t>NSW-QLD</t>
        </is>
      </c>
      <c r="C1209" s="30" t="inlineStr">
        <is>
          <t>QS2024</t>
        </is>
      </c>
      <c r="D1209" s="30" t="inlineStr">
        <is>
          <t>Full time</t>
        </is>
      </c>
      <c r="E1209" s="42">
        <f>VLOOKUP(A1209,'[1]Virtus SAMPLE PositionHistorySa'!$A:$L,12,0)</f>
        <v/>
      </c>
      <c r="F1209" s="31" t="inlineStr">
        <is>
          <t>0.20</t>
        </is>
      </c>
      <c r="G1209" s="32">
        <f>VLOOKUP(A1209,Sheet3!A:K,10,0)/38</f>
        <v/>
      </c>
      <c r="H1209" s="32">
        <f>F1209-G1209</f>
        <v/>
      </c>
      <c r="I1209" s="29" t="n"/>
    </row>
    <row r="1210">
      <c r="A1210" s="29" t="inlineStr">
        <is>
          <t>AU23721</t>
        </is>
      </c>
      <c r="B1210" s="30" t="inlineStr">
        <is>
          <t>NSW-QLD</t>
        </is>
      </c>
      <c r="C1210" s="30" t="inlineStr">
        <is>
          <t>VIC</t>
        </is>
      </c>
      <c r="D1210" s="30" t="inlineStr">
        <is>
          <t>Full time</t>
        </is>
      </c>
      <c r="E1210" s="42">
        <f>VLOOKUP(A1210,'[1]Virtus SAMPLE PositionHistorySa'!$A:$L,12,0)</f>
        <v/>
      </c>
      <c r="F1210" s="31" t="inlineStr">
        <is>
          <t>0.20</t>
        </is>
      </c>
      <c r="G1210" s="32">
        <f>VLOOKUP(A1210,Sheet3!A:K,10,0)/38</f>
        <v/>
      </c>
      <c r="H1210" s="32">
        <f>F1210-G1210</f>
        <v/>
      </c>
      <c r="I1210" s="29" t="n"/>
    </row>
    <row r="1211">
      <c r="A1211" s="29" t="inlineStr">
        <is>
          <t>AU23731</t>
        </is>
      </c>
      <c r="B1211" s="30" t="inlineStr">
        <is>
          <t>NSW-QLD</t>
        </is>
      </c>
      <c r="C1211" s="30" t="inlineStr">
        <is>
          <t>QS2024</t>
        </is>
      </c>
      <c r="D1211" s="30">
        <f>VLOOKUP(A1211,Sheet3!A:E,5,0)</f>
        <v/>
      </c>
      <c r="E1211" s="42">
        <f>VLOOKUP(A1211,'[1]Virtus SAMPLE PositionHistorySa'!$A:$L,12,0)</f>
        <v/>
      </c>
      <c r="F1211" s="31" t="inlineStr">
        <is>
          <t>0.20</t>
        </is>
      </c>
      <c r="G1211" s="32" t="n"/>
      <c r="H1211" s="32" t="n"/>
      <c r="I1211" s="29" t="n"/>
    </row>
    <row r="1212">
      <c r="A1212" s="29" t="inlineStr">
        <is>
          <t>AU23732</t>
        </is>
      </c>
      <c r="B1212" s="30" t="inlineStr">
        <is>
          <t>NSW-QLD</t>
        </is>
      </c>
      <c r="C1212" s="30" t="inlineStr">
        <is>
          <t>IVFS2023</t>
        </is>
      </c>
      <c r="D1212" s="30" t="inlineStr">
        <is>
          <t>Part time</t>
        </is>
      </c>
      <c r="E1212" s="42">
        <f>VLOOKUP(A1212,'[1]Virtus SAMPLE PositionHistorySa'!$A:$L,12,0)</f>
        <v/>
      </c>
      <c r="F1212" s="31" t="inlineStr">
        <is>
          <t>0.20</t>
        </is>
      </c>
      <c r="G1212" s="32" t="n"/>
      <c r="H1212" s="32" t="n"/>
      <c r="I1212" s="29" t="n"/>
    </row>
    <row r="1213">
      <c r="A1213" s="29" t="inlineStr">
        <is>
          <t>AU23733</t>
        </is>
      </c>
      <c r="B1213" s="30" t="inlineStr">
        <is>
          <t>NSW-QLD</t>
        </is>
      </c>
      <c r="C1213" s="30" t="inlineStr">
        <is>
          <t>IVFS2023</t>
        </is>
      </c>
      <c r="D1213" s="30" t="inlineStr">
        <is>
          <t>Part time</t>
        </is>
      </c>
      <c r="E1213" s="42">
        <f>VLOOKUP(A1213,'[1]Virtus SAMPLE PositionHistorySa'!$A:$L,12,0)</f>
        <v/>
      </c>
      <c r="F1213" s="31" t="inlineStr">
        <is>
          <t>0.20</t>
        </is>
      </c>
      <c r="G1213" s="32" t="n"/>
      <c r="H1213" s="32" t="n"/>
      <c r="I1213" s="29" t="n"/>
    </row>
    <row r="1214">
      <c r="A1214" s="29" t="inlineStr">
        <is>
          <t>AU23734</t>
        </is>
      </c>
      <c r="B1214" s="30" t="inlineStr">
        <is>
          <t>NSW-QLD</t>
        </is>
      </c>
      <c r="C1214" s="30" t="inlineStr">
        <is>
          <t>IVFS2023</t>
        </is>
      </c>
      <c r="D1214" s="30" t="inlineStr">
        <is>
          <t>Part time</t>
        </is>
      </c>
      <c r="E1214" s="42">
        <f>VLOOKUP(A1214,'[1]Virtus SAMPLE PositionHistorySa'!$A:$L,12,0)</f>
        <v/>
      </c>
      <c r="F1214" s="31" t="inlineStr">
        <is>
          <t>0.20</t>
        </is>
      </c>
      <c r="G1214" s="32" t="n"/>
      <c r="H1214" s="32" t="n"/>
      <c r="I1214" s="29" t="n"/>
    </row>
    <row r="1215">
      <c r="A1215" s="29" t="inlineStr">
        <is>
          <t>AU23754</t>
        </is>
      </c>
      <c r="B1215" s="30" t="inlineStr">
        <is>
          <t>VIC-TAS</t>
        </is>
      </c>
      <c r="C1215" s="30" t="inlineStr">
        <is>
          <t>MIVFS2022</t>
        </is>
      </c>
      <c r="D1215" s="30" t="inlineStr">
        <is>
          <t>Part time</t>
        </is>
      </c>
      <c r="E1215" s="42">
        <f>VLOOKUP(A1215,'[1]Virtus SAMPLE PositionHistorySa'!$A:$L,12,0)</f>
        <v/>
      </c>
      <c r="F1215" s="31" t="inlineStr">
        <is>
          <t>0.20</t>
        </is>
      </c>
      <c r="G1215" s="32" t="n"/>
      <c r="H1215" s="32" t="n"/>
      <c r="I1215" s="29" t="n"/>
    </row>
    <row r="1216">
      <c r="A1216" s="29" t="inlineStr">
        <is>
          <t>AU23757</t>
        </is>
      </c>
      <c r="B1216" s="30" t="inlineStr">
        <is>
          <t>VIC-TAS</t>
        </is>
      </c>
      <c r="C1216" s="30" t="inlineStr">
        <is>
          <t>TIVF2024</t>
        </is>
      </c>
      <c r="D1216" s="30" t="inlineStr">
        <is>
          <t>Casual</t>
        </is>
      </c>
      <c r="E1216" s="42">
        <f>VLOOKUP(A1216,'[1]Virtus SAMPLE PositionHistorySa'!$A:$L,12,0)</f>
        <v/>
      </c>
      <c r="F1216" s="31" t="inlineStr">
        <is>
          <t>0.20</t>
        </is>
      </c>
      <c r="G1216" s="32" t="n"/>
      <c r="H1216" s="32" t="n"/>
      <c r="I1216" s="29" t="n"/>
    </row>
    <row r="1217">
      <c r="A1217" s="29" t="inlineStr">
        <is>
          <t>AU23759</t>
        </is>
      </c>
      <c r="B1217" s="30" t="inlineStr">
        <is>
          <t>NSW-QLD</t>
        </is>
      </c>
      <c r="C1217" s="30" t="inlineStr">
        <is>
          <t>IVFS2023</t>
        </is>
      </c>
      <c r="D1217" s="30" t="inlineStr">
        <is>
          <t>Casual</t>
        </is>
      </c>
      <c r="E1217" s="42">
        <f>VLOOKUP(A1217,'[1]Virtus SAMPLE PositionHistorySa'!$A:$L,12,0)</f>
        <v/>
      </c>
      <c r="F1217" s="31" t="inlineStr">
        <is>
          <t>0.20</t>
        </is>
      </c>
      <c r="G1217" s="32" t="n"/>
      <c r="H1217" s="32" t="n"/>
      <c r="I1217" s="29" t="n"/>
    </row>
    <row r="1218">
      <c r="A1218" s="29" t="inlineStr">
        <is>
          <t>AU23780</t>
        </is>
      </c>
      <c r="B1218" s="30" t="inlineStr">
        <is>
          <t>VIC-TAS</t>
        </is>
      </c>
      <c r="C1218" s="30" t="inlineStr">
        <is>
          <t>MIVFS2022</t>
        </is>
      </c>
      <c r="D1218" s="30" t="inlineStr">
        <is>
          <t>Casual</t>
        </is>
      </c>
      <c r="E1218" s="42">
        <f>VLOOKUP(A1218,'[1]Virtus SAMPLE PositionHistorySa'!$A:$L,12,0)</f>
        <v/>
      </c>
      <c r="F1218" s="31" t="inlineStr">
        <is>
          <t>0.20</t>
        </is>
      </c>
      <c r="G1218" s="32" t="n"/>
      <c r="H1218" s="32" t="n"/>
      <c r="I1218" s="29" t="n"/>
    </row>
    <row r="1219">
      <c r="A1219" s="29" t="inlineStr">
        <is>
          <t>AU23782</t>
        </is>
      </c>
      <c r="B1219" s="30" t="inlineStr">
        <is>
          <t>NSW-QLD</t>
        </is>
      </c>
      <c r="C1219" s="30" t="inlineStr">
        <is>
          <t>QN2025</t>
        </is>
      </c>
      <c r="D1219" s="30" t="inlineStr">
        <is>
          <t>Part time</t>
        </is>
      </c>
      <c r="E1219" s="42">
        <f>VLOOKUP(A1219,'[1]Virtus SAMPLE PositionHistorySa'!$A:$L,12,0)</f>
        <v/>
      </c>
      <c r="F1219" s="31" t="inlineStr">
        <is>
          <t>0.30</t>
        </is>
      </c>
      <c r="G1219" s="32" t="n"/>
      <c r="H1219" s="32" t="n"/>
      <c r="I1219" s="29" t="n"/>
    </row>
    <row r="1220">
      <c r="A1220" s="29" t="inlineStr">
        <is>
          <t>AU23791</t>
        </is>
      </c>
      <c r="B1220" s="30" t="inlineStr">
        <is>
          <t>NSW-QLD</t>
        </is>
      </c>
      <c r="C1220" s="30" t="inlineStr">
        <is>
          <t>QS2024</t>
        </is>
      </c>
      <c r="D1220" s="30">
        <f>VLOOKUP(A1220,Sheet3!A:E,5,0)</f>
        <v/>
      </c>
      <c r="E1220" s="42">
        <f>VLOOKUP(A1220,'[1]Virtus SAMPLE PositionHistorySa'!$A:$L,12,0)</f>
        <v/>
      </c>
      <c r="F1220" s="31" t="inlineStr">
        <is>
          <t>0.20</t>
        </is>
      </c>
      <c r="G1220" s="32" t="n"/>
      <c r="H1220" s="32" t="n"/>
      <c r="I1220" s="29" t="n"/>
    </row>
    <row r="1221">
      <c r="A1221" s="29" t="n">
        <v>20059</v>
      </c>
      <c r="B1221" s="30" t="inlineStr">
        <is>
          <t>NSW-QLD</t>
        </is>
      </c>
      <c r="C1221" s="30" t="inlineStr">
        <is>
          <t>IVFT2024</t>
        </is>
      </c>
      <c r="D1221" s="30" t="inlineStr">
        <is>
          <t>Part time</t>
        </is>
      </c>
      <c r="E1221" s="42">
        <f>VLOOKUP(A1221,'[1]Virtus SAMPLE PositionHistorySa'!$A:$L,12,0)</f>
        <v/>
      </c>
      <c r="F1221" s="31" t="inlineStr">
        <is>
          <t>18.07</t>
        </is>
      </c>
      <c r="G1221" s="32" t="n"/>
      <c r="H1221" s="32" t="n"/>
      <c r="I1221" s="29" t="n"/>
    </row>
    <row r="1222">
      <c r="A1222" s="29" t="n">
        <v>50145</v>
      </c>
      <c r="B1222" s="30" t="inlineStr">
        <is>
          <t>NSW-QLD</t>
        </is>
      </c>
      <c r="C1222" s="30" t="inlineStr">
        <is>
          <t>IVFN2021</t>
        </is>
      </c>
      <c r="D1222" s="30" t="inlineStr">
        <is>
          <t>Casual</t>
        </is>
      </c>
      <c r="E1222" s="42">
        <f>VLOOKUP(A1222,'[1]Virtus SAMPLE PositionHistorySa'!$A:$L,12,0)</f>
        <v/>
      </c>
      <c r="F1222" s="31" t="inlineStr">
        <is>
          <t>5.40</t>
        </is>
      </c>
      <c r="G1222" s="32" t="n"/>
      <c r="H1222" s="32" t="n"/>
      <c r="I1222" s="29" t="n"/>
    </row>
    <row r="1223">
      <c r="A1223" s="29" t="inlineStr">
        <is>
          <t>AU23288</t>
        </is>
      </c>
      <c r="B1223" s="30" t="inlineStr">
        <is>
          <t>NSW-QLD</t>
        </is>
      </c>
      <c r="C1223" s="30" t="inlineStr">
        <is>
          <t>QN2025</t>
        </is>
      </c>
      <c r="D1223" s="30" t="inlineStr">
        <is>
          <t>Casual</t>
        </is>
      </c>
      <c r="E1223" s="42">
        <f>VLOOKUP(A1223,'[1]Virtus SAMPLE PositionHistorySa'!$A:$L,12,0)</f>
        <v/>
      </c>
      <c r="F1223" s="31" t="inlineStr">
        <is>
          <t>0.00</t>
        </is>
      </c>
      <c r="G1223" s="32" t="n"/>
      <c r="H1223" s="32" t="n"/>
      <c r="I1223" s="29" t="n"/>
    </row>
    <row r="1224">
      <c r="A1224" s="29" t="inlineStr">
        <is>
          <t>AU23297</t>
        </is>
      </c>
      <c r="B1224" s="30" t="inlineStr">
        <is>
          <t>NSW-QLD</t>
        </is>
      </c>
      <c r="C1224" s="30" t="inlineStr">
        <is>
          <t>IVFN2021</t>
        </is>
      </c>
      <c r="D1224" s="30" t="inlineStr">
        <is>
          <t>Casual</t>
        </is>
      </c>
      <c r="E1224" s="42">
        <f>VLOOKUP(A1224,'[1]Virtus SAMPLE PositionHistorySa'!$A:$L,12,0)</f>
        <v/>
      </c>
      <c r="F1224" s="31" t="inlineStr">
        <is>
          <t>1.06</t>
        </is>
      </c>
      <c r="G1224" s="32" t="n"/>
      <c r="H1224" s="32" t="n"/>
      <c r="I1224" s="29" t="n"/>
    </row>
    <row r="1225">
      <c r="A1225" s="29" t="inlineStr">
        <is>
          <t>AU23298</t>
        </is>
      </c>
      <c r="B1225" s="30" t="inlineStr">
        <is>
          <t>NSW-QLD</t>
        </is>
      </c>
      <c r="C1225" s="30" t="inlineStr">
        <is>
          <t>QN2025</t>
        </is>
      </c>
      <c r="D1225" s="30" t="inlineStr">
        <is>
          <t>Part time</t>
        </is>
      </c>
      <c r="E1225" s="42">
        <f>VLOOKUP(A1225,'[1]Virtus SAMPLE PositionHistorySa'!$A:$L,12,0)</f>
        <v/>
      </c>
      <c r="F1225" s="31" t="inlineStr">
        <is>
          <t>1.59</t>
        </is>
      </c>
      <c r="G1225" s="32" t="n"/>
      <c r="H1225" s="32" t="n"/>
      <c r="I1225" s="29" t="n"/>
    </row>
    <row r="1226">
      <c r="A1226" s="29" t="inlineStr">
        <is>
          <t>AU23300</t>
        </is>
      </c>
      <c r="B1226" s="30" t="inlineStr">
        <is>
          <t>NSW-QLD</t>
        </is>
      </c>
      <c r="C1226" s="30" t="inlineStr">
        <is>
          <t>IVFS2023</t>
        </is>
      </c>
      <c r="D1226" s="30" t="inlineStr">
        <is>
          <t>Casual</t>
        </is>
      </c>
      <c r="E1226" s="42">
        <f>VLOOKUP(A1226,'[1]Virtus SAMPLE PositionHistorySa'!$A:$L,12,0)</f>
        <v/>
      </c>
      <c r="F1226" s="31" t="inlineStr">
        <is>
          <t>1.06</t>
        </is>
      </c>
      <c r="G1226" s="32" t="n"/>
      <c r="H1226" s="32" t="n"/>
      <c r="I1226" s="29" t="n"/>
    </row>
    <row r="1227">
      <c r="A1227" s="29" t="inlineStr">
        <is>
          <t>AU23315</t>
        </is>
      </c>
      <c r="B1227" s="30" t="inlineStr">
        <is>
          <t>NSW-QLD</t>
        </is>
      </c>
      <c r="C1227" s="30" t="inlineStr">
        <is>
          <t>IVFN2021</t>
        </is>
      </c>
      <c r="D1227" s="30" t="inlineStr">
        <is>
          <t>Casual</t>
        </is>
      </c>
      <c r="E1227" s="42">
        <f>VLOOKUP(A1227,'[1]Virtus SAMPLE PositionHistorySa'!$A:$L,12,0)</f>
        <v/>
      </c>
      <c r="F1227" s="31" t="inlineStr">
        <is>
          <t>1.06</t>
        </is>
      </c>
      <c r="G1227" s="32" t="n"/>
      <c r="H1227" s="32" t="n"/>
      <c r="I1227" s="29" t="n"/>
    </row>
    <row r="1228">
      <c r="A1228" s="29" t="n">
        <v>80131</v>
      </c>
      <c r="B1228" s="30" t="inlineStr">
        <is>
          <t>NSW-QLD</t>
        </is>
      </c>
      <c r="C1228" s="30" t="inlineStr">
        <is>
          <t>QN2025</t>
        </is>
      </c>
      <c r="D1228" s="30">
        <f>VLOOKUP(A1228,Sheet3!A:E,5,0)</f>
        <v/>
      </c>
      <c r="E1228" s="42">
        <f>VLOOKUP(A1228,'[1]Virtus SAMPLE PositionHistorySa'!$A:$L,12,0)</f>
        <v/>
      </c>
      <c r="F1228" s="31" t="inlineStr">
        <is>
          <t>23.69</t>
        </is>
      </c>
      <c r="G1228" s="32" t="n"/>
      <c r="H1228" s="32" t="n"/>
      <c r="I1228" s="29" t="n"/>
    </row>
    <row r="1229">
      <c r="A1229" s="29" t="n">
        <v>76</v>
      </c>
      <c r="B1229" s="30" t="inlineStr">
        <is>
          <t>VIC-TAS</t>
        </is>
      </c>
      <c r="C1229" s="30" t="inlineStr">
        <is>
          <t>TIVF2024</t>
        </is>
      </c>
      <c r="D1229" s="30" t="inlineStr">
        <is>
          <t>Part time</t>
        </is>
      </c>
      <c r="E1229" s="42">
        <f>VLOOKUP(A1229,'[1]Virtus SAMPLE PositionHistorySa'!$A:$L,12,0)</f>
        <v/>
      </c>
      <c r="F1229" s="31" t="inlineStr">
        <is>
          <t>6.26</t>
        </is>
      </c>
      <c r="G1229" s="32" t="n"/>
      <c r="H1229" s="32" t="n"/>
      <c r="I1229" s="29" t="n"/>
    </row>
    <row r="1230">
      <c r="A1230" s="29" t="n">
        <v>20297</v>
      </c>
      <c r="B1230" s="30" t="inlineStr">
        <is>
          <t>NSW-QLD</t>
        </is>
      </c>
      <c r="C1230" s="30" t="inlineStr">
        <is>
          <t>NSW</t>
        </is>
      </c>
      <c r="D1230" s="30" t="inlineStr">
        <is>
          <t>Full time</t>
        </is>
      </c>
      <c r="E1230" s="42">
        <f>VLOOKUP(A1230,'[1]Virtus SAMPLE PositionHistorySa'!$A:$L,12,0)</f>
        <v/>
      </c>
      <c r="F1230" s="31" t="inlineStr">
        <is>
          <t>11.46</t>
        </is>
      </c>
      <c r="G1230" s="32">
        <f>VLOOKUP(A1230,Sheet3!A:K,10,0)/38</f>
        <v/>
      </c>
      <c r="H1230" s="32">
        <f>F1230-G1230</f>
        <v/>
      </c>
      <c r="I1230" s="29" t="n"/>
    </row>
    <row r="1231">
      <c r="A1231" s="29" t="n">
        <v>50077</v>
      </c>
      <c r="B1231" s="30" t="inlineStr">
        <is>
          <t>NSW-QLD</t>
        </is>
      </c>
      <c r="C1231" s="30" t="inlineStr">
        <is>
          <t>IVFN2021</t>
        </is>
      </c>
      <c r="D1231" s="30" t="inlineStr">
        <is>
          <t>Casual</t>
        </is>
      </c>
      <c r="E1231" s="42">
        <f>VLOOKUP(A1231,'[1]Virtus SAMPLE PositionHistorySa'!$A:$L,12,0)</f>
        <v/>
      </c>
      <c r="F1231" s="31" t="inlineStr">
        <is>
          <t>7.69</t>
        </is>
      </c>
      <c r="G1231" s="32" t="n"/>
      <c r="H1231" s="32" t="n"/>
      <c r="I1231" s="29" t="n"/>
    </row>
    <row r="1232">
      <c r="A1232" s="29" t="inlineStr">
        <is>
          <t>AU22930</t>
        </is>
      </c>
      <c r="B1232" s="30" t="inlineStr">
        <is>
          <t>NSW-QLD</t>
        </is>
      </c>
      <c r="C1232" s="30" t="inlineStr">
        <is>
          <t>VIC</t>
        </is>
      </c>
      <c r="D1232" s="30" t="inlineStr">
        <is>
          <t>Full time</t>
        </is>
      </c>
      <c r="E1232" s="42">
        <f>VLOOKUP(A1232,'[1]Virtus SAMPLE PositionHistorySa'!$A:$L,12,0)</f>
        <v/>
      </c>
      <c r="F1232" s="31" t="inlineStr">
        <is>
          <t>1.92</t>
        </is>
      </c>
      <c r="G1232" s="32">
        <f>VLOOKUP(A1232,Sheet3!A:K,10,0)/38</f>
        <v/>
      </c>
      <c r="H1232" s="32">
        <f>F1232-G1232</f>
        <v/>
      </c>
      <c r="I1232" s="29" t="n"/>
    </row>
    <row r="1233">
      <c r="A1233" s="29" t="inlineStr">
        <is>
          <t>AU22935</t>
        </is>
      </c>
      <c r="B1233" s="30" t="inlineStr">
        <is>
          <t>VIC-TAS</t>
        </is>
      </c>
      <c r="C1233" s="30" t="inlineStr">
        <is>
          <t>MIVFS2022</t>
        </is>
      </c>
      <c r="D1233" s="30" t="inlineStr">
        <is>
          <t>Part time</t>
        </is>
      </c>
      <c r="E1233" s="42">
        <f>VLOOKUP(A1233,'[1]Virtus SAMPLE PositionHistorySa'!$A:$L,12,0)</f>
        <v/>
      </c>
      <c r="F1233" s="31" t="inlineStr">
        <is>
          <t>1.92</t>
        </is>
      </c>
      <c r="G1233" s="32" t="n"/>
      <c r="H1233" s="32" t="n"/>
      <c r="I1233" s="29" t="n"/>
    </row>
    <row r="1234">
      <c r="A1234" s="29" t="n">
        <v>1144</v>
      </c>
      <c r="B1234" s="30" t="inlineStr">
        <is>
          <t>VIC-TAS</t>
        </is>
      </c>
      <c r="C1234" s="30" t="inlineStr">
        <is>
          <t>MIVFN2023</t>
        </is>
      </c>
      <c r="D1234" s="30" t="inlineStr">
        <is>
          <t>Part time</t>
        </is>
      </c>
      <c r="E1234" s="42">
        <f>VLOOKUP(A1234,'[1]Virtus SAMPLE PositionHistorySa'!$A:$L,12,0)</f>
        <v/>
      </c>
      <c r="F1234" s="31" t="inlineStr">
        <is>
          <t>6.23</t>
        </is>
      </c>
      <c r="G1234" s="32" t="n"/>
      <c r="H1234" s="32" t="n"/>
      <c r="I1234" s="29" t="n"/>
    </row>
    <row r="1235">
      <c r="A1235" s="29" t="inlineStr">
        <is>
          <t>AU22963</t>
        </is>
      </c>
      <c r="B1235" s="30" t="inlineStr">
        <is>
          <t>NSW-QLD</t>
        </is>
      </c>
      <c r="C1235" s="30" t="inlineStr">
        <is>
          <t>IVFN2021</t>
        </is>
      </c>
      <c r="D1235" s="30" t="inlineStr">
        <is>
          <t>Part time</t>
        </is>
      </c>
      <c r="E1235" s="42">
        <f>VLOOKUP(A1235,'[1]Virtus SAMPLE PositionHistorySa'!$A:$L,12,0)</f>
        <v/>
      </c>
      <c r="F1235" s="31" t="inlineStr">
        <is>
          <t>1.89</t>
        </is>
      </c>
      <c r="G1235" s="32" t="n"/>
      <c r="H1235" s="32" t="n"/>
      <c r="I1235" s="29" t="n"/>
    </row>
    <row r="1236">
      <c r="A1236" s="29" t="inlineStr">
        <is>
          <t>AU22538</t>
        </is>
      </c>
      <c r="B1236" s="30" t="inlineStr">
        <is>
          <t>NSW-QLD</t>
        </is>
      </c>
      <c r="C1236" s="30" t="inlineStr">
        <is>
          <t>QLD</t>
        </is>
      </c>
      <c r="D1236" s="30" t="inlineStr">
        <is>
          <t>Full time</t>
        </is>
      </c>
      <c r="E1236" s="42">
        <f>VLOOKUP(A1236,'[1]Virtus SAMPLE PositionHistorySa'!$A:$L,12,0)</f>
        <v/>
      </c>
      <c r="F1236" s="31" t="inlineStr">
        <is>
          <t>2.75</t>
        </is>
      </c>
      <c r="G1236" s="32">
        <f>VLOOKUP(A1236,Sheet3!A:K,10,0)/38</f>
        <v/>
      </c>
      <c r="H1236" s="32">
        <f>F1236-G1236</f>
        <v/>
      </c>
      <c r="I1236" s="29" t="n"/>
    </row>
    <row r="1237">
      <c r="A1237" s="29" t="inlineStr">
        <is>
          <t>AU22531</t>
        </is>
      </c>
      <c r="B1237" s="30" t="inlineStr">
        <is>
          <t>NSW-QLD</t>
        </is>
      </c>
      <c r="C1237" s="30" t="inlineStr">
        <is>
          <t>IVFT2024</t>
        </is>
      </c>
      <c r="D1237" s="30" t="inlineStr">
        <is>
          <t>Part time</t>
        </is>
      </c>
      <c r="E1237" s="42">
        <f>VLOOKUP(A1237,'[1]Virtus SAMPLE PositionHistorySa'!$A:$L,12,0)</f>
        <v/>
      </c>
      <c r="F1237" s="31" t="inlineStr">
        <is>
          <t>2.75</t>
        </is>
      </c>
      <c r="G1237" s="32" t="n"/>
      <c r="H1237" s="32" t="n"/>
      <c r="I1237" s="29" t="n"/>
    </row>
    <row r="1238">
      <c r="A1238" s="29" t="inlineStr">
        <is>
          <t>AU22543</t>
        </is>
      </c>
      <c r="B1238" s="30" t="inlineStr">
        <is>
          <t>NSW-QLD</t>
        </is>
      </c>
      <c r="C1238" s="30" t="inlineStr">
        <is>
          <t>IVFS2023</t>
        </is>
      </c>
      <c r="D1238" s="30" t="inlineStr">
        <is>
          <t>Casual</t>
        </is>
      </c>
      <c r="E1238" s="42">
        <f>VLOOKUP(A1238,'[1]Virtus SAMPLE PositionHistorySa'!$A:$L,12,0)</f>
        <v/>
      </c>
      <c r="F1238" s="31" t="inlineStr">
        <is>
          <t>2.75</t>
        </is>
      </c>
      <c r="G1238" s="32" t="n"/>
      <c r="H1238" s="32" t="n"/>
      <c r="I1238" s="29" t="n"/>
    </row>
    <row r="1239">
      <c r="A1239" s="29" t="inlineStr">
        <is>
          <t>AU22955</t>
        </is>
      </c>
      <c r="B1239" s="30" t="inlineStr">
        <is>
          <t>NSW-QLD</t>
        </is>
      </c>
      <c r="C1239" s="30" t="inlineStr">
        <is>
          <t>IVFS2023</t>
        </is>
      </c>
      <c r="D1239" s="30" t="inlineStr">
        <is>
          <t>Casual</t>
        </is>
      </c>
      <c r="E1239" s="42">
        <f>VLOOKUP(A1239,'[1]Virtus SAMPLE PositionHistorySa'!$A:$L,12,0)</f>
        <v/>
      </c>
      <c r="F1239" s="31" t="inlineStr">
        <is>
          <t>1.89</t>
        </is>
      </c>
      <c r="G1239" s="32" t="n"/>
      <c r="H1239" s="32" t="n"/>
      <c r="I1239" s="29" t="n"/>
    </row>
    <row r="1240">
      <c r="A1240" s="29" t="inlineStr">
        <is>
          <t>AU23777</t>
        </is>
      </c>
      <c r="B1240" s="30" t="inlineStr">
        <is>
          <t>NSW-QLD</t>
        </is>
      </c>
      <c r="C1240" s="30" t="inlineStr">
        <is>
          <t>IVFS2023</t>
        </is>
      </c>
      <c r="D1240" s="30" t="inlineStr">
        <is>
          <t>Casual</t>
        </is>
      </c>
      <c r="E1240" s="42">
        <f>VLOOKUP(A1240,'[1]Virtus SAMPLE PositionHistorySa'!$A:$L,12,0)</f>
        <v/>
      </c>
      <c r="F1240" s="31" t="inlineStr">
        <is>
          <t>0.15</t>
        </is>
      </c>
      <c r="G1240" s="32" t="n"/>
      <c r="H1240" s="32" t="n"/>
      <c r="I1240" s="29" t="n"/>
    </row>
    <row r="1241">
      <c r="A1241" s="29" t="inlineStr">
        <is>
          <t>AU22550</t>
        </is>
      </c>
      <c r="B1241" s="30" t="inlineStr">
        <is>
          <t>NSW-QLD</t>
        </is>
      </c>
      <c r="C1241" s="30" t="inlineStr">
        <is>
          <t>IVFS2023</t>
        </is>
      </c>
      <c r="D1241" s="30" t="inlineStr">
        <is>
          <t>Full time</t>
        </is>
      </c>
      <c r="E1241" s="42">
        <f>VLOOKUP(A1241,'[1]Virtus SAMPLE PositionHistorySa'!$A:$L,12,0)</f>
        <v/>
      </c>
      <c r="F1241" s="31" t="inlineStr">
        <is>
          <t>2.75</t>
        </is>
      </c>
      <c r="G1241" s="32">
        <f>VLOOKUP(A1241,Sheet3!A:K,10,0)/38</f>
        <v/>
      </c>
      <c r="H1241" s="32">
        <f>F1241-G1241</f>
        <v/>
      </c>
      <c r="I1241" s="29" t="n"/>
    </row>
    <row r="1242">
      <c r="A1242" s="29" t="n">
        <v>1208</v>
      </c>
      <c r="B1242" s="30" t="inlineStr">
        <is>
          <t>VIC-TAS</t>
        </is>
      </c>
      <c r="C1242" s="30" t="inlineStr">
        <is>
          <t>MIVFS2022</t>
        </is>
      </c>
      <c r="D1242" s="30" t="inlineStr">
        <is>
          <t>Full time</t>
        </is>
      </c>
      <c r="E1242" s="42">
        <f>VLOOKUP(A1242,'[1]Virtus SAMPLE PositionHistorySa'!$A:$L,12,0)</f>
        <v/>
      </c>
      <c r="F1242" s="31" t="inlineStr">
        <is>
          <t>4.48</t>
        </is>
      </c>
      <c r="G1242" s="32">
        <f>VLOOKUP(A1242,Sheet3!A:K,10,0)/38</f>
        <v/>
      </c>
      <c r="H1242" s="32">
        <f>F1242-G1242</f>
        <v/>
      </c>
      <c r="I1242" s="29" t="n"/>
    </row>
    <row r="1243">
      <c r="A1243" s="29" t="n">
        <v>20778</v>
      </c>
      <c r="B1243" s="30" t="inlineStr">
        <is>
          <t>NSW-QLD</t>
        </is>
      </c>
      <c r="C1243" s="30" t="inlineStr">
        <is>
          <t>IVFT2024</t>
        </is>
      </c>
      <c r="D1243" s="30" t="inlineStr">
        <is>
          <t>Full time</t>
        </is>
      </c>
      <c r="E1243" s="42">
        <f>VLOOKUP(A1243,'[1]Virtus SAMPLE PositionHistorySa'!$A:$L,12,0)</f>
        <v/>
      </c>
      <c r="F1243" s="31" t="inlineStr">
        <is>
          <t>4.48</t>
        </is>
      </c>
      <c r="G1243" s="32">
        <f>VLOOKUP(A1243,Sheet3!A:K,10,0)/38</f>
        <v/>
      </c>
      <c r="H1243" s="32">
        <f>F1243-G1243</f>
        <v/>
      </c>
      <c r="I1243" s="29" t="n"/>
    </row>
    <row r="1244">
      <c r="A1244" s="29" t="n">
        <v>20782</v>
      </c>
      <c r="B1244" s="30" t="inlineStr">
        <is>
          <t>NSW-QLD</t>
        </is>
      </c>
      <c r="C1244" s="30" t="inlineStr">
        <is>
          <t>IVFT2024</t>
        </is>
      </c>
      <c r="D1244" s="30" t="inlineStr">
        <is>
          <t>Full time</t>
        </is>
      </c>
      <c r="E1244" s="42">
        <f>VLOOKUP(A1244,'[1]Virtus SAMPLE PositionHistorySa'!$A:$L,12,0)</f>
        <v/>
      </c>
      <c r="F1244" s="31" t="inlineStr">
        <is>
          <t>4.48</t>
        </is>
      </c>
      <c r="G1244" s="32">
        <f>VLOOKUP(A1244,Sheet3!A:K,10,0)/38</f>
        <v/>
      </c>
      <c r="H1244" s="32">
        <f>F1244-G1244</f>
        <v/>
      </c>
      <c r="I1244" s="29" t="n"/>
    </row>
    <row r="1245">
      <c r="A1245" s="29" t="n">
        <v>1210</v>
      </c>
      <c r="B1245" s="30" t="inlineStr">
        <is>
          <t>VIC-TAS</t>
        </is>
      </c>
      <c r="C1245" s="30" t="inlineStr">
        <is>
          <t>MIVFS2022</t>
        </is>
      </c>
      <c r="D1245" s="30" t="inlineStr">
        <is>
          <t>Part time</t>
        </is>
      </c>
      <c r="E1245" s="42">
        <f>VLOOKUP(A1245,'[1]Virtus SAMPLE PositionHistorySa'!$A:$L,12,0)</f>
        <v/>
      </c>
      <c r="F1245" s="31" t="inlineStr">
        <is>
          <t>4.48</t>
        </is>
      </c>
      <c r="G1245" s="32" t="n"/>
      <c r="H1245" s="32" t="n"/>
      <c r="I1245" s="29" t="n"/>
    </row>
    <row r="1246">
      <c r="A1246" s="29" t="n">
        <v>20779</v>
      </c>
      <c r="B1246" s="30" t="inlineStr">
        <is>
          <t>NSW-QLD</t>
        </is>
      </c>
      <c r="C1246" s="30" t="inlineStr">
        <is>
          <t>IVFT2024</t>
        </is>
      </c>
      <c r="D1246" s="30" t="inlineStr">
        <is>
          <t>Part time</t>
        </is>
      </c>
      <c r="E1246" s="42">
        <f>VLOOKUP(A1246,'[1]Virtus SAMPLE PositionHistorySa'!$A:$L,12,0)</f>
        <v/>
      </c>
      <c r="F1246" s="31" t="inlineStr">
        <is>
          <t>4.48</t>
        </is>
      </c>
      <c r="G1246" s="32" t="n"/>
      <c r="H1246" s="32" t="n"/>
      <c r="I1246" s="29" t="n"/>
    </row>
    <row r="1247">
      <c r="A1247" s="29" t="n">
        <v>60043</v>
      </c>
      <c r="B1247" s="30" t="inlineStr">
        <is>
          <t>NSW-QLD</t>
        </is>
      </c>
      <c r="C1247" s="30" t="inlineStr">
        <is>
          <t>QN2025</t>
        </is>
      </c>
      <c r="D1247" s="30" t="inlineStr">
        <is>
          <t>Casual</t>
        </is>
      </c>
      <c r="E1247" s="42">
        <f>VLOOKUP(A1247,'[1]Virtus SAMPLE PositionHistorySa'!$A:$L,12,0)</f>
        <v/>
      </c>
      <c r="F1247" s="31" t="inlineStr">
        <is>
          <t>6.72</t>
        </is>
      </c>
      <c r="G1247" s="32" t="n"/>
      <c r="H1247" s="32" t="n"/>
      <c r="I1247" s="29" t="n"/>
    </row>
    <row r="1248">
      <c r="A1248" s="29" t="n">
        <v>80024</v>
      </c>
      <c r="B1248" s="30" t="inlineStr">
        <is>
          <t>NSW-QLD</t>
        </is>
      </c>
      <c r="C1248" s="30" t="inlineStr">
        <is>
          <t>QS2024</t>
        </is>
      </c>
      <c r="D1248" s="30" t="inlineStr">
        <is>
          <t>Part time</t>
        </is>
      </c>
      <c r="E1248" s="42">
        <f>VLOOKUP(A1248,'[1]Virtus SAMPLE PositionHistorySa'!$A:$L,12,0)</f>
        <v/>
      </c>
      <c r="F1248" s="31" t="inlineStr">
        <is>
          <t>22.32</t>
        </is>
      </c>
      <c r="G1248" s="32" t="n"/>
      <c r="H1248" s="32" t="n"/>
      <c r="I1248" s="29" t="n"/>
    </row>
    <row r="1249">
      <c r="A1249" s="29" t="n">
        <v>20776</v>
      </c>
      <c r="B1249" s="30" t="inlineStr">
        <is>
          <t>NSW-QLD</t>
        </is>
      </c>
      <c r="C1249" s="30" t="inlineStr">
        <is>
          <t>IVFS2023</t>
        </is>
      </c>
      <c r="D1249" s="30" t="inlineStr">
        <is>
          <t>Part time</t>
        </is>
      </c>
      <c r="E1249" s="42">
        <f>VLOOKUP(A1249,'[1]Virtus SAMPLE PositionHistorySa'!$A:$L,12,0)</f>
        <v/>
      </c>
      <c r="F1249" s="31" t="inlineStr">
        <is>
          <t>4.48</t>
        </is>
      </c>
      <c r="G1249" s="32" t="n"/>
      <c r="H1249" s="32" t="n"/>
      <c r="I1249" s="29" t="n"/>
    </row>
    <row r="1250">
      <c r="A1250" s="29" t="inlineStr">
        <is>
          <t>AU22964</t>
        </is>
      </c>
      <c r="B1250" s="30" t="inlineStr">
        <is>
          <t>NSW-QLD</t>
        </is>
      </c>
      <c r="C1250" s="30" t="inlineStr">
        <is>
          <t>IVFS2023</t>
        </is>
      </c>
      <c r="D1250" s="30" t="inlineStr">
        <is>
          <t>Casual</t>
        </is>
      </c>
      <c r="E1250" s="42">
        <f>VLOOKUP(A1250,'[1]Virtus SAMPLE PositionHistorySa'!$A:$L,12,0)</f>
        <v/>
      </c>
      <c r="F1250" s="31" t="inlineStr">
        <is>
          <t>1.88</t>
        </is>
      </c>
      <c r="G1250" s="32" t="n"/>
      <c r="H1250" s="32" t="n"/>
      <c r="I1250" s="29" t="n"/>
    </row>
    <row r="1251">
      <c r="A1251" s="29" t="inlineStr">
        <is>
          <t>AU23781</t>
        </is>
      </c>
      <c r="B1251" s="30" t="inlineStr">
        <is>
          <t>VIC-TAS</t>
        </is>
      </c>
      <c r="C1251" s="30" t="inlineStr">
        <is>
          <t>MIVFS2022</t>
        </is>
      </c>
      <c r="D1251" s="30" t="inlineStr">
        <is>
          <t>Full time</t>
        </is>
      </c>
      <c r="E1251" s="42">
        <f>VLOOKUP(A1251,'[1]Virtus SAMPLE PositionHistorySa'!$A:$L,12,0)</f>
        <v/>
      </c>
      <c r="F1251" s="31" t="inlineStr">
        <is>
          <t>0.15</t>
        </is>
      </c>
      <c r="G1251" s="32">
        <f>VLOOKUP(A1251,Sheet3!A:K,10,0)/38</f>
        <v/>
      </c>
      <c r="H1251" s="32">
        <f>F1251-G1251</f>
        <v/>
      </c>
      <c r="I1251" s="29" t="n"/>
    </row>
    <row r="1252">
      <c r="A1252" s="29" t="inlineStr">
        <is>
          <t>AU23755</t>
        </is>
      </c>
      <c r="B1252" s="30" t="inlineStr">
        <is>
          <t>NSW-QLD</t>
        </is>
      </c>
      <c r="C1252" s="30" t="inlineStr">
        <is>
          <t>NSW</t>
        </is>
      </c>
      <c r="D1252" s="30" t="inlineStr">
        <is>
          <t>Full time</t>
        </is>
      </c>
      <c r="E1252" s="42">
        <f>VLOOKUP(A1252,'[1]Virtus SAMPLE PositionHistorySa'!$A:$L,12,0)</f>
        <v/>
      </c>
      <c r="F1252" s="31" t="inlineStr">
        <is>
          <t>0.15</t>
        </is>
      </c>
      <c r="G1252" s="32">
        <f>VLOOKUP(A1252,Sheet3!A:K,10,0)/38</f>
        <v/>
      </c>
      <c r="H1252" s="32">
        <f>F1252-G1252</f>
        <v/>
      </c>
      <c r="I1252" s="29" t="n"/>
    </row>
    <row r="1253">
      <c r="A1253" s="29" t="inlineStr">
        <is>
          <t>AU23787</t>
        </is>
      </c>
      <c r="B1253" s="30" t="inlineStr">
        <is>
          <t>NSW-QLD</t>
        </is>
      </c>
      <c r="C1253" s="30" t="inlineStr">
        <is>
          <t>IVFS2023</t>
        </is>
      </c>
      <c r="D1253" s="30" t="inlineStr">
        <is>
          <t>Part time</t>
        </is>
      </c>
      <c r="E1253" s="42">
        <f>VLOOKUP(A1253,'[1]Virtus SAMPLE PositionHistorySa'!$A:$L,12,0)</f>
        <v/>
      </c>
      <c r="F1253" s="31" t="inlineStr">
        <is>
          <t>0.15</t>
        </is>
      </c>
      <c r="G1253" s="32" t="n"/>
      <c r="H1253" s="32" t="n"/>
      <c r="I1253" s="29" t="n"/>
    </row>
    <row r="1254">
      <c r="A1254" s="29" t="inlineStr">
        <is>
          <t>AU23319</t>
        </is>
      </c>
      <c r="B1254" s="30" t="inlineStr">
        <is>
          <t>NSW-QLD</t>
        </is>
      </c>
      <c r="C1254" s="30" t="inlineStr">
        <is>
          <t>IVFS2023</t>
        </is>
      </c>
      <c r="D1254" s="30" t="inlineStr">
        <is>
          <t>Casual</t>
        </is>
      </c>
      <c r="E1254" s="42">
        <f>VLOOKUP(A1254,'[1]Virtus SAMPLE PositionHistorySa'!$A:$L,12,0)</f>
        <v/>
      </c>
      <c r="F1254" s="31" t="inlineStr">
        <is>
          <t>1.01</t>
        </is>
      </c>
      <c r="G1254" s="32" t="n"/>
      <c r="H1254" s="32" t="n"/>
      <c r="I1254" s="29" t="n"/>
    </row>
    <row r="1255">
      <c r="A1255" s="29" t="inlineStr">
        <is>
          <t>AU23778</t>
        </is>
      </c>
      <c r="B1255" s="30" t="inlineStr">
        <is>
          <t>NSW-QLD</t>
        </is>
      </c>
      <c r="C1255" s="30" t="inlineStr">
        <is>
          <t>NSW</t>
        </is>
      </c>
      <c r="D1255" s="30">
        <f>VLOOKUP(A1255,Sheet3!A:E,5,0)</f>
        <v/>
      </c>
      <c r="E1255" s="42">
        <f>VLOOKUP(A1255,'[1]Virtus SAMPLE PositionHistorySa'!$A:$L,12,0)</f>
        <v/>
      </c>
      <c r="F1255" s="31" t="inlineStr">
        <is>
          <t>0.14</t>
        </is>
      </c>
      <c r="G1255" s="32" t="n"/>
      <c r="H1255" s="32" t="n"/>
      <c r="I1255" s="29" t="n"/>
    </row>
    <row r="1256">
      <c r="A1256" s="29" t="n">
        <v>609</v>
      </c>
      <c r="B1256" s="30" t="inlineStr">
        <is>
          <t>VIC-TAS</t>
        </is>
      </c>
      <c r="C1256" s="30" t="inlineStr">
        <is>
          <t>MIVFS2022</t>
        </is>
      </c>
      <c r="D1256" s="30" t="inlineStr">
        <is>
          <t>Full time</t>
        </is>
      </c>
      <c r="E1256" s="42">
        <f>VLOOKUP(A1256,'[1]Virtus SAMPLE PositionHistorySa'!$A:$L,12,0)</f>
        <v/>
      </c>
      <c r="F1256" s="31" t="inlineStr">
        <is>
          <t>22.82</t>
        </is>
      </c>
      <c r="G1256" s="32">
        <f>VLOOKUP(A1256,Sheet3!A:K,10,0)/38</f>
        <v/>
      </c>
      <c r="H1256" s="32">
        <f>F1256-G1256</f>
        <v/>
      </c>
      <c r="I1256" s="29" t="n"/>
    </row>
    <row r="1257">
      <c r="A1257" s="29" t="inlineStr">
        <is>
          <t>AU22892</t>
        </is>
      </c>
      <c r="B1257" s="30" t="inlineStr">
        <is>
          <t>NSW-QLD</t>
        </is>
      </c>
      <c r="C1257" s="30" t="inlineStr">
        <is>
          <t>IVFN2021</t>
        </is>
      </c>
      <c r="D1257" s="30" t="inlineStr">
        <is>
          <t>Casual</t>
        </is>
      </c>
      <c r="E1257" s="42">
        <f>VLOOKUP(A1257,'[1]Virtus SAMPLE PositionHistorySa'!$A:$L,12,0)</f>
        <v/>
      </c>
      <c r="F1257" s="31" t="inlineStr">
        <is>
          <t>1.92</t>
        </is>
      </c>
      <c r="G1257" s="32" t="n"/>
      <c r="H1257" s="32" t="n"/>
      <c r="I1257" s="29" t="n"/>
    </row>
    <row r="1258">
      <c r="A1258" s="29" t="inlineStr">
        <is>
          <t>AU23330</t>
        </is>
      </c>
      <c r="B1258" s="30" t="inlineStr">
        <is>
          <t>NSW-QLD</t>
        </is>
      </c>
      <c r="C1258" s="30" t="inlineStr">
        <is>
          <t>IVFN2021</t>
        </is>
      </c>
      <c r="D1258" s="30" t="inlineStr">
        <is>
          <t>Casual</t>
        </is>
      </c>
      <c r="E1258" s="42">
        <f>VLOOKUP(A1258,'[1]Virtus SAMPLE PositionHistorySa'!$A:$L,12,0)</f>
        <v/>
      </c>
      <c r="F1258" s="31" t="inlineStr">
        <is>
          <t>1.01</t>
        </is>
      </c>
      <c r="G1258" s="32" t="n"/>
      <c r="H1258" s="32" t="n"/>
      <c r="I1258" s="29" t="n"/>
    </row>
    <row r="1259">
      <c r="A1259" s="29" t="n">
        <v>1080</v>
      </c>
      <c r="B1259" s="30" t="inlineStr">
        <is>
          <t>VIC-TAS</t>
        </is>
      </c>
      <c r="C1259" s="30" t="inlineStr">
        <is>
          <t>MIVFN2023</t>
        </is>
      </c>
      <c r="D1259" s="30" t="inlineStr">
        <is>
          <t>Full time</t>
        </is>
      </c>
      <c r="E1259" s="42">
        <f>VLOOKUP(A1259,'[1]Virtus SAMPLE PositionHistorySa'!$A:$L,12,0)</f>
        <v/>
      </c>
      <c r="F1259" s="31" t="inlineStr">
        <is>
          <t>6.21</t>
        </is>
      </c>
      <c r="G1259" s="32">
        <f>VLOOKUP(A1259,Sheet3!A:K,10,0)/38</f>
        <v/>
      </c>
      <c r="H1259" s="32">
        <f>F1259-G1259</f>
        <v/>
      </c>
      <c r="I1259" s="29" t="n"/>
    </row>
    <row r="1260">
      <c r="A1260" s="29" t="inlineStr">
        <is>
          <t>AU22953</t>
        </is>
      </c>
      <c r="B1260" s="30" t="inlineStr">
        <is>
          <t>NSW-QLD</t>
        </is>
      </c>
      <c r="C1260" s="30" t="inlineStr">
        <is>
          <t>QS2024</t>
        </is>
      </c>
      <c r="D1260" s="30" t="inlineStr">
        <is>
          <t>Full time</t>
        </is>
      </c>
      <c r="E1260" s="42">
        <f>VLOOKUP(A1260,'[1]Virtus SAMPLE PositionHistorySa'!$A:$L,12,0)</f>
        <v/>
      </c>
      <c r="F1260" s="31" t="inlineStr">
        <is>
          <t>1.87</t>
        </is>
      </c>
      <c r="G1260" s="32">
        <f>VLOOKUP(A1260,Sheet3!A:K,10,0)/38</f>
        <v/>
      </c>
      <c r="H1260" s="32">
        <f>F1260-G1260</f>
        <v/>
      </c>
      <c r="I1260" s="29" t="n"/>
    </row>
    <row r="1261">
      <c r="A1261" s="29" t="n">
        <v>12</v>
      </c>
      <c r="B1261" s="30" t="inlineStr">
        <is>
          <t>VIC-TAS</t>
        </is>
      </c>
      <c r="C1261" s="30" t="inlineStr">
        <is>
          <t>TIVF2024</t>
        </is>
      </c>
      <c r="D1261" s="30" t="inlineStr">
        <is>
          <t>Part time</t>
        </is>
      </c>
      <c r="E1261" s="42">
        <f>VLOOKUP(A1261,'[1]Virtus SAMPLE PositionHistorySa'!$A:$L,12,0)</f>
        <v/>
      </c>
      <c r="F1261" s="31" t="inlineStr">
        <is>
          <t>12.27</t>
        </is>
      </c>
      <c r="G1261" s="32" t="n"/>
      <c r="H1261" s="32" t="n"/>
      <c r="I1261" s="29" t="n"/>
    </row>
    <row r="1262">
      <c r="A1262" s="29" t="inlineStr">
        <is>
          <t>AU22565</t>
        </is>
      </c>
      <c r="B1262" s="30" t="inlineStr">
        <is>
          <t>NSW-QLD</t>
        </is>
      </c>
      <c r="C1262" s="30" t="inlineStr">
        <is>
          <t>IVFN2021</t>
        </is>
      </c>
      <c r="D1262" s="30" t="inlineStr">
        <is>
          <t>Casual</t>
        </is>
      </c>
      <c r="E1262" s="42">
        <f>VLOOKUP(A1262,'[1]Virtus SAMPLE PositionHistorySa'!$A:$L,12,0)</f>
        <v/>
      </c>
      <c r="F1262" s="31" t="inlineStr">
        <is>
          <t>2.74</t>
        </is>
      </c>
      <c r="G1262" s="32" t="n"/>
      <c r="H1262" s="32" t="n"/>
      <c r="I1262" s="29" t="n"/>
    </row>
    <row r="1263">
      <c r="A1263" s="29" t="n">
        <v>299</v>
      </c>
      <c r="B1263" s="30" t="inlineStr">
        <is>
          <t>VIC-TAS</t>
        </is>
      </c>
      <c r="C1263" s="30" t="inlineStr">
        <is>
          <t>MIVFS2022</t>
        </is>
      </c>
      <c r="D1263" s="30" t="inlineStr">
        <is>
          <t>Full time</t>
        </is>
      </c>
      <c r="E1263" s="42">
        <f>VLOOKUP(A1263,'[1]Virtus SAMPLE PositionHistorySa'!$A:$L,12,0)</f>
        <v/>
      </c>
      <c r="F1263" s="31" t="inlineStr">
        <is>
          <t>28.00</t>
        </is>
      </c>
      <c r="G1263" s="32">
        <f>VLOOKUP(A1263,Sheet3!A:K,10,0)/38</f>
        <v/>
      </c>
      <c r="H1263" s="32">
        <f>F1263-G1263</f>
        <v/>
      </c>
      <c r="I1263" s="29" t="n"/>
    </row>
    <row r="1264">
      <c r="A1264" s="29" t="inlineStr">
        <is>
          <t>AU23808</t>
        </is>
      </c>
      <c r="B1264" s="30" t="inlineStr">
        <is>
          <t>NSW-QLD</t>
        </is>
      </c>
      <c r="C1264" s="30" t="inlineStr">
        <is>
          <t>IVFN2021</t>
        </is>
      </c>
      <c r="D1264" s="30" t="inlineStr">
        <is>
          <t>Full time</t>
        </is>
      </c>
      <c r="E1264" s="42">
        <f>VLOOKUP(A1264,'[1]Virtus SAMPLE PositionHistorySa'!$A:$L,12,0)</f>
        <v/>
      </c>
      <c r="F1264" s="31" t="inlineStr">
        <is>
          <t>0.13</t>
        </is>
      </c>
      <c r="G1264" s="32">
        <f>VLOOKUP(A1264,Sheet3!A:K,10,0)/38</f>
        <v/>
      </c>
      <c r="H1264" s="32">
        <f>F1264-G1264</f>
        <v/>
      </c>
      <c r="I1264" s="29" t="n"/>
    </row>
    <row r="1265">
      <c r="A1265" s="29" t="inlineStr">
        <is>
          <t>AU23748</t>
        </is>
      </c>
      <c r="B1265" s="30" t="inlineStr">
        <is>
          <t>NSW-QLD</t>
        </is>
      </c>
      <c r="C1265" s="30" t="inlineStr">
        <is>
          <t>VIC</t>
        </is>
      </c>
      <c r="D1265" s="30" t="inlineStr">
        <is>
          <t>Full time</t>
        </is>
      </c>
      <c r="E1265" s="42">
        <f>VLOOKUP(A1265,'[1]Virtus SAMPLE PositionHistorySa'!$A:$L,12,0)</f>
        <v/>
      </c>
      <c r="F1265" s="31" t="inlineStr">
        <is>
          <t>0.13</t>
        </is>
      </c>
      <c r="G1265" s="32">
        <f>VLOOKUP(A1265,Sheet3!A:K,10,0)/38</f>
        <v/>
      </c>
      <c r="H1265" s="32">
        <f>F1265-G1265</f>
        <v/>
      </c>
      <c r="I1265" s="29" t="n"/>
    </row>
    <row r="1266">
      <c r="A1266" s="29" t="inlineStr">
        <is>
          <t>AU23797</t>
        </is>
      </c>
      <c r="B1266" s="30" t="inlineStr">
        <is>
          <t>NSW-QLD</t>
        </is>
      </c>
      <c r="C1266" s="30" t="inlineStr">
        <is>
          <t>QS2024</t>
        </is>
      </c>
      <c r="D1266" s="30" t="inlineStr">
        <is>
          <t>Full time</t>
        </is>
      </c>
      <c r="E1266" s="42">
        <f>VLOOKUP(A1266,'[1]Virtus SAMPLE PositionHistorySa'!$A:$L,12,0)</f>
        <v/>
      </c>
      <c r="F1266" s="31" t="inlineStr">
        <is>
          <t>0.13</t>
        </is>
      </c>
      <c r="G1266" s="32">
        <f>VLOOKUP(A1266,Sheet3!A:K,10,0)/38</f>
        <v/>
      </c>
      <c r="H1266" s="32">
        <f>F1266-G1266</f>
        <v/>
      </c>
      <c r="I1266" s="29" t="n"/>
    </row>
    <row r="1267">
      <c r="A1267" s="29" t="inlineStr">
        <is>
          <t>AU23783</t>
        </is>
      </c>
      <c r="B1267" s="30" t="inlineStr">
        <is>
          <t>NSW-QLD</t>
        </is>
      </c>
      <c r="C1267" s="30" t="inlineStr">
        <is>
          <t>QN2025</t>
        </is>
      </c>
      <c r="D1267" s="30" t="inlineStr">
        <is>
          <t>Part time</t>
        </is>
      </c>
      <c r="E1267" s="42">
        <f>VLOOKUP(A1267,'[1]Virtus SAMPLE PositionHistorySa'!$A:$L,12,0)</f>
        <v/>
      </c>
      <c r="F1267" s="31" t="inlineStr">
        <is>
          <t>0.20</t>
        </is>
      </c>
      <c r="G1267" s="32" t="n"/>
      <c r="H1267" s="32" t="n"/>
      <c r="I1267" s="29" t="n"/>
    </row>
    <row r="1268">
      <c r="A1268" s="29" t="inlineStr">
        <is>
          <t>AU23790</t>
        </is>
      </c>
      <c r="B1268" s="30" t="inlineStr">
        <is>
          <t>NSW-QLD</t>
        </is>
      </c>
      <c r="C1268" s="30" t="inlineStr">
        <is>
          <t>IVFS2023</t>
        </is>
      </c>
      <c r="D1268" s="30" t="inlineStr">
        <is>
          <t>Part time</t>
        </is>
      </c>
      <c r="E1268" s="42">
        <f>VLOOKUP(A1268,'[1]Virtus SAMPLE PositionHistorySa'!$A:$L,12,0)</f>
        <v/>
      </c>
      <c r="F1268" s="31" t="inlineStr">
        <is>
          <t>0.13</t>
        </is>
      </c>
      <c r="G1268" s="32" t="n"/>
      <c r="H1268" s="32" t="n"/>
      <c r="I1268" s="29" t="n"/>
    </row>
    <row r="1269">
      <c r="A1269" s="29" t="inlineStr">
        <is>
          <t>AU23800</t>
        </is>
      </c>
      <c r="B1269" s="30" t="inlineStr">
        <is>
          <t>NSW-QLD</t>
        </is>
      </c>
      <c r="C1269" s="30" t="inlineStr">
        <is>
          <t>VIC</t>
        </is>
      </c>
      <c r="D1269" s="30">
        <f>VLOOKUP(A1269,Sheet3!A:E,5,0)</f>
        <v/>
      </c>
      <c r="E1269" s="42">
        <f>VLOOKUP(A1269,'[1]Virtus SAMPLE PositionHistorySa'!$A:$L,12,0)</f>
        <v/>
      </c>
      <c r="F1269" s="31" t="inlineStr">
        <is>
          <t>0.13</t>
        </is>
      </c>
      <c r="G1269" s="32" t="n"/>
      <c r="H1269" s="32" t="n"/>
      <c r="I1269" s="29" t="n"/>
    </row>
    <row r="1270">
      <c r="A1270" s="29" t="n">
        <v>771</v>
      </c>
      <c r="B1270" s="30" t="inlineStr">
        <is>
          <t>VIC-TAS</t>
        </is>
      </c>
      <c r="C1270" s="30" t="inlineStr">
        <is>
          <t>MIVFS2022</t>
        </is>
      </c>
      <c r="D1270" s="30" t="inlineStr">
        <is>
          <t>Part time</t>
        </is>
      </c>
      <c r="E1270" s="42">
        <f>VLOOKUP(A1270,'[1]Virtus SAMPLE PositionHistorySa'!$A:$L,12,0)</f>
        <v/>
      </c>
      <c r="F1270" s="31" t="inlineStr">
        <is>
          <t>21.06</t>
        </is>
      </c>
      <c r="G1270" s="32" t="n"/>
      <c r="H1270" s="32" t="n"/>
      <c r="I1270" s="29" t="n"/>
    </row>
    <row r="1271">
      <c r="A1271" s="29" t="n">
        <v>20696</v>
      </c>
      <c r="B1271" s="30" t="inlineStr">
        <is>
          <t>NSW-QLD</t>
        </is>
      </c>
      <c r="C1271" s="30" t="inlineStr">
        <is>
          <t>NSW</t>
        </is>
      </c>
      <c r="D1271" s="30" t="inlineStr">
        <is>
          <t>Full time</t>
        </is>
      </c>
      <c r="E1271" s="42">
        <f>VLOOKUP(A1271,'[1]Virtus SAMPLE PositionHistorySa'!$A:$L,12,0)</f>
        <v/>
      </c>
      <c r="F1271" s="31" t="inlineStr">
        <is>
          <t>5.33</t>
        </is>
      </c>
      <c r="G1271" s="32">
        <f>VLOOKUP(A1271,Sheet3!A:K,10,0)/38</f>
        <v/>
      </c>
      <c r="H1271" s="32">
        <f>F1271-G1271</f>
        <v/>
      </c>
      <c r="I1271" s="29" t="n"/>
    </row>
    <row r="1272">
      <c r="A1272" s="29" t="inlineStr">
        <is>
          <t>AU23325</t>
        </is>
      </c>
      <c r="B1272" s="30" t="inlineStr">
        <is>
          <t>VIC-TAS</t>
        </is>
      </c>
      <c r="C1272" s="30" t="inlineStr">
        <is>
          <t>VIC</t>
        </is>
      </c>
      <c r="D1272" s="30" t="inlineStr">
        <is>
          <t>Full time</t>
        </is>
      </c>
      <c r="E1272" s="42">
        <f>VLOOKUP(A1272,'[1]Virtus SAMPLE PositionHistorySa'!$A:$L,12,0)</f>
        <v/>
      </c>
      <c r="F1272" s="31" t="inlineStr">
        <is>
          <t>0.99</t>
        </is>
      </c>
      <c r="G1272" s="32">
        <f>VLOOKUP(A1272,Sheet3!A:K,10,0)/38</f>
        <v/>
      </c>
      <c r="H1272" s="32">
        <f>F1272-G1272</f>
        <v/>
      </c>
      <c r="I1272" s="29" t="n"/>
    </row>
    <row r="1273">
      <c r="A1273" s="29" t="inlineStr">
        <is>
          <t>AU23323</t>
        </is>
      </c>
      <c r="B1273" s="30" t="inlineStr">
        <is>
          <t>NSW-QLD</t>
        </is>
      </c>
      <c r="C1273" s="30" t="inlineStr">
        <is>
          <t>IVFN2021</t>
        </is>
      </c>
      <c r="D1273" s="30" t="inlineStr">
        <is>
          <t>Full time</t>
        </is>
      </c>
      <c r="E1273" s="42">
        <f>VLOOKUP(A1273,'[1]Virtus SAMPLE PositionHistorySa'!$A:$L,12,0)</f>
        <v/>
      </c>
      <c r="F1273" s="31" t="inlineStr">
        <is>
          <t>0.99</t>
        </is>
      </c>
      <c r="G1273" s="32">
        <f>VLOOKUP(A1273,Sheet3!A:K,10,0)/38</f>
        <v/>
      </c>
      <c r="H1273" s="32">
        <f>F1273-G1273</f>
        <v/>
      </c>
      <c r="I1273" s="29" t="n"/>
    </row>
    <row r="1274">
      <c r="A1274" s="29" t="inlineStr">
        <is>
          <t>AU23309</t>
        </is>
      </c>
      <c r="B1274" s="30" t="inlineStr">
        <is>
          <t>NSW-QLD</t>
        </is>
      </c>
      <c r="C1274" s="30" t="inlineStr">
        <is>
          <t>IVFS2023</t>
        </is>
      </c>
      <c r="D1274" s="30" t="inlineStr">
        <is>
          <t>Full time</t>
        </is>
      </c>
      <c r="E1274" s="42">
        <f>VLOOKUP(A1274,'[1]Virtus SAMPLE PositionHistorySa'!$A:$L,12,0)</f>
        <v/>
      </c>
      <c r="F1274" s="31" t="inlineStr">
        <is>
          <t>0.99</t>
        </is>
      </c>
      <c r="G1274" s="32">
        <f>VLOOKUP(A1274,Sheet3!A:K,10,0)/38</f>
        <v/>
      </c>
      <c r="H1274" s="32">
        <f>F1274-G1274</f>
        <v/>
      </c>
      <c r="I1274" s="29" t="n"/>
    </row>
    <row r="1275">
      <c r="A1275" s="29" t="inlineStr">
        <is>
          <t>AU23328</t>
        </is>
      </c>
      <c r="B1275" s="30" t="inlineStr">
        <is>
          <t>NSW-QLD</t>
        </is>
      </c>
      <c r="C1275" s="30" t="inlineStr">
        <is>
          <t>IVFS2023</t>
        </is>
      </c>
      <c r="D1275" s="30" t="inlineStr">
        <is>
          <t>Full time</t>
        </is>
      </c>
      <c r="E1275" s="42">
        <f>VLOOKUP(A1275,'[1]Virtus SAMPLE PositionHistorySa'!$A:$L,12,0)</f>
        <v/>
      </c>
      <c r="F1275" s="31" t="inlineStr">
        <is>
          <t>0.99</t>
        </is>
      </c>
      <c r="G1275" s="32">
        <f>VLOOKUP(A1275,Sheet3!A:K,10,0)/38</f>
        <v/>
      </c>
      <c r="H1275" s="32">
        <f>F1275-G1275</f>
        <v/>
      </c>
      <c r="I1275" s="29" t="n"/>
    </row>
    <row r="1276">
      <c r="A1276" s="29" t="inlineStr">
        <is>
          <t>AU23324</t>
        </is>
      </c>
      <c r="B1276" s="30" t="inlineStr">
        <is>
          <t>NSW-QLD</t>
        </is>
      </c>
      <c r="C1276" s="30" t="inlineStr">
        <is>
          <t>IVFN2021</t>
        </is>
      </c>
      <c r="D1276" s="30">
        <f>VLOOKUP(A1276,Sheet3!A:E,5,0)</f>
        <v/>
      </c>
      <c r="E1276" s="42">
        <f>VLOOKUP(A1276,'[1]Virtus SAMPLE PositionHistorySa'!$A:$L,12,0)</f>
        <v/>
      </c>
      <c r="F1276" s="31" t="inlineStr">
        <is>
          <t>0.99</t>
        </is>
      </c>
      <c r="G1276" s="32" t="n"/>
      <c r="H1276" s="32" t="n"/>
      <c r="I1276" s="29" t="n"/>
    </row>
    <row r="1277">
      <c r="A1277" s="29" t="inlineStr">
        <is>
          <t>AU23327</t>
        </is>
      </c>
      <c r="B1277" s="30" t="inlineStr">
        <is>
          <t>NSW-QLD</t>
        </is>
      </c>
      <c r="C1277" s="30" t="inlineStr">
        <is>
          <t>IVFN2021</t>
        </is>
      </c>
      <c r="D1277" s="30" t="inlineStr">
        <is>
          <t>Part time</t>
        </is>
      </c>
      <c r="E1277" s="42">
        <f>VLOOKUP(A1277,'[1]Virtus SAMPLE PositionHistorySa'!$A:$L,12,0)</f>
        <v/>
      </c>
      <c r="F1277" s="31" t="inlineStr">
        <is>
          <t>0.99</t>
        </is>
      </c>
      <c r="G1277" s="32" t="n"/>
      <c r="H1277" s="32" t="n"/>
      <c r="I1277" s="29" t="n"/>
    </row>
    <row r="1278">
      <c r="A1278" s="29" t="inlineStr">
        <is>
          <t>AU23346</t>
        </is>
      </c>
      <c r="B1278" s="30" t="inlineStr">
        <is>
          <t>NSW-QLD</t>
        </is>
      </c>
      <c r="C1278" s="30" t="inlineStr">
        <is>
          <t>IVFN2021</t>
        </is>
      </c>
      <c r="D1278" s="30" t="inlineStr">
        <is>
          <t>Casual</t>
        </is>
      </c>
      <c r="E1278" s="42">
        <f>VLOOKUP(A1278,'[1]Virtus SAMPLE PositionHistorySa'!$A:$L,12,0)</f>
        <v/>
      </c>
      <c r="F1278" s="31" t="inlineStr">
        <is>
          <t>0.99</t>
        </is>
      </c>
      <c r="G1278" s="32" t="n"/>
      <c r="H1278" s="32" t="n"/>
      <c r="I1278" s="29" t="n"/>
    </row>
    <row r="1279">
      <c r="A1279" s="29" t="inlineStr">
        <is>
          <t>AU23348</t>
        </is>
      </c>
      <c r="B1279" s="30" t="inlineStr">
        <is>
          <t>NSW-QLD</t>
        </is>
      </c>
      <c r="C1279" s="30" t="inlineStr">
        <is>
          <t>QN2025</t>
        </is>
      </c>
      <c r="D1279" s="30" t="inlineStr">
        <is>
          <t>Part time</t>
        </is>
      </c>
      <c r="E1279" s="42">
        <f>VLOOKUP(A1279,'[1]Virtus SAMPLE PositionHistorySa'!$A:$L,12,0)</f>
        <v/>
      </c>
      <c r="F1279" s="31" t="inlineStr">
        <is>
          <t>1.49</t>
        </is>
      </c>
      <c r="G1279" s="32" t="n"/>
      <c r="H1279" s="32" t="n"/>
      <c r="I1279" s="29" t="n"/>
    </row>
    <row r="1280">
      <c r="A1280" s="29" t="inlineStr">
        <is>
          <t>AU23786</t>
        </is>
      </c>
      <c r="B1280" s="30" t="inlineStr">
        <is>
          <t>VIC-TAS</t>
        </is>
      </c>
      <c r="C1280" s="30" t="inlineStr">
        <is>
          <t>MIVFN2023</t>
        </is>
      </c>
      <c r="D1280" s="30">
        <f>VLOOKUP(A1280,Sheet3!A:E,5,0)</f>
        <v/>
      </c>
      <c r="E1280" s="42">
        <f>VLOOKUP(A1280,'[1]Virtus SAMPLE PositionHistorySa'!$A:$L,12,0)</f>
        <v/>
      </c>
      <c r="F1280" s="31" t="inlineStr">
        <is>
          <t>0.13</t>
        </is>
      </c>
      <c r="G1280" s="32" t="n"/>
      <c r="H1280" s="32" t="n"/>
      <c r="I1280" s="29" t="n"/>
    </row>
    <row r="1281">
      <c r="A1281" s="29" t="n">
        <v>80098</v>
      </c>
      <c r="B1281" s="30" t="inlineStr">
        <is>
          <t>NSW-QLD</t>
        </is>
      </c>
      <c r="C1281" s="30" t="inlineStr">
        <is>
          <t>QS2024</t>
        </is>
      </c>
      <c r="D1281" s="30" t="inlineStr">
        <is>
          <t>Full time</t>
        </is>
      </c>
      <c r="E1281" s="42">
        <f>VLOOKUP(A1281,'[1]Virtus SAMPLE PositionHistorySa'!$A:$L,12,0)</f>
        <v/>
      </c>
      <c r="F1281" s="31" t="inlineStr">
        <is>
          <t>31.39</t>
        </is>
      </c>
      <c r="G1281" s="32">
        <f>VLOOKUP(A1281,Sheet3!A:K,10,0)/38</f>
        <v/>
      </c>
      <c r="H1281" s="32">
        <f>F1281-G1281</f>
        <v/>
      </c>
      <c r="I1281" s="29" t="n"/>
    </row>
    <row r="1282">
      <c r="A1282" s="29" t="n">
        <v>235</v>
      </c>
      <c r="B1282" s="30" t="inlineStr">
        <is>
          <t>VIC-TAS</t>
        </is>
      </c>
      <c r="C1282" s="30" t="inlineStr">
        <is>
          <t>MIVFN2023</t>
        </is>
      </c>
      <c r="D1282" s="30" t="inlineStr">
        <is>
          <t>Part time</t>
        </is>
      </c>
      <c r="E1282" s="42">
        <f>VLOOKUP(A1282,'[1]Virtus SAMPLE PositionHistorySa'!$A:$L,12,0)</f>
        <v/>
      </c>
      <c r="F1282" s="31" t="inlineStr">
        <is>
          <t>29.72</t>
        </is>
      </c>
      <c r="G1282" s="32" t="n"/>
      <c r="H1282" s="32" t="n"/>
      <c r="I1282" s="29" t="n"/>
    </row>
    <row r="1283">
      <c r="A1283" s="29" t="inlineStr">
        <is>
          <t>AU22748</t>
        </is>
      </c>
      <c r="B1283" s="30" t="inlineStr">
        <is>
          <t>VIC-TAS</t>
        </is>
      </c>
      <c r="C1283" s="30" t="inlineStr">
        <is>
          <t>MIVFS2022</t>
        </is>
      </c>
      <c r="D1283" s="30" t="inlineStr">
        <is>
          <t>Part time</t>
        </is>
      </c>
      <c r="E1283" s="42">
        <f>VLOOKUP(A1283,'[1]Virtus SAMPLE PositionHistorySa'!$A:$L,12,0)</f>
        <v/>
      </c>
      <c r="F1283" s="31" t="inlineStr">
        <is>
          <t>6.19</t>
        </is>
      </c>
      <c r="G1283" s="32" t="n"/>
      <c r="H1283" s="32" t="n"/>
      <c r="I1283" s="29" t="n"/>
    </row>
    <row r="1284">
      <c r="A1284" s="29" t="inlineStr">
        <is>
          <t>AU22980</t>
        </is>
      </c>
      <c r="B1284" s="30" t="inlineStr">
        <is>
          <t>NSW-QLD</t>
        </is>
      </c>
      <c r="C1284" s="30" t="inlineStr">
        <is>
          <t>IVFN2021</t>
        </is>
      </c>
      <c r="D1284" s="30" t="inlineStr">
        <is>
          <t>Casual</t>
        </is>
      </c>
      <c r="E1284" s="42">
        <f>VLOOKUP(A1284,'[1]Virtus SAMPLE PositionHistorySa'!$A:$L,12,0)</f>
        <v/>
      </c>
      <c r="F1284" s="31" t="inlineStr">
        <is>
          <t>1.86</t>
        </is>
      </c>
      <c r="G1284" s="32" t="n"/>
      <c r="H1284" s="32" t="n"/>
      <c r="I1284" s="29" t="n"/>
    </row>
    <row r="1285">
      <c r="A1285" s="29" t="n">
        <v>1005</v>
      </c>
      <c r="B1285" s="30" t="inlineStr">
        <is>
          <t>VIC-TAS</t>
        </is>
      </c>
      <c r="C1285" s="30" t="inlineStr">
        <is>
          <t>MIVFN2023</t>
        </is>
      </c>
      <c r="D1285" s="30" t="inlineStr">
        <is>
          <t>Part time</t>
        </is>
      </c>
      <c r="E1285" s="42">
        <f>VLOOKUP(A1285,'[1]Virtus SAMPLE PositionHistorySa'!$A:$L,12,0)</f>
        <v/>
      </c>
      <c r="F1285" s="31" t="inlineStr">
        <is>
          <t>7.06</t>
        </is>
      </c>
      <c r="G1285" s="32" t="n"/>
      <c r="H1285" s="32" t="n"/>
      <c r="I1285" s="29" t="n"/>
    </row>
    <row r="1286">
      <c r="A1286" s="29" t="inlineStr">
        <is>
          <t>AU22961</t>
        </is>
      </c>
      <c r="B1286" s="30" t="inlineStr">
        <is>
          <t>NSW-QLD</t>
        </is>
      </c>
      <c r="C1286" s="30" t="inlineStr">
        <is>
          <t>IVFS2023</t>
        </is>
      </c>
      <c r="D1286" s="30" t="inlineStr">
        <is>
          <t>Part time</t>
        </is>
      </c>
      <c r="E1286" s="42">
        <f>VLOOKUP(A1286,'[1]Virtus SAMPLE PositionHistorySa'!$A:$L,12,0)</f>
        <v/>
      </c>
      <c r="F1286" s="31" t="inlineStr">
        <is>
          <t>1.86</t>
        </is>
      </c>
      <c r="G1286" s="32" t="n"/>
      <c r="H1286" s="32" t="n"/>
      <c r="I1286" s="29" t="n"/>
    </row>
    <row r="1287">
      <c r="A1287" s="29" t="inlineStr">
        <is>
          <t>AU22976</t>
        </is>
      </c>
      <c r="B1287" s="30" t="inlineStr">
        <is>
          <t>NSW-QLD</t>
        </is>
      </c>
      <c r="C1287" s="30" t="inlineStr">
        <is>
          <t>IVFN2021</t>
        </is>
      </c>
      <c r="D1287" s="30" t="inlineStr">
        <is>
          <t>Casual</t>
        </is>
      </c>
      <c r="E1287" s="42">
        <f>VLOOKUP(A1287,'[1]Virtus SAMPLE PositionHistorySa'!$A:$L,12,0)</f>
        <v/>
      </c>
      <c r="F1287" s="31" t="inlineStr">
        <is>
          <t>1.86</t>
        </is>
      </c>
      <c r="G1287" s="32" t="n"/>
      <c r="H1287" s="32" t="n"/>
      <c r="I1287" s="29" t="n"/>
    </row>
    <row r="1288">
      <c r="A1288" s="29" t="n">
        <v>20875</v>
      </c>
      <c r="B1288" s="30" t="inlineStr">
        <is>
          <t>NSW-QLD</t>
        </is>
      </c>
      <c r="C1288" s="30" t="inlineStr">
        <is>
          <t>NSW</t>
        </is>
      </c>
      <c r="D1288" s="30" t="inlineStr">
        <is>
          <t>Part time</t>
        </is>
      </c>
      <c r="E1288" s="42">
        <f>VLOOKUP(A1288,'[1]Virtus SAMPLE PositionHistorySa'!$A:$L,12,0)</f>
        <v/>
      </c>
      <c r="F1288" s="31" t="inlineStr">
        <is>
          <t>3.59</t>
        </is>
      </c>
      <c r="G1288" s="32" t="n"/>
      <c r="H1288" s="32" t="n"/>
      <c r="I1288" s="29" t="n"/>
    </row>
    <row r="1289">
      <c r="A1289" s="29" t="inlineStr">
        <is>
          <t>AU22544</t>
        </is>
      </c>
      <c r="B1289" s="30" t="inlineStr">
        <is>
          <t>NSW-QLD</t>
        </is>
      </c>
      <c r="C1289" s="30" t="inlineStr">
        <is>
          <t>QS2024</t>
        </is>
      </c>
      <c r="D1289" s="30" t="inlineStr">
        <is>
          <t>Full time</t>
        </is>
      </c>
      <c r="E1289" s="42">
        <f>VLOOKUP(A1289,'[1]Virtus SAMPLE PositionHistorySa'!$A:$L,12,0)</f>
        <v/>
      </c>
      <c r="F1289" s="31" t="inlineStr">
        <is>
          <t>2.72</t>
        </is>
      </c>
      <c r="G1289" s="32">
        <f>VLOOKUP(A1289,Sheet3!A:K,10,0)/38</f>
        <v/>
      </c>
      <c r="H1289" s="32">
        <f>F1289-G1289</f>
        <v/>
      </c>
      <c r="I1289" s="29" t="n"/>
    </row>
    <row r="1290">
      <c r="A1290" s="29" t="inlineStr">
        <is>
          <t>AU22541</t>
        </is>
      </c>
      <c r="B1290" s="30" t="inlineStr">
        <is>
          <t>NSW-QLD</t>
        </is>
      </c>
      <c r="C1290" s="30" t="inlineStr">
        <is>
          <t>IVFN2021</t>
        </is>
      </c>
      <c r="D1290" s="30" t="inlineStr">
        <is>
          <t>Part time</t>
        </is>
      </c>
      <c r="E1290" s="42">
        <f>VLOOKUP(A1290,'[1]Virtus SAMPLE PositionHistorySa'!$A:$L,12,0)</f>
        <v/>
      </c>
      <c r="F1290" s="31" t="inlineStr">
        <is>
          <t>2.72</t>
        </is>
      </c>
      <c r="G1290" s="32" t="n"/>
      <c r="H1290" s="32" t="n"/>
      <c r="I1290" s="29" t="n"/>
    </row>
    <row r="1291">
      <c r="A1291" s="29" t="inlineStr">
        <is>
          <t>AU22973</t>
        </is>
      </c>
      <c r="B1291" s="30" t="inlineStr">
        <is>
          <t>VIC-TAS</t>
        </is>
      </c>
      <c r="C1291" s="30" t="inlineStr">
        <is>
          <t>MIVFS2022</t>
        </is>
      </c>
      <c r="D1291" s="30" t="inlineStr">
        <is>
          <t>Full time</t>
        </is>
      </c>
      <c r="E1291" s="42">
        <f>VLOOKUP(A1291,'[1]Virtus SAMPLE PositionHistorySa'!$A:$L,12,0)</f>
        <v/>
      </c>
      <c r="F1291" s="31" t="inlineStr">
        <is>
          <t>1.85</t>
        </is>
      </c>
      <c r="G1291" s="32">
        <f>VLOOKUP(A1291,Sheet3!A:K,10,0)/38</f>
        <v/>
      </c>
      <c r="H1291" s="32">
        <f>F1291-G1291</f>
        <v/>
      </c>
      <c r="I1291" s="29" t="n"/>
    </row>
    <row r="1292">
      <c r="A1292" s="29" t="inlineStr">
        <is>
          <t>AU22946</t>
        </is>
      </c>
      <c r="B1292" s="30" t="inlineStr">
        <is>
          <t>VIC-TAS</t>
        </is>
      </c>
      <c r="C1292" s="30" t="inlineStr">
        <is>
          <t>MIVFS2022</t>
        </is>
      </c>
      <c r="D1292" s="30" t="inlineStr">
        <is>
          <t>Full time</t>
        </is>
      </c>
      <c r="E1292" s="42">
        <f>VLOOKUP(A1292,'[1]Virtus SAMPLE PositionHistorySa'!$A:$L,12,0)</f>
        <v/>
      </c>
      <c r="F1292" s="31" t="inlineStr">
        <is>
          <t>1.85</t>
        </is>
      </c>
      <c r="G1292" s="32">
        <f>VLOOKUP(A1292,Sheet3!A:K,10,0)/38</f>
        <v/>
      </c>
      <c r="H1292" s="32">
        <f>F1292-G1292</f>
        <v/>
      </c>
      <c r="I1292" s="29" t="n"/>
    </row>
    <row r="1293">
      <c r="A1293" s="29" t="inlineStr">
        <is>
          <t>AU22959</t>
        </is>
      </c>
      <c r="B1293" s="30" t="inlineStr">
        <is>
          <t>NSW-QLD</t>
        </is>
      </c>
      <c r="C1293" s="30" t="inlineStr">
        <is>
          <t>IVFS2023</t>
        </is>
      </c>
      <c r="D1293" s="30" t="inlineStr">
        <is>
          <t>Casual</t>
        </is>
      </c>
      <c r="E1293" s="42">
        <f>VLOOKUP(A1293,'[1]Virtus SAMPLE PositionHistorySa'!$A:$L,12,0)</f>
        <v/>
      </c>
      <c r="F1293" s="31" t="inlineStr">
        <is>
          <t>1.85</t>
        </is>
      </c>
      <c r="G1293" s="32" t="n"/>
      <c r="H1293" s="32" t="n"/>
      <c r="I1293" s="29" t="n"/>
    </row>
    <row r="1294">
      <c r="A1294" s="29" t="n">
        <v>20467</v>
      </c>
      <c r="B1294" s="30" t="inlineStr">
        <is>
          <t>NSW-QLD</t>
        </is>
      </c>
      <c r="C1294" s="30" t="inlineStr">
        <is>
          <t>NSW</t>
        </is>
      </c>
      <c r="D1294" s="30" t="inlineStr">
        <is>
          <t>Full time</t>
        </is>
      </c>
      <c r="E1294" s="42">
        <f>VLOOKUP(A1294,'[1]Virtus SAMPLE PositionHistorySa'!$A:$L,12,0)</f>
        <v/>
      </c>
      <c r="F1294" s="31" t="inlineStr">
        <is>
          <t>8.78</t>
        </is>
      </c>
      <c r="G1294" s="32">
        <f>VLOOKUP(A1294,Sheet3!A:K,10,0)/38</f>
        <v/>
      </c>
      <c r="H1294" s="32">
        <f>F1294-G1294</f>
        <v/>
      </c>
      <c r="I1294" s="29" t="n"/>
    </row>
    <row r="1295">
      <c r="A1295" s="29" t="n">
        <v>20192</v>
      </c>
      <c r="B1295" s="30" t="inlineStr">
        <is>
          <t>NSW-QLD</t>
        </is>
      </c>
      <c r="C1295" s="30" t="inlineStr">
        <is>
          <t>IVFS2023</t>
        </is>
      </c>
      <c r="D1295" s="30" t="inlineStr">
        <is>
          <t>Full time</t>
        </is>
      </c>
      <c r="E1295" s="42">
        <f>VLOOKUP(A1295,'[1]Virtus SAMPLE PositionHistorySa'!$A:$L,12,0)</f>
        <v/>
      </c>
      <c r="F1295" s="31" t="inlineStr">
        <is>
          <t>2.79</t>
        </is>
      </c>
      <c r="G1295" s="32">
        <f>VLOOKUP(A1295,Sheet3!A:K,10,0)/38</f>
        <v/>
      </c>
      <c r="H1295" s="32">
        <f>F1295-G1295</f>
        <v/>
      </c>
      <c r="I1295" s="29" t="n"/>
    </row>
    <row r="1296">
      <c r="A1296" s="29" t="inlineStr">
        <is>
          <t>AU22978</t>
        </is>
      </c>
      <c r="B1296" s="30" t="inlineStr">
        <is>
          <t>NSW-QLD</t>
        </is>
      </c>
      <c r="C1296" s="30" t="inlineStr">
        <is>
          <t>QN2025</t>
        </is>
      </c>
      <c r="D1296" s="30" t="inlineStr">
        <is>
          <t>Full time</t>
        </is>
      </c>
      <c r="E1296" s="42">
        <f>VLOOKUP(A1296,'[1]Virtus SAMPLE PositionHistorySa'!$A:$L,12,0)</f>
        <v/>
      </c>
      <c r="F1296" s="31" t="inlineStr">
        <is>
          <t>2.73</t>
        </is>
      </c>
      <c r="G1296" s="32">
        <f>VLOOKUP(A1296,Sheet3!A:K,10,0)/38</f>
        <v/>
      </c>
      <c r="H1296" s="32">
        <f>F1296-G1296</f>
        <v/>
      </c>
      <c r="I1296" s="29" t="n"/>
    </row>
    <row r="1297">
      <c r="A1297" s="29" t="n">
        <v>30076</v>
      </c>
      <c r="B1297" s="30" t="inlineStr">
        <is>
          <t>NSW-QLD</t>
        </is>
      </c>
      <c r="C1297" s="30" t="inlineStr">
        <is>
          <t>IVFS2023</t>
        </is>
      </c>
      <c r="D1297" s="30" t="inlineStr">
        <is>
          <t>Casual</t>
        </is>
      </c>
      <c r="E1297" s="42">
        <f>VLOOKUP(A1297,'[1]Virtus SAMPLE PositionHistorySa'!$A:$L,12,0)</f>
        <v/>
      </c>
      <c r="F1297" s="31" t="inlineStr">
        <is>
          <t>12.22</t>
        </is>
      </c>
      <c r="G1297" s="32" t="n"/>
      <c r="H1297" s="32" t="n"/>
      <c r="I1297" s="29" t="n"/>
    </row>
    <row r="1298">
      <c r="A1298" s="29" t="inlineStr">
        <is>
          <t>AU23687</t>
        </is>
      </c>
      <c r="B1298" s="30" t="inlineStr">
        <is>
          <t>NSW-QLD</t>
        </is>
      </c>
      <c r="C1298" s="30" t="inlineStr">
        <is>
          <t>IVFS2023</t>
        </is>
      </c>
      <c r="D1298" s="30" t="inlineStr">
        <is>
          <t>Full time</t>
        </is>
      </c>
      <c r="E1298" s="42">
        <f>VLOOKUP(A1298,'[1]Virtus SAMPLE PositionHistorySa'!$A:$L,12,0)</f>
        <v/>
      </c>
      <c r="F1298" s="31" t="inlineStr">
        <is>
          <t>4.42</t>
        </is>
      </c>
      <c r="G1298" s="32">
        <f>VLOOKUP(A1298,Sheet3!A:K,10,0)/38</f>
        <v/>
      </c>
      <c r="H1298" s="32">
        <f>F1298-G1298</f>
        <v/>
      </c>
      <c r="I1298" s="29" t="n"/>
    </row>
    <row r="1299">
      <c r="A1299" s="29" t="n">
        <v>100036</v>
      </c>
      <c r="B1299" s="30" t="inlineStr">
        <is>
          <t>NSW-QLD</t>
        </is>
      </c>
      <c r="C1299" s="30" t="inlineStr">
        <is>
          <t>IVFS2023</t>
        </is>
      </c>
      <c r="D1299" s="30" t="inlineStr">
        <is>
          <t>Full time</t>
        </is>
      </c>
      <c r="E1299" s="42">
        <f>VLOOKUP(A1299,'[1]Virtus SAMPLE PositionHistorySa'!$A:$L,12,0)</f>
        <v/>
      </c>
      <c r="F1299" s="31" t="inlineStr">
        <is>
          <t>4.42</t>
        </is>
      </c>
      <c r="G1299" s="32">
        <f>VLOOKUP(A1299,Sheet3!A:K,10,0)/38</f>
        <v/>
      </c>
      <c r="H1299" s="32">
        <f>F1299-G1299</f>
        <v/>
      </c>
      <c r="I1299" s="29" t="n"/>
    </row>
    <row r="1300">
      <c r="A1300" s="29" t="n">
        <v>80372</v>
      </c>
      <c r="B1300" s="30" t="inlineStr">
        <is>
          <t>NSW-QLD</t>
        </is>
      </c>
      <c r="C1300" s="30" t="inlineStr">
        <is>
          <t>QS2024</t>
        </is>
      </c>
      <c r="D1300" s="30" t="inlineStr">
        <is>
          <t>Full time</t>
        </is>
      </c>
      <c r="E1300" s="42">
        <f>VLOOKUP(A1300,'[1]Virtus SAMPLE PositionHistorySa'!$A:$L,12,0)</f>
        <v/>
      </c>
      <c r="F1300" s="31" t="inlineStr">
        <is>
          <t>4.42</t>
        </is>
      </c>
      <c r="G1300" s="32">
        <f>VLOOKUP(A1300,Sheet3!A:K,10,0)/38</f>
        <v/>
      </c>
      <c r="H1300" s="32">
        <f>F1300-G1300</f>
        <v/>
      </c>
      <c r="I1300" s="29" t="n"/>
    </row>
    <row r="1301">
      <c r="A1301" s="29" t="n">
        <v>50176</v>
      </c>
      <c r="B1301" s="30" t="inlineStr">
        <is>
          <t>NSW-QLD</t>
        </is>
      </c>
      <c r="C1301" s="30" t="inlineStr">
        <is>
          <t>IVFN2021</t>
        </is>
      </c>
      <c r="D1301" s="30" t="inlineStr">
        <is>
          <t>Casual</t>
        </is>
      </c>
      <c r="E1301" s="42">
        <f>VLOOKUP(A1301,'[1]Virtus SAMPLE PositionHistorySa'!$A:$L,12,0)</f>
        <v/>
      </c>
      <c r="F1301" s="31" t="inlineStr">
        <is>
          <t>4.42</t>
        </is>
      </c>
      <c r="G1301" s="32" t="n"/>
      <c r="H1301" s="32" t="n"/>
      <c r="I1301" s="29" t="n"/>
    </row>
    <row r="1302">
      <c r="A1302" s="29" t="n">
        <v>60163</v>
      </c>
      <c r="B1302" s="30" t="inlineStr">
        <is>
          <t>NSW-QLD</t>
        </is>
      </c>
      <c r="C1302" s="30" t="inlineStr">
        <is>
          <t>QN2025</t>
        </is>
      </c>
      <c r="D1302" s="30" t="inlineStr">
        <is>
          <t>Part time</t>
        </is>
      </c>
      <c r="E1302" s="42">
        <f>VLOOKUP(A1302,'[1]Virtus SAMPLE PositionHistorySa'!$A:$L,12,0)</f>
        <v/>
      </c>
      <c r="F1302" s="31" t="inlineStr">
        <is>
          <t>6.62</t>
        </is>
      </c>
      <c r="G1302" s="32" t="n"/>
      <c r="H1302" s="32" t="n"/>
      <c r="I1302" s="29" t="n"/>
    </row>
    <row r="1303">
      <c r="A1303" s="29" t="inlineStr">
        <is>
          <t>AU22560</t>
        </is>
      </c>
      <c r="B1303" s="30" t="inlineStr">
        <is>
          <t>NSW-QLD</t>
        </is>
      </c>
      <c r="C1303" s="30" t="inlineStr">
        <is>
          <t>QS2024</t>
        </is>
      </c>
      <c r="D1303" s="30" t="inlineStr">
        <is>
          <t>Full time</t>
        </is>
      </c>
      <c r="E1303" s="42">
        <f>VLOOKUP(A1303,'[1]Virtus SAMPLE PositionHistorySa'!$A:$L,12,0)</f>
        <v/>
      </c>
      <c r="F1303" s="31" t="inlineStr">
        <is>
          <t>2.68</t>
        </is>
      </c>
      <c r="G1303" s="32">
        <f>VLOOKUP(A1303,Sheet3!A:K,10,0)/38</f>
        <v/>
      </c>
      <c r="H1303" s="32">
        <f>F1303-G1303</f>
        <v/>
      </c>
      <c r="I1303" s="29" t="n"/>
    </row>
    <row r="1304">
      <c r="A1304" s="29" t="n">
        <v>862</v>
      </c>
      <c r="B1304" s="30" t="inlineStr">
        <is>
          <t>VIC-TAS</t>
        </is>
      </c>
      <c r="C1304" s="30" t="inlineStr">
        <is>
          <t>MIVFS2022</t>
        </is>
      </c>
      <c r="D1304" s="30" t="inlineStr">
        <is>
          <t>Full time</t>
        </is>
      </c>
      <c r="E1304" s="42">
        <f>VLOOKUP(A1304,'[1]Virtus SAMPLE PositionHistorySa'!$A:$L,12,0)</f>
        <v/>
      </c>
      <c r="F1304" s="31" t="inlineStr">
        <is>
          <t>19.23</t>
        </is>
      </c>
      <c r="G1304" s="32">
        <f>VLOOKUP(A1304,Sheet3!A:K,10,0)/38</f>
        <v/>
      </c>
      <c r="H1304" s="32">
        <f>F1304-G1304</f>
        <v/>
      </c>
      <c r="I1304" s="29" t="n"/>
    </row>
    <row r="1305">
      <c r="A1305" s="29" t="inlineStr">
        <is>
          <t>AU23828</t>
        </is>
      </c>
      <c r="B1305" s="30" t="inlineStr">
        <is>
          <t>VIC-TAS</t>
        </is>
      </c>
      <c r="C1305" s="30" t="inlineStr">
        <is>
          <t>MIVFS2022</t>
        </is>
      </c>
      <c r="D1305" s="30" t="inlineStr">
        <is>
          <t>Full time</t>
        </is>
      </c>
      <c r="E1305" s="42">
        <f>VLOOKUP(A1305,'[1]Virtus SAMPLE PositionHistorySa'!$A:$L,12,0)</f>
        <v/>
      </c>
      <c r="F1305" s="31" t="inlineStr">
        <is>
          <t>0.08</t>
        </is>
      </c>
      <c r="G1305" s="32">
        <f>VLOOKUP(A1305,Sheet3!A:K,10,0)/38</f>
        <v/>
      </c>
      <c r="H1305" s="32">
        <f>F1305-G1305</f>
        <v/>
      </c>
      <c r="I1305" s="29" t="n"/>
    </row>
    <row r="1306">
      <c r="A1306" s="29" t="inlineStr">
        <is>
          <t>AU23831</t>
        </is>
      </c>
      <c r="B1306" s="30" t="inlineStr">
        <is>
          <t>NSW-QLD</t>
        </is>
      </c>
      <c r="C1306" s="30" t="inlineStr">
        <is>
          <t>QS2024</t>
        </is>
      </c>
      <c r="D1306" s="30" t="inlineStr">
        <is>
          <t>Full time</t>
        </is>
      </c>
      <c r="E1306" s="42">
        <f>VLOOKUP(A1306,'[1]Virtus SAMPLE PositionHistorySa'!$A:$L,12,0)</f>
        <v/>
      </c>
      <c r="F1306" s="31" t="inlineStr">
        <is>
          <t>0.08</t>
        </is>
      </c>
      <c r="G1306" s="32">
        <f>VLOOKUP(A1306,Sheet3!A:K,10,0)/38</f>
        <v/>
      </c>
      <c r="H1306" s="32">
        <f>F1306-G1306</f>
        <v/>
      </c>
      <c r="I1306" s="29" t="n"/>
    </row>
    <row r="1307">
      <c r="A1307" s="29" t="inlineStr">
        <is>
          <t>AU23825</t>
        </is>
      </c>
      <c r="B1307" s="30" t="inlineStr">
        <is>
          <t>NSW-QLD</t>
        </is>
      </c>
      <c r="C1307" s="30" t="inlineStr">
        <is>
          <t>IVFN2021</t>
        </is>
      </c>
      <c r="D1307" s="30" t="inlineStr">
        <is>
          <t>Full time</t>
        </is>
      </c>
      <c r="E1307" s="42">
        <f>VLOOKUP(A1307,'[1]Virtus SAMPLE PositionHistorySa'!$A:$L,12,0)</f>
        <v/>
      </c>
      <c r="F1307" s="31" t="inlineStr">
        <is>
          <t>0.08</t>
        </is>
      </c>
      <c r="G1307" s="32">
        <f>VLOOKUP(A1307,Sheet3!A:K,10,0)/38</f>
        <v/>
      </c>
      <c r="H1307" s="32">
        <f>F1307-G1307</f>
        <v/>
      </c>
      <c r="I1307" s="29" t="n"/>
    </row>
    <row r="1308">
      <c r="A1308" s="29" t="inlineStr">
        <is>
          <t>AU23824</t>
        </is>
      </c>
      <c r="B1308" s="30" t="inlineStr">
        <is>
          <t>NSW-QLD</t>
        </is>
      </c>
      <c r="C1308" s="30" t="inlineStr">
        <is>
          <t>NSW</t>
        </is>
      </c>
      <c r="D1308" s="30" t="inlineStr">
        <is>
          <t>Full time</t>
        </is>
      </c>
      <c r="E1308" s="42">
        <f>VLOOKUP(A1308,'[1]Virtus SAMPLE PositionHistorySa'!$A:$L,12,0)</f>
        <v/>
      </c>
      <c r="F1308" s="31" t="inlineStr">
        <is>
          <t>0.08</t>
        </is>
      </c>
      <c r="G1308" s="32">
        <f>VLOOKUP(A1308,Sheet3!A:K,10,0)/38</f>
        <v/>
      </c>
      <c r="H1308" s="32">
        <f>F1308-G1308</f>
        <v/>
      </c>
      <c r="I1308" s="29" t="n"/>
    </row>
    <row r="1309">
      <c r="A1309" s="29" t="inlineStr">
        <is>
          <t>AU23835</t>
        </is>
      </c>
      <c r="B1309" s="30" t="inlineStr">
        <is>
          <t>NSW-QLD</t>
        </is>
      </c>
      <c r="C1309" s="30" t="inlineStr">
        <is>
          <t>IVFT2024</t>
        </is>
      </c>
      <c r="D1309" s="30" t="inlineStr">
        <is>
          <t>Full time</t>
        </is>
      </c>
      <c r="E1309" s="42">
        <f>VLOOKUP(A1309,'[1]Virtus SAMPLE PositionHistorySa'!$A:$L,12,0)</f>
        <v/>
      </c>
      <c r="F1309" s="31" t="inlineStr">
        <is>
          <t>0.08</t>
        </is>
      </c>
      <c r="G1309" s="32">
        <f>VLOOKUP(A1309,Sheet3!A:K,10,0)/38</f>
        <v/>
      </c>
      <c r="H1309" s="32">
        <f>F1309-G1309</f>
        <v/>
      </c>
      <c r="I1309" s="29" t="n"/>
    </row>
    <row r="1310">
      <c r="A1310" s="29" t="inlineStr">
        <is>
          <t>AU23833</t>
        </is>
      </c>
      <c r="B1310" s="30" t="inlineStr">
        <is>
          <t>NSW-QLD</t>
        </is>
      </c>
      <c r="C1310" s="30" t="inlineStr">
        <is>
          <t>QLD</t>
        </is>
      </c>
      <c r="D1310" s="30" t="inlineStr">
        <is>
          <t>Full time</t>
        </is>
      </c>
      <c r="E1310" s="42">
        <f>VLOOKUP(A1310,'[1]Virtus SAMPLE PositionHistorySa'!$A:$L,12,0)</f>
        <v/>
      </c>
      <c r="F1310" s="31" t="inlineStr">
        <is>
          <t>0.08</t>
        </is>
      </c>
      <c r="G1310" s="32">
        <f>VLOOKUP(A1310,Sheet3!A:K,10,0)/38</f>
        <v/>
      </c>
      <c r="H1310" s="32">
        <f>F1310-G1310</f>
        <v/>
      </c>
      <c r="I1310" s="29" t="n"/>
    </row>
    <row r="1311">
      <c r="A1311" s="29" t="inlineStr">
        <is>
          <t>AU23837</t>
        </is>
      </c>
      <c r="B1311" s="30" t="inlineStr">
        <is>
          <t>NSW-QLD</t>
        </is>
      </c>
      <c r="C1311" s="30" t="inlineStr">
        <is>
          <t>QN2025</t>
        </is>
      </c>
      <c r="D1311" s="30" t="inlineStr">
        <is>
          <t>Casual</t>
        </is>
      </c>
      <c r="E1311" s="42">
        <f>VLOOKUP(A1311,'[1]Virtus SAMPLE PositionHistorySa'!$A:$L,12,0)</f>
        <v/>
      </c>
      <c r="F1311" s="31" t="inlineStr">
        <is>
          <t>0.12</t>
        </is>
      </c>
      <c r="G1311" s="32" t="n"/>
      <c r="H1311" s="32" t="n"/>
      <c r="I1311" s="29" t="n"/>
    </row>
    <row r="1312">
      <c r="A1312" s="29" t="inlineStr">
        <is>
          <t>AU23841</t>
        </is>
      </c>
      <c r="B1312" s="30" t="inlineStr">
        <is>
          <t>NSW-QLD</t>
        </is>
      </c>
      <c r="C1312" s="30" t="inlineStr">
        <is>
          <t>QN2025</t>
        </is>
      </c>
      <c r="D1312" s="30" t="inlineStr">
        <is>
          <t>Casual</t>
        </is>
      </c>
      <c r="E1312" s="42">
        <f>VLOOKUP(A1312,'[1]Virtus SAMPLE PositionHistorySa'!$A:$L,12,0)</f>
        <v/>
      </c>
      <c r="F1312" s="31" t="inlineStr">
        <is>
          <t>0.12</t>
        </is>
      </c>
      <c r="G1312" s="32" t="n"/>
      <c r="H1312" s="32" t="n"/>
      <c r="I1312" s="29" t="n"/>
    </row>
    <row r="1313">
      <c r="A1313" s="29" t="inlineStr">
        <is>
          <t>AU23850</t>
        </is>
      </c>
      <c r="B1313" s="30" t="inlineStr">
        <is>
          <t>NSW-QLD</t>
        </is>
      </c>
      <c r="C1313" s="30" t="inlineStr">
        <is>
          <t>QN2025</t>
        </is>
      </c>
      <c r="D1313" s="30" t="inlineStr">
        <is>
          <t>Casual</t>
        </is>
      </c>
      <c r="E1313" s="42">
        <f>VLOOKUP(A1313,'[1]Virtus SAMPLE PositionHistorySa'!$A:$L,12,0)</f>
        <v/>
      </c>
      <c r="F1313" s="31" t="inlineStr">
        <is>
          <t>0.12</t>
        </is>
      </c>
      <c r="G1313" s="32" t="n"/>
      <c r="H1313" s="32" t="n"/>
      <c r="I1313" s="29" t="n"/>
    </row>
    <row r="1314">
      <c r="A1314" s="29" t="inlineStr">
        <is>
          <t>AU23854</t>
        </is>
      </c>
      <c r="B1314" s="30" t="inlineStr">
        <is>
          <t>NSW-QLD</t>
        </is>
      </c>
      <c r="C1314" s="30" t="inlineStr">
        <is>
          <t>IVFS2023</t>
        </is>
      </c>
      <c r="D1314" s="30" t="inlineStr">
        <is>
          <t>Casual</t>
        </is>
      </c>
      <c r="E1314" s="42">
        <f>VLOOKUP(A1314,'[1]Virtus SAMPLE PositionHistorySa'!$A:$L,12,0)</f>
        <v/>
      </c>
      <c r="F1314" s="31" t="inlineStr">
        <is>
          <t>0.08</t>
        </is>
      </c>
      <c r="G1314" s="32" t="n"/>
      <c r="H1314" s="32" t="n"/>
      <c r="I1314" s="29" t="n"/>
    </row>
    <row r="1315">
      <c r="A1315" s="29" t="n">
        <v>95</v>
      </c>
      <c r="B1315" s="30" t="inlineStr">
        <is>
          <t>VIC-TAS</t>
        </is>
      </c>
      <c r="C1315" s="30" t="inlineStr">
        <is>
          <t>TIVF2024</t>
        </is>
      </c>
      <c r="D1315" s="30" t="inlineStr">
        <is>
          <t>Part time</t>
        </is>
      </c>
      <c r="E1315" s="42">
        <f>VLOOKUP(A1315,'[1]Virtus SAMPLE PositionHistorySa'!$A:$L,12,0)</f>
        <v/>
      </c>
      <c r="F1315" s="31" t="inlineStr">
        <is>
          <t>5.28</t>
        </is>
      </c>
      <c r="G1315" s="32" t="n"/>
      <c r="H1315" s="32" t="n"/>
      <c r="I1315" s="29" t="n"/>
    </row>
    <row r="1316">
      <c r="A1316" s="29" t="n">
        <v>20873</v>
      </c>
      <c r="B1316" s="30" t="inlineStr">
        <is>
          <t>NSW-QLD</t>
        </is>
      </c>
      <c r="C1316" s="30" t="inlineStr">
        <is>
          <t>QLD</t>
        </is>
      </c>
      <c r="D1316" s="30" t="inlineStr">
        <is>
          <t>Full time</t>
        </is>
      </c>
      <c r="E1316" s="42">
        <f>VLOOKUP(A1316,'[1]Virtus SAMPLE PositionHistorySa'!$A:$L,12,0)</f>
        <v/>
      </c>
      <c r="F1316" s="31" t="inlineStr">
        <is>
          <t>3.55</t>
        </is>
      </c>
      <c r="G1316" s="32">
        <f>VLOOKUP(A1316,Sheet3!A:K,10,0)/38</f>
        <v/>
      </c>
      <c r="H1316" s="32">
        <f>F1316-G1316</f>
        <v/>
      </c>
      <c r="I1316" s="29" t="n"/>
    </row>
    <row r="1317">
      <c r="A1317" s="29" t="inlineStr">
        <is>
          <t>AU23336</t>
        </is>
      </c>
      <c r="B1317" s="30" t="inlineStr">
        <is>
          <t>VIC-TAS</t>
        </is>
      </c>
      <c r="C1317" s="30" t="inlineStr">
        <is>
          <t>MIVFN2023</t>
        </is>
      </c>
      <c r="D1317" s="30" t="inlineStr">
        <is>
          <t>Part time</t>
        </is>
      </c>
      <c r="E1317" s="42">
        <f>VLOOKUP(A1317,'[1]Virtus SAMPLE PositionHistorySa'!$A:$L,12,0)</f>
        <v/>
      </c>
      <c r="F1317" s="31" t="inlineStr">
        <is>
          <t>0.94</t>
        </is>
      </c>
      <c r="G1317" s="32" t="n"/>
      <c r="H1317" s="32" t="n"/>
      <c r="I1317" s="29" t="n"/>
    </row>
    <row r="1318">
      <c r="A1318" s="29" t="inlineStr">
        <is>
          <t>AU23359</t>
        </is>
      </c>
      <c r="B1318" s="30" t="inlineStr">
        <is>
          <t>NSW-QLD</t>
        </is>
      </c>
      <c r="C1318" s="30" t="inlineStr">
        <is>
          <t>IVFN2021</t>
        </is>
      </c>
      <c r="D1318" s="30" t="inlineStr">
        <is>
          <t>Part time</t>
        </is>
      </c>
      <c r="E1318" s="42">
        <f>VLOOKUP(A1318,'[1]Virtus SAMPLE PositionHistorySa'!$A:$L,12,0)</f>
        <v/>
      </c>
      <c r="F1318" s="31" t="inlineStr">
        <is>
          <t>0.94</t>
        </is>
      </c>
      <c r="G1318" s="32" t="n"/>
      <c r="H1318" s="32" t="n"/>
      <c r="I1318" s="29" t="n"/>
    </row>
    <row r="1319">
      <c r="A1319" s="29" t="inlineStr">
        <is>
          <t>AU23360</t>
        </is>
      </c>
      <c r="B1319" s="30" t="inlineStr">
        <is>
          <t>NSW-QLD</t>
        </is>
      </c>
      <c r="C1319" s="30" t="inlineStr">
        <is>
          <t>IVFS2023</t>
        </is>
      </c>
      <c r="D1319" s="30" t="inlineStr">
        <is>
          <t>Part time</t>
        </is>
      </c>
      <c r="E1319" s="42">
        <f>VLOOKUP(A1319,'[1]Virtus SAMPLE PositionHistorySa'!$A:$L,12,0)</f>
        <v/>
      </c>
      <c r="F1319" s="31" t="inlineStr">
        <is>
          <t>0.94</t>
        </is>
      </c>
      <c r="G1319" s="32" t="n"/>
      <c r="H1319" s="32" t="n"/>
      <c r="I1319" s="29" t="n"/>
    </row>
    <row r="1320">
      <c r="A1320" s="29" t="inlineStr">
        <is>
          <t>AU23368</t>
        </is>
      </c>
      <c r="B1320" s="30" t="inlineStr">
        <is>
          <t>NSW-QLD</t>
        </is>
      </c>
      <c r="C1320" s="30" t="inlineStr">
        <is>
          <t>IVFN2021</t>
        </is>
      </c>
      <c r="D1320" s="30" t="inlineStr">
        <is>
          <t>Casual</t>
        </is>
      </c>
      <c r="E1320" s="42">
        <f>VLOOKUP(A1320,'[1]Virtus SAMPLE PositionHistorySa'!$A:$L,12,0)</f>
        <v/>
      </c>
      <c r="F1320" s="31" t="inlineStr">
        <is>
          <t>0.94</t>
        </is>
      </c>
      <c r="G1320" s="32" t="n"/>
      <c r="H1320" s="32" t="n"/>
      <c r="I1320" s="29" t="n"/>
    </row>
    <row r="1321">
      <c r="A1321" s="29" t="inlineStr">
        <is>
          <t>AU23829</t>
        </is>
      </c>
      <c r="B1321" s="30" t="inlineStr">
        <is>
          <t>NSW-QLD</t>
        </is>
      </c>
      <c r="C1321" s="30" t="inlineStr">
        <is>
          <t>IVFS2023</t>
        </is>
      </c>
      <c r="D1321" s="30" t="inlineStr">
        <is>
          <t>Part time</t>
        </is>
      </c>
      <c r="E1321" s="42">
        <f>VLOOKUP(A1321,'[1]Virtus SAMPLE PositionHistorySa'!$A:$L,12,0)</f>
        <v/>
      </c>
      <c r="F1321" s="31" t="inlineStr">
        <is>
          <t>0.08</t>
        </is>
      </c>
      <c r="G1321" s="32" t="n"/>
      <c r="H1321" s="32" t="n"/>
      <c r="I1321" s="29" t="n"/>
    </row>
    <row r="1322">
      <c r="A1322" s="29" t="inlineStr">
        <is>
          <t>AU22629</t>
        </is>
      </c>
      <c r="B1322" s="30" t="inlineStr">
        <is>
          <t>VIC-TAS</t>
        </is>
      </c>
      <c r="C1322" s="30" t="inlineStr">
        <is>
          <t>MIVFN2023</t>
        </is>
      </c>
      <c r="D1322" s="30" t="inlineStr">
        <is>
          <t>Casual</t>
        </is>
      </c>
      <c r="E1322" s="42">
        <f>VLOOKUP(A1322,'[1]Virtus SAMPLE PositionHistorySa'!$A:$L,12,0)</f>
        <v/>
      </c>
      <c r="F1322" s="31" t="inlineStr">
        <is>
          <t>2.68</t>
        </is>
      </c>
      <c r="G1322" s="32" t="n"/>
      <c r="H1322" s="32" t="n"/>
      <c r="I1322" s="29" t="n"/>
    </row>
    <row r="1323">
      <c r="A1323" s="29" t="inlineStr">
        <is>
          <t>AU23363</t>
        </is>
      </c>
      <c r="B1323" s="30" t="inlineStr">
        <is>
          <t>NSW-QLD</t>
        </is>
      </c>
      <c r="C1323" s="30" t="inlineStr">
        <is>
          <t>IVFN2021</t>
        </is>
      </c>
      <c r="D1323" s="30" t="inlineStr">
        <is>
          <t>Full time</t>
        </is>
      </c>
      <c r="E1323" s="42">
        <f>VLOOKUP(A1323,'[1]Virtus SAMPLE PositionHistorySa'!$A:$L,12,0)</f>
        <v/>
      </c>
      <c r="F1323" s="31" t="inlineStr">
        <is>
          <t>0.94</t>
        </is>
      </c>
      <c r="G1323" s="32">
        <f>VLOOKUP(A1323,Sheet3!A:K,10,0)/38</f>
        <v/>
      </c>
      <c r="H1323" s="32">
        <f>F1323-G1323</f>
        <v/>
      </c>
      <c r="I1323" s="29" t="n"/>
    </row>
    <row r="1324">
      <c r="A1324" s="29" t="inlineStr">
        <is>
          <t>AU23354</t>
        </is>
      </c>
      <c r="B1324" s="30" t="inlineStr">
        <is>
          <t>NSW-QLD</t>
        </is>
      </c>
      <c r="C1324" s="30" t="inlineStr">
        <is>
          <t>IVFN2021</t>
        </is>
      </c>
      <c r="D1324" s="30" t="inlineStr">
        <is>
          <t>Full time</t>
        </is>
      </c>
      <c r="E1324" s="42">
        <f>VLOOKUP(A1324,'[1]Virtus SAMPLE PositionHistorySa'!$A:$L,12,0)</f>
        <v/>
      </c>
      <c r="F1324" s="31" t="inlineStr">
        <is>
          <t>0.94</t>
        </is>
      </c>
      <c r="G1324" s="32">
        <f>VLOOKUP(A1324,Sheet3!A:K,10,0)/38</f>
        <v/>
      </c>
      <c r="H1324" s="32">
        <f>F1324-G1324</f>
        <v/>
      </c>
      <c r="I1324" s="29" t="n"/>
    </row>
    <row r="1325">
      <c r="A1325" s="29" t="inlineStr">
        <is>
          <t>AU23794</t>
        </is>
      </c>
      <c r="B1325" s="30" t="inlineStr">
        <is>
          <t>NSW-QLD</t>
        </is>
      </c>
      <c r="C1325" s="30" t="inlineStr">
        <is>
          <t>NSW</t>
        </is>
      </c>
      <c r="D1325" s="30" t="inlineStr">
        <is>
          <t>Full time</t>
        </is>
      </c>
      <c r="E1325" s="42">
        <f>VLOOKUP(A1325,'[1]Virtus SAMPLE PositionHistorySa'!$A:$L,12,0)</f>
        <v/>
      </c>
      <c r="F1325" s="31" t="inlineStr">
        <is>
          <t>0.08</t>
        </is>
      </c>
      <c r="G1325" s="32">
        <f>VLOOKUP(A1325,Sheet3!A:K,10,0)/38</f>
        <v/>
      </c>
      <c r="H1325" s="32">
        <f>F1325-G1325</f>
        <v/>
      </c>
      <c r="I1325" s="29" t="n"/>
    </row>
    <row r="1326">
      <c r="A1326" s="29" t="n">
        <v>1140</v>
      </c>
      <c r="B1326" s="30" t="inlineStr">
        <is>
          <t>VIC-TAS</t>
        </is>
      </c>
      <c r="C1326" s="30" t="inlineStr">
        <is>
          <t>MIVFN2023</t>
        </is>
      </c>
      <c r="D1326" s="30" t="inlineStr">
        <is>
          <t>Casual</t>
        </is>
      </c>
      <c r="E1326" s="42">
        <f>VLOOKUP(A1326,'[1]Virtus SAMPLE PositionHistorySa'!$A:$L,12,0)</f>
        <v/>
      </c>
      <c r="F1326" s="31" t="inlineStr">
        <is>
          <t>4.27</t>
        </is>
      </c>
      <c r="G1326" s="32" t="n"/>
      <c r="H1326" s="32" t="n"/>
      <c r="I1326" s="29" t="n"/>
    </row>
    <row r="1327">
      <c r="A1327" s="29" t="n">
        <v>1220</v>
      </c>
      <c r="B1327" s="30" t="inlineStr">
        <is>
          <t>VIC-TAS</t>
        </is>
      </c>
      <c r="C1327" s="30" t="inlineStr">
        <is>
          <t>MIVFS2022</t>
        </is>
      </c>
      <c r="D1327" s="30" t="inlineStr">
        <is>
          <t>Full time</t>
        </is>
      </c>
      <c r="E1327" s="42">
        <f>VLOOKUP(A1327,'[1]Virtus SAMPLE PositionHistorySa'!$A:$L,12,0)</f>
        <v/>
      </c>
      <c r="F1327" s="31" t="inlineStr">
        <is>
          <t>4.40</t>
        </is>
      </c>
      <c r="G1327" s="32">
        <f>VLOOKUP(A1327,Sheet3!A:K,10,0)/38</f>
        <v/>
      </c>
      <c r="H1327" s="32">
        <f>F1327-G1327</f>
        <v/>
      </c>
      <c r="I1327" s="29" t="n"/>
    </row>
    <row r="1328">
      <c r="A1328" s="29" t="n">
        <v>20790</v>
      </c>
      <c r="B1328" s="30" t="inlineStr">
        <is>
          <t>NSW-QLD</t>
        </is>
      </c>
      <c r="C1328" s="30" t="inlineStr">
        <is>
          <t>IVFN2021</t>
        </is>
      </c>
      <c r="D1328" s="30" t="inlineStr">
        <is>
          <t>Full time</t>
        </is>
      </c>
      <c r="E1328" s="42">
        <f>VLOOKUP(A1328,'[1]Virtus SAMPLE PositionHistorySa'!$A:$L,12,0)</f>
        <v/>
      </c>
      <c r="F1328" s="31" t="inlineStr">
        <is>
          <t>4.40</t>
        </is>
      </c>
      <c r="G1328" s="32">
        <f>VLOOKUP(A1328,Sheet3!A:K,10,0)/38</f>
        <v/>
      </c>
      <c r="H1328" s="32">
        <f>F1328-G1328</f>
        <v/>
      </c>
      <c r="I1328" s="29" t="n"/>
    </row>
    <row r="1329">
      <c r="A1329" s="29" t="n">
        <v>80375</v>
      </c>
      <c r="B1329" s="30" t="inlineStr">
        <is>
          <t>NSW-QLD</t>
        </is>
      </c>
      <c r="C1329" s="30" t="inlineStr">
        <is>
          <t>QLD</t>
        </is>
      </c>
      <c r="D1329" s="30" t="inlineStr">
        <is>
          <t>Full time</t>
        </is>
      </c>
      <c r="E1329" s="42">
        <f>VLOOKUP(A1329,'[1]Virtus SAMPLE PositionHistorySa'!$A:$L,12,0)</f>
        <v/>
      </c>
      <c r="F1329" s="31" t="inlineStr">
        <is>
          <t>4.40</t>
        </is>
      </c>
      <c r="G1329" s="32">
        <f>VLOOKUP(A1329,Sheet3!A:K,10,0)/38</f>
        <v/>
      </c>
      <c r="H1329" s="32">
        <f>F1329-G1329</f>
        <v/>
      </c>
      <c r="I1329" s="29" t="n"/>
    </row>
    <row r="1330">
      <c r="A1330" s="29" t="n">
        <v>1300</v>
      </c>
      <c r="B1330" s="30" t="inlineStr">
        <is>
          <t>VIC-TAS</t>
        </is>
      </c>
      <c r="C1330" s="30" t="inlineStr">
        <is>
          <t>MIVFS2022</t>
        </is>
      </c>
      <c r="D1330" s="30" t="inlineStr">
        <is>
          <t>Part time</t>
        </is>
      </c>
      <c r="E1330" s="42">
        <f>VLOOKUP(A1330,'[1]Virtus SAMPLE PositionHistorySa'!$A:$L,12,0)</f>
        <v/>
      </c>
      <c r="F1330" s="31" t="inlineStr">
        <is>
          <t>3.53</t>
        </is>
      </c>
      <c r="G1330" s="32" t="n"/>
      <c r="H1330" s="32" t="n"/>
      <c r="I1330" s="29" t="n"/>
    </row>
    <row r="1331">
      <c r="A1331" s="29" t="n">
        <v>30359</v>
      </c>
      <c r="B1331" s="30" t="inlineStr">
        <is>
          <t>NSW-QLD</t>
        </is>
      </c>
      <c r="C1331" s="30" t="inlineStr">
        <is>
          <t>IVFN2021</t>
        </is>
      </c>
      <c r="D1331" s="30" t="inlineStr">
        <is>
          <t>Casual</t>
        </is>
      </c>
      <c r="E1331" s="42">
        <f>VLOOKUP(A1331,'[1]Virtus SAMPLE PositionHistorySa'!$A:$L,12,0)</f>
        <v/>
      </c>
      <c r="F1331" s="31" t="inlineStr">
        <is>
          <t>4.40</t>
        </is>
      </c>
      <c r="G1331" s="32" t="n"/>
      <c r="H1331" s="32" t="n"/>
      <c r="I1331" s="29" t="n"/>
    </row>
    <row r="1332">
      <c r="A1332" s="29" t="n">
        <v>1302</v>
      </c>
      <c r="B1332" s="30" t="inlineStr">
        <is>
          <t>VIC-TAS</t>
        </is>
      </c>
      <c r="C1332" s="30" t="inlineStr">
        <is>
          <t>ACT</t>
        </is>
      </c>
      <c r="D1332" s="30" t="inlineStr">
        <is>
          <t>Full time</t>
        </is>
      </c>
      <c r="E1332" s="42">
        <f>VLOOKUP(A1332,'[1]Virtus SAMPLE PositionHistorySa'!$A:$L,12,0)</f>
        <v/>
      </c>
      <c r="F1332" s="31" t="inlineStr">
        <is>
          <t>3.53</t>
        </is>
      </c>
      <c r="G1332" s="32">
        <f>VLOOKUP(A1332,Sheet3!A:K,10,0)/38</f>
        <v/>
      </c>
      <c r="H1332" s="32">
        <f>F1332-G1332</f>
        <v/>
      </c>
      <c r="I1332" s="29" t="n"/>
    </row>
    <row r="1333">
      <c r="A1333" s="29" t="inlineStr">
        <is>
          <t>AU22981</t>
        </is>
      </c>
      <c r="B1333" s="30" t="inlineStr">
        <is>
          <t>VIC-TAS</t>
        </is>
      </c>
      <c r="C1333" s="30" t="inlineStr">
        <is>
          <t>TIVF2024</t>
        </is>
      </c>
      <c r="D1333" s="30" t="inlineStr">
        <is>
          <t>Casual</t>
        </is>
      </c>
      <c r="E1333" s="42">
        <f>VLOOKUP(A1333,'[1]Virtus SAMPLE PositionHistorySa'!$A:$L,12,0)</f>
        <v/>
      </c>
      <c r="F1333" s="31" t="inlineStr">
        <is>
          <t>1.80</t>
        </is>
      </c>
      <c r="G1333" s="32" t="n"/>
      <c r="H1333" s="32" t="n"/>
      <c r="I1333" s="29" t="n"/>
    </row>
    <row r="1334">
      <c r="A1334" s="29" t="inlineStr">
        <is>
          <t>AU23847</t>
        </is>
      </c>
      <c r="B1334" s="30" t="inlineStr">
        <is>
          <t>VIC-TAS</t>
        </is>
      </c>
      <c r="C1334" s="30" t="inlineStr">
        <is>
          <t>MIVFS2022</t>
        </is>
      </c>
      <c r="D1334" s="30" t="inlineStr">
        <is>
          <t>Full time</t>
        </is>
      </c>
      <c r="E1334" s="42">
        <f>VLOOKUP(A1334,'[1]Virtus SAMPLE PositionHistorySa'!$A:$L,12,0)</f>
        <v/>
      </c>
      <c r="F1334" s="31" t="inlineStr">
        <is>
          <t>0.06</t>
        </is>
      </c>
      <c r="G1334" s="32">
        <f>VLOOKUP(A1334,Sheet3!A:K,10,0)/38</f>
        <v/>
      </c>
      <c r="H1334" s="32">
        <f>F1334-G1334</f>
        <v/>
      </c>
      <c r="I1334" s="29" t="n"/>
    </row>
    <row r="1335">
      <c r="A1335" s="29" t="inlineStr">
        <is>
          <t>AU23805</t>
        </is>
      </c>
      <c r="B1335" s="30" t="inlineStr">
        <is>
          <t>NSW-QLD</t>
        </is>
      </c>
      <c r="C1335" s="30" t="inlineStr">
        <is>
          <t>NSW</t>
        </is>
      </c>
      <c r="D1335" s="30" t="inlineStr">
        <is>
          <t>Full time</t>
        </is>
      </c>
      <c r="E1335" s="42">
        <f>VLOOKUP(A1335,'[1]Virtus SAMPLE PositionHistorySa'!$A:$L,12,0)</f>
        <v/>
      </c>
      <c r="F1335" s="31" t="inlineStr">
        <is>
          <t>0.06</t>
        </is>
      </c>
      <c r="G1335" s="32">
        <f>VLOOKUP(A1335,Sheet3!A:K,10,0)/38</f>
        <v/>
      </c>
      <c r="H1335" s="32">
        <f>F1335-G1335</f>
        <v/>
      </c>
      <c r="I1335" s="29" t="n"/>
    </row>
    <row r="1336">
      <c r="A1336" s="29" t="inlineStr">
        <is>
          <t>AU23813</t>
        </is>
      </c>
      <c r="B1336" s="30" t="inlineStr">
        <is>
          <t>NSW-QLD</t>
        </is>
      </c>
      <c r="C1336" s="30" t="inlineStr">
        <is>
          <t>IVFN2021</t>
        </is>
      </c>
      <c r="D1336" s="30" t="inlineStr">
        <is>
          <t>Full time</t>
        </is>
      </c>
      <c r="E1336" s="42">
        <f>VLOOKUP(A1336,'[1]Virtus SAMPLE PositionHistorySa'!$A:$L,12,0)</f>
        <v/>
      </c>
      <c r="F1336" s="31" t="inlineStr">
        <is>
          <t>0.06</t>
        </is>
      </c>
      <c r="G1336" s="32">
        <f>VLOOKUP(A1336,Sheet3!A:K,10,0)/38</f>
        <v/>
      </c>
      <c r="H1336" s="32">
        <f>F1336-G1336</f>
        <v/>
      </c>
      <c r="I1336" s="29" t="n"/>
    </row>
    <row r="1337">
      <c r="A1337" s="29" t="inlineStr">
        <is>
          <t>AU23846</t>
        </is>
      </c>
      <c r="B1337" s="30" t="inlineStr">
        <is>
          <t>NSW-QLD</t>
        </is>
      </c>
      <c r="C1337" s="30" t="inlineStr">
        <is>
          <t>IVFS2023</t>
        </is>
      </c>
      <c r="D1337" s="30" t="inlineStr">
        <is>
          <t>Full time</t>
        </is>
      </c>
      <c r="E1337" s="42">
        <f>VLOOKUP(A1337,'[1]Virtus SAMPLE PositionHistorySa'!$A:$L,12,0)</f>
        <v/>
      </c>
      <c r="F1337" s="31" t="inlineStr">
        <is>
          <t>0.06</t>
        </is>
      </c>
      <c r="G1337" s="32">
        <f>VLOOKUP(A1337,Sheet3!A:K,10,0)/38</f>
        <v/>
      </c>
      <c r="H1337" s="32">
        <f>F1337-G1337</f>
        <v/>
      </c>
      <c r="I1337" s="29" t="n"/>
    </row>
    <row r="1338">
      <c r="A1338" s="29" t="inlineStr">
        <is>
          <t>AU23806</t>
        </is>
      </c>
      <c r="B1338" s="30" t="inlineStr">
        <is>
          <t>NSW-QLD</t>
        </is>
      </c>
      <c r="C1338" s="30" t="inlineStr">
        <is>
          <t>VIC</t>
        </is>
      </c>
      <c r="D1338" s="30" t="inlineStr">
        <is>
          <t>Full time</t>
        </is>
      </c>
      <c r="E1338" s="42">
        <f>VLOOKUP(A1338,'[1]Virtus SAMPLE PositionHistorySa'!$A:$L,12,0)</f>
        <v/>
      </c>
      <c r="F1338" s="31" t="inlineStr">
        <is>
          <t>0.06</t>
        </is>
      </c>
      <c r="G1338" s="32">
        <f>VLOOKUP(A1338,Sheet3!A:K,10,0)/38</f>
        <v/>
      </c>
      <c r="H1338" s="32">
        <f>F1338-G1338</f>
        <v/>
      </c>
      <c r="I1338" s="29" t="n"/>
    </row>
    <row r="1339">
      <c r="A1339" s="29" t="inlineStr">
        <is>
          <t>AU23812</t>
        </is>
      </c>
      <c r="B1339" s="30" t="inlineStr">
        <is>
          <t>NSW-QLD</t>
        </is>
      </c>
      <c r="C1339" s="30" t="inlineStr">
        <is>
          <t>NSW</t>
        </is>
      </c>
      <c r="D1339" s="30" t="inlineStr">
        <is>
          <t>Full time</t>
        </is>
      </c>
      <c r="E1339" s="42">
        <f>VLOOKUP(A1339,'[1]Virtus SAMPLE PositionHistorySa'!$A:$L,12,0)</f>
        <v/>
      </c>
      <c r="F1339" s="31" t="inlineStr">
        <is>
          <t>0.06</t>
        </is>
      </c>
      <c r="G1339" s="32">
        <f>VLOOKUP(A1339,Sheet3!A:K,10,0)/38</f>
        <v/>
      </c>
      <c r="H1339" s="32">
        <f>F1339-G1339</f>
        <v/>
      </c>
      <c r="I1339" s="29" t="n"/>
    </row>
    <row r="1340">
      <c r="A1340" s="29" t="inlineStr">
        <is>
          <t>AU23819</t>
        </is>
      </c>
      <c r="B1340" s="30" t="inlineStr">
        <is>
          <t>NSW-QLD</t>
        </is>
      </c>
      <c r="C1340" s="30" t="inlineStr">
        <is>
          <t>QN2025</t>
        </is>
      </c>
      <c r="D1340" s="30" t="inlineStr">
        <is>
          <t>Part time</t>
        </is>
      </c>
      <c r="E1340" s="42">
        <f>VLOOKUP(A1340,'[1]Virtus SAMPLE PositionHistorySa'!$A:$L,12,0)</f>
        <v/>
      </c>
      <c r="F1340" s="31" t="inlineStr">
        <is>
          <t>0.10</t>
        </is>
      </c>
      <c r="G1340" s="32" t="n"/>
      <c r="H1340" s="32" t="n"/>
      <c r="I1340" s="29" t="n"/>
    </row>
    <row r="1341">
      <c r="A1341" s="29" t="inlineStr">
        <is>
          <t>AU23830</t>
        </is>
      </c>
      <c r="B1341" s="30" t="inlineStr">
        <is>
          <t>VIC-TAS</t>
        </is>
      </c>
      <c r="C1341" s="30" t="inlineStr">
        <is>
          <t>MIVFN2023</t>
        </is>
      </c>
      <c r="D1341" s="30">
        <f>VLOOKUP(A1341,Sheet3!A:E,5,0)</f>
        <v/>
      </c>
      <c r="E1341" s="42">
        <f>VLOOKUP(A1341,'[1]Virtus SAMPLE PositionHistorySa'!$A:$L,12,0)</f>
        <v/>
      </c>
      <c r="F1341" s="31" t="inlineStr">
        <is>
          <t>0.06</t>
        </is>
      </c>
      <c r="G1341" s="32" t="n"/>
      <c r="H1341" s="32" t="n"/>
      <c r="I1341" s="29" t="n"/>
    </row>
    <row r="1342">
      <c r="A1342" s="29" t="inlineStr">
        <is>
          <t>AU23840</t>
        </is>
      </c>
      <c r="B1342" s="30" t="inlineStr">
        <is>
          <t>NSW-QLD</t>
        </is>
      </c>
      <c r="C1342" s="30" t="inlineStr">
        <is>
          <t>IVFN2021</t>
        </is>
      </c>
      <c r="D1342" s="30" t="inlineStr">
        <is>
          <t>Part time</t>
        </is>
      </c>
      <c r="E1342" s="42">
        <f>VLOOKUP(A1342,'[1]Virtus SAMPLE PositionHistorySa'!$A:$L,12,0)</f>
        <v/>
      </c>
      <c r="F1342" s="31" t="inlineStr">
        <is>
          <t>0.06</t>
        </is>
      </c>
      <c r="G1342" s="32" t="n"/>
      <c r="H1342" s="32" t="n"/>
      <c r="I1342" s="29" t="n"/>
    </row>
    <row r="1343">
      <c r="A1343" s="29" t="inlineStr">
        <is>
          <t>AU23849</t>
        </is>
      </c>
      <c r="B1343" s="30" t="inlineStr">
        <is>
          <t>NSW-QLD</t>
        </is>
      </c>
      <c r="C1343" s="30" t="inlineStr">
        <is>
          <t>IVFS2023</t>
        </is>
      </c>
      <c r="D1343" s="30" t="inlineStr">
        <is>
          <t>Part time</t>
        </is>
      </c>
      <c r="E1343" s="42">
        <f>VLOOKUP(A1343,'[1]Virtus SAMPLE PositionHistorySa'!$A:$L,12,0)</f>
        <v/>
      </c>
      <c r="F1343" s="31" t="inlineStr">
        <is>
          <t>0.06</t>
        </is>
      </c>
      <c r="G1343" s="32" t="n"/>
      <c r="H1343" s="32" t="n"/>
      <c r="I1343" s="29" t="n"/>
    </row>
    <row r="1344">
      <c r="A1344" s="29" t="inlineStr">
        <is>
          <t>AU23852</t>
        </is>
      </c>
      <c r="B1344" s="30" t="inlineStr">
        <is>
          <t>NSW-QLD</t>
        </is>
      </c>
      <c r="C1344" s="30" t="inlineStr">
        <is>
          <t>IVFS2023</t>
        </is>
      </c>
      <c r="D1344" s="30" t="inlineStr">
        <is>
          <t>Casual</t>
        </is>
      </c>
      <c r="E1344" s="42">
        <f>VLOOKUP(A1344,'[1]Virtus SAMPLE PositionHistorySa'!$A:$L,12,0)</f>
        <v/>
      </c>
      <c r="F1344" s="31" t="inlineStr">
        <is>
          <t>0.06</t>
        </is>
      </c>
      <c r="G1344" s="32" t="n"/>
      <c r="H1344" s="32" t="n"/>
      <c r="I1344" s="29" t="n"/>
    </row>
    <row r="1345">
      <c r="A1345" s="29" t="inlineStr">
        <is>
          <t>AU23853</t>
        </is>
      </c>
      <c r="B1345" s="30" t="inlineStr">
        <is>
          <t>NSW-QLD</t>
        </is>
      </c>
      <c r="C1345" s="30" t="inlineStr">
        <is>
          <t>IVFS2023</t>
        </is>
      </c>
      <c r="D1345" s="30" t="inlineStr">
        <is>
          <t>Casual</t>
        </is>
      </c>
      <c r="E1345" s="42">
        <f>VLOOKUP(A1345,'[1]Virtus SAMPLE PositionHistorySa'!$A:$L,12,0)</f>
        <v/>
      </c>
      <c r="F1345" s="31" t="inlineStr">
        <is>
          <t>0.06</t>
        </is>
      </c>
      <c r="G1345" s="32" t="n"/>
      <c r="H1345" s="32" t="n"/>
      <c r="I1345" s="29" t="n"/>
    </row>
    <row r="1346">
      <c r="A1346" s="29" t="inlineStr">
        <is>
          <t>AU23860</t>
        </is>
      </c>
      <c r="B1346" s="30" t="inlineStr">
        <is>
          <t>NSW-QLD</t>
        </is>
      </c>
      <c r="C1346" s="30" t="inlineStr">
        <is>
          <t>IVFS2023</t>
        </is>
      </c>
      <c r="D1346" s="30" t="inlineStr">
        <is>
          <t>Part time</t>
        </is>
      </c>
      <c r="E1346" s="42">
        <f>VLOOKUP(A1346,'[1]Virtus SAMPLE PositionHistorySa'!$A:$L,12,0)</f>
        <v/>
      </c>
      <c r="F1346" s="31" t="inlineStr">
        <is>
          <t>0.06</t>
        </is>
      </c>
      <c r="G1346" s="32" t="n"/>
      <c r="H1346" s="32" t="n"/>
      <c r="I1346" s="29" t="n"/>
    </row>
    <row r="1347">
      <c r="A1347" s="29" t="inlineStr">
        <is>
          <t>AU23861</t>
        </is>
      </c>
      <c r="B1347" s="30" t="inlineStr">
        <is>
          <t>NSW-QLD</t>
        </is>
      </c>
      <c r="C1347" s="30" t="inlineStr">
        <is>
          <t>QN2025</t>
        </is>
      </c>
      <c r="D1347" s="30" t="inlineStr">
        <is>
          <t>Casual</t>
        </is>
      </c>
      <c r="E1347" s="42">
        <f>VLOOKUP(A1347,'[1]Virtus SAMPLE PositionHistorySa'!$A:$L,12,0)</f>
        <v/>
      </c>
      <c r="F1347" s="31" t="inlineStr">
        <is>
          <t>0.10</t>
        </is>
      </c>
      <c r="G1347" s="32" t="n"/>
      <c r="H1347" s="32" t="n"/>
      <c r="I1347" s="29" t="n"/>
    </row>
    <row r="1348">
      <c r="A1348" s="29" t="n">
        <v>30052</v>
      </c>
      <c r="B1348" s="30" t="inlineStr">
        <is>
          <t>NSW-QLD</t>
        </is>
      </c>
      <c r="C1348" s="30" t="inlineStr">
        <is>
          <t>IVFN2021</t>
        </is>
      </c>
      <c r="D1348" s="30" t="inlineStr">
        <is>
          <t>Casual</t>
        </is>
      </c>
      <c r="E1348" s="42">
        <f>VLOOKUP(A1348,'[1]Virtus SAMPLE PositionHistorySa'!$A:$L,12,0)</f>
        <v/>
      </c>
      <c r="F1348" s="31" t="inlineStr">
        <is>
          <t>13.06</t>
        </is>
      </c>
      <c r="G1348" s="32" t="n"/>
      <c r="H1348" s="32" t="n"/>
      <c r="I1348" s="29" t="n"/>
    </row>
    <row r="1349">
      <c r="A1349" s="29" t="n">
        <v>80327</v>
      </c>
      <c r="B1349" s="30" t="inlineStr">
        <is>
          <t>NSW-QLD</t>
        </is>
      </c>
      <c r="C1349" s="30" t="inlineStr">
        <is>
          <t>QLD</t>
        </is>
      </c>
      <c r="D1349" s="30" t="inlineStr">
        <is>
          <t>Full time</t>
        </is>
      </c>
      <c r="E1349" s="42">
        <f>VLOOKUP(A1349,'[1]Virtus SAMPLE PositionHistorySa'!$A:$L,12,0)</f>
        <v/>
      </c>
      <c r="F1349" s="31" t="inlineStr">
        <is>
          <t>5.26</t>
        </is>
      </c>
      <c r="G1349" s="32">
        <f>VLOOKUP(A1349,Sheet3!A:K,10,0)/38</f>
        <v/>
      </c>
      <c r="H1349" s="32">
        <f>F1349-G1349</f>
        <v/>
      </c>
      <c r="I1349" s="29" t="n"/>
    </row>
    <row r="1350">
      <c r="A1350" s="29" t="n">
        <v>90105</v>
      </c>
      <c r="B1350" s="30" t="inlineStr">
        <is>
          <t>NSW-QLD</t>
        </is>
      </c>
      <c r="C1350" s="30" t="inlineStr">
        <is>
          <t>IVFS2023</t>
        </is>
      </c>
      <c r="D1350" s="30" t="inlineStr">
        <is>
          <t>Casual</t>
        </is>
      </c>
      <c r="E1350" s="42">
        <f>VLOOKUP(A1350,'[1]Virtus SAMPLE PositionHistorySa'!$A:$L,12,0)</f>
        <v/>
      </c>
      <c r="F1350" s="31" t="inlineStr">
        <is>
          <t>5.26</t>
        </is>
      </c>
      <c r="G1350" s="32" t="n"/>
      <c r="H1350" s="32" t="n"/>
      <c r="I1350" s="29" t="n"/>
    </row>
    <row r="1351">
      <c r="A1351" s="29" t="inlineStr">
        <is>
          <t>AU23335</t>
        </is>
      </c>
      <c r="B1351" s="30" t="inlineStr">
        <is>
          <t>NSW-QLD</t>
        </is>
      </c>
      <c r="C1351" s="30" t="inlineStr">
        <is>
          <t>NSW</t>
        </is>
      </c>
      <c r="D1351" s="30" t="inlineStr">
        <is>
          <t>Full time</t>
        </is>
      </c>
      <c r="E1351" s="42">
        <f>VLOOKUP(A1351,'[1]Virtus SAMPLE PositionHistorySa'!$A:$L,12,0)</f>
        <v/>
      </c>
      <c r="F1351" s="31" t="inlineStr">
        <is>
          <t>0.93</t>
        </is>
      </c>
      <c r="G1351" s="32">
        <f>VLOOKUP(A1351,Sheet3!A:K,10,0)/38</f>
        <v/>
      </c>
      <c r="H1351" s="32">
        <f>F1351-G1351</f>
        <v/>
      </c>
      <c r="I1351" s="29" t="n"/>
    </row>
    <row r="1352">
      <c r="A1352" s="29" t="inlineStr">
        <is>
          <t>AU23345</t>
        </is>
      </c>
      <c r="B1352" s="30" t="inlineStr">
        <is>
          <t>NSW-QLD</t>
        </is>
      </c>
      <c r="C1352" s="30" t="inlineStr">
        <is>
          <t>VIC</t>
        </is>
      </c>
      <c r="D1352" s="30" t="inlineStr">
        <is>
          <t>Full time</t>
        </is>
      </c>
      <c r="E1352" s="42">
        <f>VLOOKUP(A1352,'[1]Virtus SAMPLE PositionHistorySa'!$A:$L,12,0)</f>
        <v/>
      </c>
      <c r="F1352" s="31" t="inlineStr">
        <is>
          <t>0.93</t>
        </is>
      </c>
      <c r="G1352" s="32">
        <f>VLOOKUP(A1352,Sheet3!A:K,10,0)/38</f>
        <v/>
      </c>
      <c r="H1352" s="32">
        <f>F1352-G1352</f>
        <v/>
      </c>
      <c r="I1352" s="29" t="n"/>
    </row>
    <row r="1353">
      <c r="A1353" s="29" t="inlineStr">
        <is>
          <t>AU23322</t>
        </is>
      </c>
      <c r="B1353" s="30" t="inlineStr">
        <is>
          <t>NSW-QLD</t>
        </is>
      </c>
      <c r="C1353" s="30" t="inlineStr">
        <is>
          <t>QS2024</t>
        </is>
      </c>
      <c r="D1353" s="30" t="inlineStr">
        <is>
          <t>Part time</t>
        </is>
      </c>
      <c r="E1353" s="42">
        <f>VLOOKUP(A1353,'[1]Virtus SAMPLE PositionHistorySa'!$A:$L,12,0)</f>
        <v/>
      </c>
      <c r="F1353" s="31" t="inlineStr">
        <is>
          <t>0.93</t>
        </is>
      </c>
      <c r="G1353" s="32" t="n"/>
      <c r="H1353" s="32" t="n"/>
      <c r="I1353" s="29" t="n"/>
    </row>
    <row r="1354">
      <c r="A1354" s="29" t="inlineStr">
        <is>
          <t>AU23366</t>
        </is>
      </c>
      <c r="B1354" s="30" t="inlineStr">
        <is>
          <t>NSW-QLD</t>
        </is>
      </c>
      <c r="C1354" s="30" t="inlineStr">
        <is>
          <t>QN2025</t>
        </is>
      </c>
      <c r="D1354" s="30" t="inlineStr">
        <is>
          <t>Casual</t>
        </is>
      </c>
      <c r="E1354" s="42">
        <f>VLOOKUP(A1354,'[1]Virtus SAMPLE PositionHistorySa'!$A:$L,12,0)</f>
        <v/>
      </c>
      <c r="F1354" s="31" t="inlineStr">
        <is>
          <t>1.39</t>
        </is>
      </c>
      <c r="G1354" s="32" t="n"/>
      <c r="H1354" s="32" t="n"/>
      <c r="I1354" s="29" t="n"/>
    </row>
    <row r="1355">
      <c r="A1355" s="29" t="inlineStr">
        <is>
          <t>AU23372</t>
        </is>
      </c>
      <c r="B1355" s="30" t="inlineStr">
        <is>
          <t>NSW-QLD</t>
        </is>
      </c>
      <c r="C1355" s="30" t="inlineStr">
        <is>
          <t>QN2025</t>
        </is>
      </c>
      <c r="D1355" s="30" t="inlineStr">
        <is>
          <t>Casual</t>
        </is>
      </c>
      <c r="E1355" s="42">
        <f>VLOOKUP(A1355,'[1]Virtus SAMPLE PositionHistorySa'!$A:$L,12,0)</f>
        <v/>
      </c>
      <c r="F1355" s="31" t="inlineStr">
        <is>
          <t>1.39</t>
        </is>
      </c>
      <c r="G1355" s="32" t="n"/>
      <c r="H1355" s="32" t="n"/>
      <c r="I1355" s="29" t="n"/>
    </row>
    <row r="1356">
      <c r="A1356" s="29" t="inlineStr">
        <is>
          <t>AU23377</t>
        </is>
      </c>
      <c r="B1356" s="30" t="inlineStr">
        <is>
          <t>NSW-QLD</t>
        </is>
      </c>
      <c r="C1356" s="30" t="inlineStr">
        <is>
          <t>IVFN2021</t>
        </is>
      </c>
      <c r="D1356" s="30" t="inlineStr">
        <is>
          <t>Casual</t>
        </is>
      </c>
      <c r="E1356" s="42">
        <f>VLOOKUP(A1356,'[1]Virtus SAMPLE PositionHistorySa'!$A:$L,12,0)</f>
        <v/>
      </c>
      <c r="F1356" s="31" t="inlineStr">
        <is>
          <t>0.93</t>
        </is>
      </c>
      <c r="G1356" s="32" t="n"/>
      <c r="H1356" s="32" t="n"/>
      <c r="I1356" s="29" t="n"/>
    </row>
    <row r="1357">
      <c r="A1357" s="29" t="inlineStr">
        <is>
          <t>AU23385</t>
        </is>
      </c>
      <c r="B1357" s="30" t="inlineStr">
        <is>
          <t>NSW-QLD</t>
        </is>
      </c>
      <c r="C1357" s="30" t="inlineStr">
        <is>
          <t>QN2025</t>
        </is>
      </c>
      <c r="D1357" s="30" t="inlineStr">
        <is>
          <t>Part time</t>
        </is>
      </c>
      <c r="E1357" s="42">
        <f>VLOOKUP(A1357,'[1]Virtus SAMPLE PositionHistorySa'!$A:$L,12,0)</f>
        <v/>
      </c>
      <c r="F1357" s="31" t="inlineStr">
        <is>
          <t>1.39</t>
        </is>
      </c>
      <c r="G1357" s="32" t="n"/>
      <c r="H1357" s="32" t="n"/>
      <c r="I1357" s="29" t="n"/>
    </row>
    <row r="1358">
      <c r="A1358" s="29" t="inlineStr">
        <is>
          <t>AU23386</t>
        </is>
      </c>
      <c r="B1358" s="30" t="inlineStr">
        <is>
          <t>NSW-QLD</t>
        </is>
      </c>
      <c r="C1358" s="30" t="inlineStr">
        <is>
          <t>QN2025</t>
        </is>
      </c>
      <c r="D1358" s="30" t="inlineStr">
        <is>
          <t>Casual</t>
        </is>
      </c>
      <c r="E1358" s="42">
        <f>VLOOKUP(A1358,'[1]Virtus SAMPLE PositionHistorySa'!$A:$L,12,0)</f>
        <v/>
      </c>
      <c r="F1358" s="31" t="inlineStr">
        <is>
          <t>1.39</t>
        </is>
      </c>
      <c r="G1358" s="32" t="n"/>
      <c r="H1358" s="32" t="n"/>
      <c r="I1358" s="29" t="n"/>
    </row>
    <row r="1359">
      <c r="A1359" s="29" t="inlineStr">
        <is>
          <t>AU22556</t>
        </is>
      </c>
      <c r="B1359" s="30" t="inlineStr">
        <is>
          <t>NSW-QLD</t>
        </is>
      </c>
      <c r="C1359" s="30" t="inlineStr">
        <is>
          <t>IVFS2023</t>
        </is>
      </c>
      <c r="D1359" s="30" t="inlineStr">
        <is>
          <t>Casual</t>
        </is>
      </c>
      <c r="E1359" s="42">
        <f>VLOOKUP(A1359,'[1]Virtus SAMPLE PositionHistorySa'!$A:$L,12,0)</f>
        <v/>
      </c>
      <c r="F1359" s="31" t="inlineStr">
        <is>
          <t>4.39</t>
        </is>
      </c>
      <c r="G1359" s="32" t="n"/>
      <c r="H1359" s="32" t="n"/>
      <c r="I1359" s="29" t="n"/>
    </row>
    <row r="1360">
      <c r="A1360" s="29" t="inlineStr">
        <is>
          <t>AU23822</t>
        </is>
      </c>
      <c r="B1360" s="30" t="inlineStr">
        <is>
          <t>NSW-QLD</t>
        </is>
      </c>
      <c r="C1360" s="30" t="inlineStr">
        <is>
          <t>IVFN2021</t>
        </is>
      </c>
      <c r="D1360" s="30" t="inlineStr">
        <is>
          <t>Part time</t>
        </is>
      </c>
      <c r="E1360" s="42">
        <f>VLOOKUP(A1360,'[1]Virtus SAMPLE PositionHistorySa'!$A:$L,12,0)</f>
        <v/>
      </c>
      <c r="F1360" s="31" t="inlineStr">
        <is>
          <t>0.06</t>
        </is>
      </c>
      <c r="G1360" s="32" t="n"/>
      <c r="H1360" s="32" t="n"/>
      <c r="I1360" s="29" t="n"/>
    </row>
    <row r="1361">
      <c r="A1361" s="29" t="inlineStr">
        <is>
          <t>AU23851</t>
        </is>
      </c>
      <c r="B1361" s="30" t="inlineStr">
        <is>
          <t>NSW-QLD</t>
        </is>
      </c>
      <c r="C1361" s="30" t="inlineStr">
        <is>
          <t>IVFS2023</t>
        </is>
      </c>
      <c r="D1361" s="30" t="inlineStr">
        <is>
          <t>Casual</t>
        </is>
      </c>
      <c r="E1361" s="42">
        <f>VLOOKUP(A1361,'[1]Virtus SAMPLE PositionHistorySa'!$A:$L,12,0)</f>
        <v/>
      </c>
      <c r="F1361" s="31" t="inlineStr">
        <is>
          <t>0.06</t>
        </is>
      </c>
      <c r="G1361" s="32" t="n"/>
      <c r="H1361" s="32" t="n"/>
      <c r="I1361" s="29" t="n"/>
    </row>
    <row r="1362">
      <c r="A1362" s="29" t="inlineStr">
        <is>
          <t>AU23863</t>
        </is>
      </c>
      <c r="B1362" s="30" t="inlineStr">
        <is>
          <t>NSW-QLD</t>
        </is>
      </c>
      <c r="C1362" s="30" t="inlineStr">
        <is>
          <t>IVFS2023</t>
        </is>
      </c>
      <c r="D1362" s="30" t="inlineStr">
        <is>
          <t>Part time</t>
        </is>
      </c>
      <c r="E1362" s="42">
        <f>VLOOKUP(A1362,'[1]Virtus SAMPLE PositionHistorySa'!$A:$L,12,0)</f>
        <v/>
      </c>
      <c r="F1362" s="31" t="inlineStr">
        <is>
          <t>0.06</t>
        </is>
      </c>
      <c r="G1362" s="32" t="n"/>
      <c r="H1362" s="32" t="n"/>
      <c r="I1362" s="29" t="n"/>
    </row>
    <row r="1363">
      <c r="A1363" s="29" t="n">
        <v>19810</v>
      </c>
      <c r="B1363" s="30" t="inlineStr">
        <is>
          <t>NSW-QLD</t>
        </is>
      </c>
      <c r="C1363" s="30" t="inlineStr">
        <is>
          <t>NSW</t>
        </is>
      </c>
      <c r="D1363" s="30" t="inlineStr">
        <is>
          <t>Part time</t>
        </is>
      </c>
      <c r="E1363" s="42">
        <f>VLOOKUP(A1363,'[1]Virtus SAMPLE PositionHistorySa'!$A:$L,12,0)</f>
        <v/>
      </c>
      <c r="F1363" s="31" t="inlineStr">
        <is>
          <t>4.19</t>
        </is>
      </c>
      <c r="G1363" s="32" t="n"/>
      <c r="H1363" s="32" t="n"/>
      <c r="I1363" s="29" t="n"/>
    </row>
    <row r="1364">
      <c r="A1364" s="29" t="inlineStr">
        <is>
          <t>AU23018</t>
        </is>
      </c>
      <c r="B1364" s="30" t="inlineStr">
        <is>
          <t>NSW-QLD</t>
        </is>
      </c>
      <c r="C1364" s="30" t="inlineStr">
        <is>
          <t>IVFN2021</t>
        </is>
      </c>
      <c r="D1364" s="30" t="inlineStr">
        <is>
          <t>Casual</t>
        </is>
      </c>
      <c r="E1364" s="42">
        <f>VLOOKUP(A1364,'[1]Virtus SAMPLE PositionHistorySa'!$A:$L,12,0)</f>
        <v/>
      </c>
      <c r="F1364" s="31" t="inlineStr">
        <is>
          <t>1.79</t>
        </is>
      </c>
      <c r="G1364" s="32" t="n"/>
      <c r="H1364" s="32" t="n"/>
      <c r="I1364" s="29" t="n"/>
    </row>
    <row r="1365">
      <c r="A1365" s="29" t="inlineStr">
        <is>
          <t>AU23862</t>
        </is>
      </c>
      <c r="B1365" s="30" t="inlineStr">
        <is>
          <t>NSW-QLD</t>
        </is>
      </c>
      <c r="C1365" s="30" t="inlineStr">
        <is>
          <t>IVFN2021</t>
        </is>
      </c>
      <c r="D1365" s="30" t="inlineStr">
        <is>
          <t>Casual</t>
        </is>
      </c>
      <c r="E1365" s="42">
        <f>VLOOKUP(A1365,'[1]Virtus SAMPLE PositionHistorySa'!$A:$L,12,0)</f>
        <v/>
      </c>
      <c r="F1365" s="31" t="inlineStr">
        <is>
          <t>0.06</t>
        </is>
      </c>
      <c r="G1365" s="32" t="n"/>
      <c r="H1365" s="32" t="n"/>
      <c r="I1365" s="29" t="n"/>
    </row>
    <row r="1366">
      <c r="A1366" s="29" t="n">
        <v>20548</v>
      </c>
      <c r="B1366" s="30" t="inlineStr">
        <is>
          <t>NSW-QLD</t>
        </is>
      </c>
      <c r="C1366" s="30" t="inlineStr">
        <is>
          <t>IVFN2021</t>
        </is>
      </c>
      <c r="D1366" s="30" t="inlineStr">
        <is>
          <t>Part time</t>
        </is>
      </c>
      <c r="E1366" s="42">
        <f>VLOOKUP(A1366,'[1]Virtus SAMPLE PositionHistorySa'!$A:$L,12,0)</f>
        <v/>
      </c>
      <c r="F1366" s="31" t="inlineStr">
        <is>
          <t>7.85</t>
        </is>
      </c>
      <c r="G1366" s="32" t="n"/>
      <c r="H1366" s="32" t="n"/>
      <c r="I1366" s="29" t="n"/>
    </row>
    <row r="1367">
      <c r="A1367" s="29" t="inlineStr">
        <is>
          <t>AU22579</t>
        </is>
      </c>
      <c r="B1367" s="30" t="inlineStr">
        <is>
          <t>NSW-QLD</t>
        </is>
      </c>
      <c r="C1367" s="30" t="inlineStr">
        <is>
          <t>IVFS2023</t>
        </is>
      </c>
      <c r="D1367" s="30" t="inlineStr">
        <is>
          <t>Full time</t>
        </is>
      </c>
      <c r="E1367" s="42">
        <f>VLOOKUP(A1367,'[1]Virtus SAMPLE PositionHistorySa'!$A:$L,12,0)</f>
        <v/>
      </c>
      <c r="F1367" s="31" t="inlineStr">
        <is>
          <t>2.66</t>
        </is>
      </c>
      <c r="G1367" s="32">
        <f>VLOOKUP(A1367,Sheet3!A:K,10,0)/38</f>
        <v/>
      </c>
      <c r="H1367" s="32">
        <f>F1367-G1367</f>
        <v/>
      </c>
      <c r="I1367" s="29" t="n"/>
    </row>
    <row r="1368">
      <c r="A1368" s="29" t="n">
        <v>40047</v>
      </c>
      <c r="B1368" s="30" t="inlineStr">
        <is>
          <t>NSW-QLD</t>
        </is>
      </c>
      <c r="C1368" s="30" t="inlineStr">
        <is>
          <t>IVFS2023</t>
        </is>
      </c>
      <c r="D1368" s="30" t="inlineStr">
        <is>
          <t>Part time</t>
        </is>
      </c>
      <c r="E1368" s="42">
        <f>VLOOKUP(A1368,'[1]Virtus SAMPLE PositionHistorySa'!$A:$L,12,0)</f>
        <v/>
      </c>
      <c r="F1368" s="31" t="inlineStr">
        <is>
          <t>11.32</t>
        </is>
      </c>
      <c r="G1368" s="32" t="n"/>
      <c r="H1368" s="32" t="n"/>
      <c r="I1368" s="29" t="n"/>
    </row>
    <row r="1369">
      <c r="A1369" s="29" t="n">
        <v>119</v>
      </c>
      <c r="B1369" s="30" t="inlineStr">
        <is>
          <t>VIC-TAS</t>
        </is>
      </c>
      <c r="C1369" s="30" t="inlineStr">
        <is>
          <t>TAS</t>
        </is>
      </c>
      <c r="D1369" s="30" t="inlineStr">
        <is>
          <t>Full time</t>
        </is>
      </c>
      <c r="E1369" s="42">
        <f>VLOOKUP(A1369,'[1]Virtus SAMPLE PositionHistorySa'!$A:$L,12,0)</f>
        <v/>
      </c>
      <c r="F1369" s="31" t="inlineStr">
        <is>
          <t>4.38</t>
        </is>
      </c>
      <c r="G1369" s="32">
        <f>VLOOKUP(A1369,Sheet3!A:K,10,0)/38</f>
        <v/>
      </c>
      <c r="H1369" s="32">
        <f>F1369-G1369</f>
        <v/>
      </c>
      <c r="I1369" s="29" t="n"/>
    </row>
    <row r="1370">
      <c r="A1370" s="29" t="n">
        <v>20793</v>
      </c>
      <c r="B1370" s="30" t="inlineStr">
        <is>
          <t>NSW-QLD</t>
        </is>
      </c>
      <c r="C1370" s="30" t="inlineStr">
        <is>
          <t>IVFN2021</t>
        </is>
      </c>
      <c r="D1370" s="30" t="inlineStr">
        <is>
          <t>Full time</t>
        </is>
      </c>
      <c r="E1370" s="42">
        <f>VLOOKUP(A1370,'[1]Virtus SAMPLE PositionHistorySa'!$A:$L,12,0)</f>
        <v/>
      </c>
      <c r="F1370" s="31" t="inlineStr">
        <is>
          <t>4.38</t>
        </is>
      </c>
      <c r="G1370" s="32">
        <f>VLOOKUP(A1370,Sheet3!A:K,10,0)/38</f>
        <v/>
      </c>
      <c r="H1370" s="32">
        <f>F1370-G1370</f>
        <v/>
      </c>
      <c r="I1370" s="29" t="n"/>
    </row>
    <row r="1371">
      <c r="A1371" s="29" t="n">
        <v>80378</v>
      </c>
      <c r="B1371" s="30" t="inlineStr">
        <is>
          <t>NSW-QLD</t>
        </is>
      </c>
      <c r="C1371" s="30" t="inlineStr">
        <is>
          <t>QS2024</t>
        </is>
      </c>
      <c r="D1371" s="30" t="inlineStr">
        <is>
          <t>Part time</t>
        </is>
      </c>
      <c r="E1371" s="42">
        <f>VLOOKUP(A1371,'[1]Virtus SAMPLE PositionHistorySa'!$A:$L,12,0)</f>
        <v/>
      </c>
      <c r="F1371" s="31" t="inlineStr">
        <is>
          <t>4.38</t>
        </is>
      </c>
      <c r="G1371" s="32" t="n"/>
      <c r="H1371" s="32" t="n"/>
      <c r="I1371" s="29" t="n"/>
    </row>
    <row r="1372">
      <c r="A1372" s="29" t="n">
        <v>40144</v>
      </c>
      <c r="B1372" s="30" t="inlineStr">
        <is>
          <t>NSW-QLD</t>
        </is>
      </c>
      <c r="C1372" s="30" t="inlineStr">
        <is>
          <t>IVFN2021</t>
        </is>
      </c>
      <c r="D1372" s="30" t="inlineStr">
        <is>
          <t>Full time</t>
        </is>
      </c>
      <c r="E1372" s="42">
        <f>VLOOKUP(A1372,'[1]Virtus SAMPLE PositionHistorySa'!$A:$L,12,0)</f>
        <v/>
      </c>
      <c r="F1372" s="31" t="inlineStr">
        <is>
          <t>3.51</t>
        </is>
      </c>
      <c r="G1372" s="32">
        <f>VLOOKUP(A1372,Sheet3!A:K,10,0)/38</f>
        <v/>
      </c>
      <c r="H1372" s="32">
        <f>F1372-G1372</f>
        <v/>
      </c>
      <c r="I1372" s="29" t="n"/>
    </row>
    <row r="1373">
      <c r="A1373" s="29" t="inlineStr">
        <is>
          <t>AU23015</t>
        </is>
      </c>
      <c r="B1373" s="30" t="inlineStr">
        <is>
          <t>VIC-TAS</t>
        </is>
      </c>
      <c r="C1373" s="30" t="inlineStr">
        <is>
          <t>MIVFN2023</t>
        </is>
      </c>
      <c r="D1373" s="30" t="inlineStr">
        <is>
          <t>Casual</t>
        </is>
      </c>
      <c r="E1373" s="42">
        <f>VLOOKUP(A1373,'[1]Virtus SAMPLE PositionHistorySa'!$A:$L,12,0)</f>
        <v/>
      </c>
      <c r="F1373" s="31" t="inlineStr">
        <is>
          <t>1.78</t>
        </is>
      </c>
      <c r="G1373" s="32" t="n"/>
      <c r="H1373" s="32" t="n"/>
      <c r="I1373" s="29" t="n"/>
    </row>
    <row r="1374">
      <c r="A1374" s="29" t="inlineStr">
        <is>
          <t>AU23856</t>
        </is>
      </c>
      <c r="B1374" s="30" t="inlineStr">
        <is>
          <t>NSW-QLD</t>
        </is>
      </c>
      <c r="C1374" s="30" t="inlineStr">
        <is>
          <t>IVFS2023</t>
        </is>
      </c>
      <c r="D1374" s="30" t="inlineStr">
        <is>
          <t>Full time</t>
        </is>
      </c>
      <c r="E1374" s="42">
        <f>VLOOKUP(A1374,'[1]Virtus SAMPLE PositionHistorySa'!$A:$L,12,0)</f>
        <v/>
      </c>
      <c r="F1374" s="31" t="inlineStr">
        <is>
          <t>0.05</t>
        </is>
      </c>
      <c r="G1374" s="32">
        <f>VLOOKUP(A1374,Sheet3!A:K,10,0)/38</f>
        <v/>
      </c>
      <c r="H1374" s="32">
        <f>F1374-G1374</f>
        <v/>
      </c>
      <c r="I1374" s="29" t="n"/>
    </row>
    <row r="1375">
      <c r="A1375" s="29" t="inlineStr">
        <is>
          <t>AU23857</t>
        </is>
      </c>
      <c r="B1375" s="30" t="inlineStr">
        <is>
          <t>NSW-QLD</t>
        </is>
      </c>
      <c r="C1375" s="30" t="inlineStr">
        <is>
          <t>IVFS2023</t>
        </is>
      </c>
      <c r="D1375" s="30" t="inlineStr">
        <is>
          <t>Full time</t>
        </is>
      </c>
      <c r="E1375" s="42">
        <f>VLOOKUP(A1375,'[1]Virtus SAMPLE PositionHistorySa'!$A:$L,12,0)</f>
        <v/>
      </c>
      <c r="F1375" s="31" t="inlineStr">
        <is>
          <t>0.05</t>
        </is>
      </c>
      <c r="G1375" s="32">
        <f>VLOOKUP(A1375,Sheet3!A:K,10,0)/38</f>
        <v/>
      </c>
      <c r="H1375" s="32">
        <f>F1375-G1375</f>
        <v/>
      </c>
      <c r="I1375" s="29" t="n"/>
    </row>
    <row r="1376">
      <c r="A1376" s="29" t="inlineStr">
        <is>
          <t>AU23789</t>
        </is>
      </c>
      <c r="B1376" s="30" t="inlineStr">
        <is>
          <t>NSW-QLD</t>
        </is>
      </c>
      <c r="C1376" s="30" t="inlineStr">
        <is>
          <t>NSW</t>
        </is>
      </c>
      <c r="D1376" s="30" t="inlineStr">
        <is>
          <t>Full time</t>
        </is>
      </c>
      <c r="E1376" s="42">
        <f>VLOOKUP(A1376,'[1]Virtus SAMPLE PositionHistorySa'!$A:$L,12,0)</f>
        <v/>
      </c>
      <c r="F1376" s="31" t="inlineStr">
        <is>
          <t>0.05</t>
        </is>
      </c>
      <c r="G1376" s="32">
        <f>VLOOKUP(A1376,Sheet3!A:K,10,0)/38</f>
        <v/>
      </c>
      <c r="H1376" s="32">
        <f>F1376-G1376</f>
        <v/>
      </c>
      <c r="I1376" s="29" t="n"/>
    </row>
    <row r="1377">
      <c r="A1377" s="29" t="inlineStr">
        <is>
          <t>AU23859</t>
        </is>
      </c>
      <c r="B1377" s="30" t="inlineStr">
        <is>
          <t>NSW-QLD</t>
        </is>
      </c>
      <c r="C1377" s="30" t="inlineStr">
        <is>
          <t>VIC</t>
        </is>
      </c>
      <c r="D1377" s="30" t="inlineStr">
        <is>
          <t>Full time</t>
        </is>
      </c>
      <c r="E1377" s="42">
        <f>VLOOKUP(A1377,'[1]Virtus SAMPLE PositionHistorySa'!$A:$L,12,0)</f>
        <v/>
      </c>
      <c r="F1377" s="31" t="inlineStr">
        <is>
          <t>0.05</t>
        </is>
      </c>
      <c r="G1377" s="32">
        <f>VLOOKUP(A1377,Sheet3!A:K,10,0)/38</f>
        <v/>
      </c>
      <c r="H1377" s="32">
        <f>F1377-G1377</f>
        <v/>
      </c>
      <c r="I1377" s="29" t="n"/>
    </row>
    <row r="1378">
      <c r="A1378" s="29" t="inlineStr">
        <is>
          <t>AU23898</t>
        </is>
      </c>
      <c r="B1378" s="30" t="inlineStr">
        <is>
          <t>NSW-QLD</t>
        </is>
      </c>
      <c r="C1378" s="30" t="inlineStr">
        <is>
          <t>NSW</t>
        </is>
      </c>
      <c r="D1378" s="30" t="inlineStr">
        <is>
          <t>Full time</t>
        </is>
      </c>
      <c r="E1378" s="42">
        <f>VLOOKUP(A1378,'[1]Virtus SAMPLE PositionHistorySa'!$A:$L,12,0)</f>
        <v/>
      </c>
      <c r="F1378" s="31" t="inlineStr">
        <is>
          <t>0.05</t>
        </is>
      </c>
      <c r="G1378" s="32">
        <f>VLOOKUP(A1378,Sheet3!A:K,10,0)/38</f>
        <v/>
      </c>
      <c r="H1378" s="32">
        <f>F1378-G1378</f>
        <v/>
      </c>
      <c r="I1378" s="29" t="n"/>
    </row>
    <row r="1379">
      <c r="A1379" s="29" t="inlineStr">
        <is>
          <t>AU23818</t>
        </is>
      </c>
      <c r="B1379" s="30" t="inlineStr">
        <is>
          <t>NSW-QLD</t>
        </is>
      </c>
      <c r="C1379" s="30" t="inlineStr">
        <is>
          <t>IVFN2021</t>
        </is>
      </c>
      <c r="D1379" s="30" t="inlineStr">
        <is>
          <t>Part time</t>
        </is>
      </c>
      <c r="E1379" s="42">
        <f>VLOOKUP(A1379,'[1]Virtus SAMPLE PositionHistorySa'!$A:$L,12,0)</f>
        <v/>
      </c>
      <c r="F1379" s="31" t="inlineStr">
        <is>
          <t>0.05</t>
        </is>
      </c>
      <c r="G1379" s="32" t="n"/>
      <c r="H1379" s="32" t="n"/>
      <c r="I1379" s="29" t="n"/>
    </row>
    <row r="1380">
      <c r="A1380" s="29" t="inlineStr">
        <is>
          <t>AU23820</t>
        </is>
      </c>
      <c r="B1380" s="30" t="inlineStr">
        <is>
          <t>NSW-QLD</t>
        </is>
      </c>
      <c r="C1380" s="30" t="inlineStr">
        <is>
          <t>IVFN2021</t>
        </is>
      </c>
      <c r="D1380" s="30" t="inlineStr">
        <is>
          <t>Part time</t>
        </is>
      </c>
      <c r="E1380" s="42">
        <f>VLOOKUP(A1380,'[1]Virtus SAMPLE PositionHistorySa'!$A:$L,12,0)</f>
        <v/>
      </c>
      <c r="F1380" s="31" t="inlineStr">
        <is>
          <t>0.05</t>
        </is>
      </c>
      <c r="G1380" s="32" t="n"/>
      <c r="H1380" s="32" t="n"/>
      <c r="I1380" s="29" t="n"/>
    </row>
    <row r="1381">
      <c r="A1381" s="29" t="inlineStr">
        <is>
          <t>AU23834</t>
        </is>
      </c>
      <c r="B1381" s="30" t="inlineStr">
        <is>
          <t>NSW-QLD</t>
        </is>
      </c>
      <c r="C1381" s="30" t="inlineStr">
        <is>
          <t>QN2025</t>
        </is>
      </c>
      <c r="D1381" s="30" t="inlineStr">
        <is>
          <t>Part time</t>
        </is>
      </c>
      <c r="E1381" s="42">
        <f>VLOOKUP(A1381,'[1]Virtus SAMPLE PositionHistorySa'!$A:$L,12,0)</f>
        <v/>
      </c>
      <c r="F1381" s="31" t="inlineStr">
        <is>
          <t>0.07</t>
        </is>
      </c>
      <c r="G1381" s="32" t="n"/>
      <c r="H1381" s="32" t="n"/>
      <c r="I1381" s="29" t="n"/>
    </row>
    <row r="1382">
      <c r="A1382" s="29" t="inlineStr">
        <is>
          <t>AU23855</t>
        </is>
      </c>
      <c r="B1382" s="30" t="inlineStr">
        <is>
          <t>NSW-QLD</t>
        </is>
      </c>
      <c r="C1382" s="30" t="inlineStr">
        <is>
          <t>IVFS2023</t>
        </is>
      </c>
      <c r="D1382" s="30" t="inlineStr">
        <is>
          <t>Part time</t>
        </is>
      </c>
      <c r="E1382" s="42">
        <f>VLOOKUP(A1382,'[1]Virtus SAMPLE PositionHistorySa'!$A:$L,12,0)</f>
        <v/>
      </c>
      <c r="F1382" s="31" t="inlineStr">
        <is>
          <t>0.05</t>
        </is>
      </c>
      <c r="G1382" s="32" t="n"/>
      <c r="H1382" s="32" t="n"/>
      <c r="I1382" s="29" t="n"/>
    </row>
    <row r="1383">
      <c r="A1383" s="29" t="inlineStr">
        <is>
          <t>AU23858</t>
        </is>
      </c>
      <c r="B1383" s="30" t="inlineStr">
        <is>
          <t>VIC-TAS</t>
        </is>
      </c>
      <c r="C1383" s="30" t="inlineStr">
        <is>
          <t>MIVFN2023</t>
        </is>
      </c>
      <c r="D1383" s="30">
        <f>VLOOKUP(A1383,Sheet3!A:E,5,0)</f>
        <v/>
      </c>
      <c r="E1383" s="42">
        <f>VLOOKUP(A1383,'[1]Virtus SAMPLE PositionHistorySa'!$A:$L,12,0)</f>
        <v/>
      </c>
      <c r="F1383" s="31" t="inlineStr">
        <is>
          <t>0.05</t>
        </is>
      </c>
      <c r="G1383" s="32" t="n"/>
      <c r="H1383" s="32" t="n"/>
      <c r="I1383" s="29" t="n"/>
    </row>
    <row r="1384">
      <c r="A1384" s="29" t="inlineStr">
        <is>
          <t>AU23864</t>
        </is>
      </c>
      <c r="B1384" s="30" t="inlineStr">
        <is>
          <t>NSW-QLD</t>
        </is>
      </c>
      <c r="C1384" s="30" t="inlineStr">
        <is>
          <t>NSW</t>
        </is>
      </c>
      <c r="D1384" s="30">
        <f>VLOOKUP(A1384,Sheet3!A:E,5,0)</f>
        <v/>
      </c>
      <c r="E1384" s="42">
        <f>VLOOKUP(A1384,'[1]Virtus SAMPLE PositionHistorySa'!$A:$L,12,0)</f>
        <v/>
      </c>
      <c r="F1384" s="31" t="inlineStr">
        <is>
          <t>0.05</t>
        </is>
      </c>
      <c r="G1384" s="32" t="n"/>
      <c r="H1384" s="32" t="n"/>
      <c r="I1384" s="29" t="n"/>
    </row>
    <row r="1385">
      <c r="A1385" s="29" t="inlineStr">
        <is>
          <t>AU23388</t>
        </is>
      </c>
      <c r="B1385" s="30" t="inlineStr">
        <is>
          <t>NSW-QLD</t>
        </is>
      </c>
      <c r="C1385" s="30" t="inlineStr">
        <is>
          <t>IVFN2021</t>
        </is>
      </c>
      <c r="D1385" s="30" t="inlineStr">
        <is>
          <t>Casual</t>
        </is>
      </c>
      <c r="E1385" s="42">
        <f>VLOOKUP(A1385,'[1]Virtus SAMPLE PositionHistorySa'!$A:$L,12,0)</f>
        <v/>
      </c>
      <c r="F1385" s="31" t="inlineStr">
        <is>
          <t>0.91</t>
        </is>
      </c>
      <c r="G1385" s="32" t="n"/>
      <c r="H1385" s="32" t="n"/>
      <c r="I1385" s="29" t="n"/>
    </row>
    <row r="1386">
      <c r="A1386" s="29" t="inlineStr">
        <is>
          <t>AU23393</t>
        </is>
      </c>
      <c r="B1386" s="30" t="inlineStr">
        <is>
          <t>NSW-QLD</t>
        </is>
      </c>
      <c r="C1386" s="30" t="inlineStr">
        <is>
          <t>IVFN2021</t>
        </is>
      </c>
      <c r="D1386" s="30" t="inlineStr">
        <is>
          <t>Casual</t>
        </is>
      </c>
      <c r="E1386" s="42">
        <f>VLOOKUP(A1386,'[1]Virtus SAMPLE PositionHistorySa'!$A:$L,12,0)</f>
        <v/>
      </c>
      <c r="F1386" s="31" t="inlineStr">
        <is>
          <t>0.91</t>
        </is>
      </c>
      <c r="G1386" s="32" t="n"/>
      <c r="H1386" s="32" t="n"/>
      <c r="I1386" s="29" t="n"/>
    </row>
  </sheetData>
  <autoFilter ref="A3:I1386">
    <sortState ref="A4:I1386">
      <sortCondition ref="E3:E138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17"/>
  <sheetViews>
    <sheetView workbookViewId="0">
      <selection activeCell="L2" sqref="L2"/>
    </sheetView>
  </sheetViews>
  <sheetFormatPr baseColWidth="8" defaultRowHeight="15.6"/>
  <cols>
    <col width="12.09765625" bestFit="1" customWidth="1" min="2" max="2"/>
    <col width="10.69921875" bestFit="1" customWidth="1" min="4" max="4"/>
    <col width="43.5" bestFit="1" customWidth="1" min="5" max="5"/>
    <col width="18" bestFit="1" customWidth="1" min="6" max="6"/>
    <col width="17.5" bestFit="1" customWidth="1" style="24" min="11" max="11"/>
    <col width="18.3984375" bestFit="1" customWidth="1" style="24" min="12" max="12"/>
  </cols>
  <sheetData>
    <row r="1">
      <c r="A1" t="inlineStr">
        <is>
          <t>Employee ID</t>
        </is>
      </c>
      <c r="B1" t="inlineStr">
        <is>
          <t>Employee DOB</t>
        </is>
      </c>
      <c r="C1" t="inlineStr">
        <is>
          <t>Cohort</t>
        </is>
      </c>
      <c r="D1" t="inlineStr">
        <is>
          <t>System</t>
        </is>
      </c>
      <c r="E1" t="inlineStr">
        <is>
          <t>Title</t>
        </is>
      </c>
      <c r="F1" t="inlineStr">
        <is>
          <t>Position Effective Date</t>
        </is>
      </c>
      <c r="G1" t="inlineStr">
        <is>
          <t>Position End Date</t>
        </is>
      </c>
      <c r="H1" t="inlineStr">
        <is>
          <t>LSL Instrument</t>
        </is>
      </c>
      <c r="I1" t="inlineStr">
        <is>
          <t>State</t>
        </is>
      </c>
      <c r="J1" t="inlineStr">
        <is>
          <t>Employment Status</t>
        </is>
      </c>
      <c r="K1" s="24" t="inlineStr">
        <is>
          <t>Commencement Date</t>
        </is>
      </c>
      <c r="L1" s="24" t="inlineStr">
        <is>
          <t>LSL Adjusted Start Date</t>
        </is>
      </c>
      <c r="M1" t="inlineStr">
        <is>
          <t>Termination Date</t>
        </is>
      </c>
      <c r="N1" t="inlineStr">
        <is>
          <t>Termination Reason</t>
        </is>
      </c>
      <c r="O1" t="inlineStr">
        <is>
          <t>Fixed Ordinary Weekly Hours</t>
        </is>
      </c>
    </row>
    <row r="2">
      <c r="A2" t="n">
        <v>12</v>
      </c>
      <c r="C2" t="inlineStr">
        <is>
          <t>VIC-TAS</t>
        </is>
      </c>
      <c r="D2" t="inlineStr">
        <is>
          <t>Virtus Health</t>
        </is>
      </c>
      <c r="E2" t="inlineStr">
        <is>
          <t>Embryologist</t>
        </is>
      </c>
      <c r="F2" t="inlineStr">
        <is>
          <t>8/22/2011</t>
        </is>
      </c>
      <c r="H2" t="inlineStr">
        <is>
          <t>TIVF2024</t>
        </is>
      </c>
      <c r="I2" t="inlineStr">
        <is>
          <t>TAS</t>
        </is>
      </c>
      <c r="J2" t="inlineStr">
        <is>
          <t>Part Time</t>
        </is>
      </c>
      <c r="K2" s="23" t="inlineStr">
        <is>
          <t>8/22/2011</t>
        </is>
      </c>
      <c r="L2" s="23" t="inlineStr">
        <is>
          <t>8/22/2011</t>
        </is>
      </c>
      <c r="O2" t="n">
        <v>22.5</v>
      </c>
    </row>
    <row r="3">
      <c r="A3" t="n">
        <v>20</v>
      </c>
      <c r="C3" t="inlineStr">
        <is>
          <t>VIC-TAS</t>
        </is>
      </c>
      <c r="D3" t="inlineStr">
        <is>
          <t>Virtus Health</t>
        </is>
      </c>
      <c r="E3" t="inlineStr">
        <is>
          <t>Registered Nurse</t>
        </is>
      </c>
      <c r="F3" t="inlineStr">
        <is>
          <t>4/16/2012</t>
        </is>
      </c>
      <c r="H3" t="inlineStr">
        <is>
          <t>TIVF2024</t>
        </is>
      </c>
      <c r="I3" t="inlineStr">
        <is>
          <t>TAS</t>
        </is>
      </c>
      <c r="J3" t="inlineStr">
        <is>
          <t>Casual</t>
        </is>
      </c>
      <c r="K3" s="23" t="inlineStr">
        <is>
          <t>4/16/2012</t>
        </is>
      </c>
      <c r="L3" s="23" t="inlineStr">
        <is>
          <t>4/16/2012</t>
        </is>
      </c>
      <c r="O3" t="n">
        <v>38</v>
      </c>
    </row>
    <row r="4">
      <c r="A4" t="n">
        <v>23</v>
      </c>
      <c r="C4" t="inlineStr">
        <is>
          <t>VIC-TAS</t>
        </is>
      </c>
      <c r="D4" t="inlineStr">
        <is>
          <t>Virtus Health</t>
        </is>
      </c>
      <c r="E4" t="inlineStr">
        <is>
          <t>Scientific Director</t>
        </is>
      </c>
      <c r="F4" t="inlineStr">
        <is>
          <t>1/15/2001</t>
        </is>
      </c>
      <c r="H4" t="inlineStr">
        <is>
          <t>TAS</t>
        </is>
      </c>
      <c r="I4" t="inlineStr">
        <is>
          <t>TAS</t>
        </is>
      </c>
      <c r="J4" t="inlineStr">
        <is>
          <t>Full Time</t>
        </is>
      </c>
      <c r="K4" s="23" t="inlineStr">
        <is>
          <t>1/15/2001</t>
        </is>
      </c>
      <c r="L4" s="23" t="inlineStr">
        <is>
          <t>1/15/2001</t>
        </is>
      </c>
      <c r="O4" t="n">
        <v>37.5</v>
      </c>
    </row>
    <row r="5">
      <c r="A5" t="n">
        <v>32</v>
      </c>
      <c r="B5" s="1" t="n"/>
      <c r="C5" t="inlineStr">
        <is>
          <t>VIC-TAS</t>
        </is>
      </c>
      <c r="D5" t="inlineStr">
        <is>
          <t>Virtus Health</t>
        </is>
      </c>
      <c r="E5" t="inlineStr">
        <is>
          <t>Embryologist</t>
        </is>
      </c>
      <c r="F5" s="1" t="n">
        <v>40424</v>
      </c>
      <c r="H5" t="inlineStr">
        <is>
          <t>TIVF2024</t>
        </is>
      </c>
      <c r="I5" t="inlineStr">
        <is>
          <t>TAS</t>
        </is>
      </c>
      <c r="J5" t="inlineStr">
        <is>
          <t>Full Time</t>
        </is>
      </c>
      <c r="K5" s="23" t="n">
        <v>40424</v>
      </c>
      <c r="L5" s="23" t="n">
        <v>40424</v>
      </c>
      <c r="O5" t="n">
        <v>37.5</v>
      </c>
    </row>
    <row r="6">
      <c r="A6" t="n">
        <v>38</v>
      </c>
      <c r="C6" t="inlineStr">
        <is>
          <t>VIC-TAS</t>
        </is>
      </c>
      <c r="D6" t="inlineStr">
        <is>
          <t>Virtus Health</t>
        </is>
      </c>
      <c r="E6" t="inlineStr">
        <is>
          <t>Registered Nurse</t>
        </is>
      </c>
      <c r="F6" t="inlineStr">
        <is>
          <t>4/17/2012</t>
        </is>
      </c>
      <c r="H6" t="inlineStr">
        <is>
          <t>TIVF2024</t>
        </is>
      </c>
      <c r="I6" t="inlineStr">
        <is>
          <t>TAS</t>
        </is>
      </c>
      <c r="J6" t="inlineStr">
        <is>
          <t>Part Time</t>
        </is>
      </c>
      <c r="K6" s="23" t="inlineStr">
        <is>
          <t>4/17/2012</t>
        </is>
      </c>
      <c r="L6" s="23" t="inlineStr">
        <is>
          <t>4/17/2012</t>
        </is>
      </c>
      <c r="O6" t="n">
        <v>15</v>
      </c>
    </row>
    <row r="7">
      <c r="A7" t="n">
        <v>39</v>
      </c>
      <c r="B7" s="1" t="n"/>
      <c r="C7" t="inlineStr">
        <is>
          <t>VIC-TAS</t>
        </is>
      </c>
      <c r="D7" t="inlineStr">
        <is>
          <t>Virtus Health</t>
        </is>
      </c>
      <c r="E7" t="inlineStr">
        <is>
          <t>Registered Nurse</t>
        </is>
      </c>
      <c r="F7" s="1" t="n">
        <v>39604</v>
      </c>
      <c r="H7" t="inlineStr">
        <is>
          <t>TIVF2024</t>
        </is>
      </c>
      <c r="I7" t="inlineStr">
        <is>
          <t>TAS</t>
        </is>
      </c>
      <c r="J7" t="inlineStr">
        <is>
          <t>Part Time</t>
        </is>
      </c>
      <c r="K7" s="23" t="n">
        <v>39604</v>
      </c>
      <c r="L7" s="23" t="n">
        <v>39604</v>
      </c>
      <c r="O7" t="n">
        <v>21.5</v>
      </c>
    </row>
    <row r="8">
      <c r="A8" t="n">
        <v>45</v>
      </c>
      <c r="C8" t="inlineStr">
        <is>
          <t>VIC-TAS</t>
        </is>
      </c>
      <c r="D8" t="inlineStr">
        <is>
          <t>Virtus Health</t>
        </is>
      </c>
      <c r="E8" t="inlineStr">
        <is>
          <t>Patient Liaison Administrator</t>
        </is>
      </c>
      <c r="F8" t="inlineStr">
        <is>
          <t>2/16/2016</t>
        </is>
      </c>
      <c r="H8" t="inlineStr">
        <is>
          <t>TIVF2024</t>
        </is>
      </c>
      <c r="I8" t="inlineStr">
        <is>
          <t>TAS</t>
        </is>
      </c>
      <c r="J8" t="inlineStr">
        <is>
          <t>Part Time</t>
        </is>
      </c>
      <c r="K8" s="23" t="inlineStr">
        <is>
          <t>2/16/2016</t>
        </is>
      </c>
      <c r="L8" s="23" t="inlineStr">
        <is>
          <t>2/16/2016</t>
        </is>
      </c>
      <c r="O8" t="n">
        <v>27.5</v>
      </c>
    </row>
    <row r="9">
      <c r="A9" t="n">
        <v>56</v>
      </c>
      <c r="C9" t="inlineStr">
        <is>
          <t>VIC-TAS</t>
        </is>
      </c>
      <c r="D9" t="inlineStr">
        <is>
          <t>Virtus Health</t>
        </is>
      </c>
      <c r="E9" t="inlineStr">
        <is>
          <t>Associate Nurse Unit Manager</t>
        </is>
      </c>
      <c r="F9" t="inlineStr">
        <is>
          <t>3/27/2017</t>
        </is>
      </c>
      <c r="H9" t="inlineStr">
        <is>
          <t>TIVF2024</t>
        </is>
      </c>
      <c r="I9" t="inlineStr">
        <is>
          <t>TAS</t>
        </is>
      </c>
      <c r="J9" t="inlineStr">
        <is>
          <t>Part Time</t>
        </is>
      </c>
      <c r="K9" s="23" t="inlineStr">
        <is>
          <t>3/27/2017</t>
        </is>
      </c>
      <c r="L9" s="23" t="inlineStr">
        <is>
          <t>3/27/2017</t>
        </is>
      </c>
      <c r="O9" t="n">
        <v>36</v>
      </c>
    </row>
    <row r="10">
      <c r="A10" t="n">
        <v>57</v>
      </c>
      <c r="B10" s="1" t="n"/>
      <c r="C10" t="inlineStr">
        <is>
          <t>VIC-TAS</t>
        </is>
      </c>
      <c r="D10" t="inlineStr">
        <is>
          <t>Virtus Health</t>
        </is>
      </c>
      <c r="E10" t="inlineStr">
        <is>
          <t>Enrolled Nurse</t>
        </is>
      </c>
      <c r="F10" s="1" t="n">
        <v>43012</v>
      </c>
      <c r="H10" t="inlineStr">
        <is>
          <t>TIVF2024</t>
        </is>
      </c>
      <c r="I10" t="inlineStr">
        <is>
          <t>TAS</t>
        </is>
      </c>
      <c r="J10" t="inlineStr">
        <is>
          <t>Part Time</t>
        </is>
      </c>
      <c r="K10" s="23" t="n">
        <v>43012</v>
      </c>
      <c r="L10" s="23" t="n">
        <v>43012</v>
      </c>
      <c r="O10" t="n">
        <v>24</v>
      </c>
    </row>
    <row r="11">
      <c r="A11" t="n">
        <v>76</v>
      </c>
      <c r="C11" t="inlineStr">
        <is>
          <t>VIC-TAS</t>
        </is>
      </c>
      <c r="D11" t="inlineStr">
        <is>
          <t>Virtus Health</t>
        </is>
      </c>
      <c r="E11" t="inlineStr">
        <is>
          <t>Registered Nurse</t>
        </is>
      </c>
      <c r="F11" t="inlineStr">
        <is>
          <t>7/30/2018</t>
        </is>
      </c>
      <c r="H11" t="inlineStr">
        <is>
          <t>TIVF2024</t>
        </is>
      </c>
      <c r="I11" t="inlineStr">
        <is>
          <t>TAS</t>
        </is>
      </c>
      <c r="J11" t="inlineStr">
        <is>
          <t>Part Time</t>
        </is>
      </c>
      <c r="K11" s="23" t="inlineStr">
        <is>
          <t>7/30/2018</t>
        </is>
      </c>
      <c r="L11" s="23" t="inlineStr">
        <is>
          <t>7/30/2018</t>
        </is>
      </c>
      <c r="O11" t="n">
        <v>24</v>
      </c>
    </row>
    <row r="12">
      <c r="A12" t="n">
        <v>88</v>
      </c>
      <c r="B12" s="1" t="n"/>
      <c r="C12" t="inlineStr">
        <is>
          <t>VIC-TAS</t>
        </is>
      </c>
      <c r="D12" t="inlineStr">
        <is>
          <t>Virtus Health</t>
        </is>
      </c>
      <c r="E12" t="inlineStr">
        <is>
          <t>Embryologist</t>
        </is>
      </c>
      <c r="F12" s="1" t="n">
        <v>43681</v>
      </c>
      <c r="H12" t="inlineStr">
        <is>
          <t>TIVF2024</t>
        </is>
      </c>
      <c r="I12" t="inlineStr">
        <is>
          <t>TAS</t>
        </is>
      </c>
      <c r="J12" t="inlineStr">
        <is>
          <t>Part Time</t>
        </is>
      </c>
      <c r="K12" s="23" t="n">
        <v>43681</v>
      </c>
      <c r="L12" s="23" t="n">
        <v>43681</v>
      </c>
      <c r="O12" t="n">
        <v>30</v>
      </c>
    </row>
    <row r="13">
      <c r="A13" t="n">
        <v>92</v>
      </c>
      <c r="C13" t="inlineStr">
        <is>
          <t>VIC-TAS</t>
        </is>
      </c>
      <c r="D13" t="inlineStr">
        <is>
          <t>Virtus Health</t>
        </is>
      </c>
      <c r="E13" t="inlineStr">
        <is>
          <t>Patient Administration Services Team Leader</t>
        </is>
      </c>
      <c r="F13" t="inlineStr">
        <is>
          <t>7/15/2019</t>
        </is>
      </c>
      <c r="H13" t="inlineStr">
        <is>
          <t>TIVF2024</t>
        </is>
      </c>
      <c r="I13" t="inlineStr">
        <is>
          <t>TAS</t>
        </is>
      </c>
      <c r="J13" t="inlineStr">
        <is>
          <t>Full Time</t>
        </is>
      </c>
      <c r="K13" s="23" t="inlineStr">
        <is>
          <t>7/15/2019</t>
        </is>
      </c>
      <c r="L13" s="23" t="inlineStr">
        <is>
          <t>7/15/2019</t>
        </is>
      </c>
      <c r="O13" t="n">
        <v>37.5</v>
      </c>
    </row>
    <row r="14">
      <c r="A14" t="n">
        <v>95</v>
      </c>
      <c r="C14" t="inlineStr">
        <is>
          <t>VIC-TAS</t>
        </is>
      </c>
      <c r="D14" t="inlineStr">
        <is>
          <t>Virtus Health</t>
        </is>
      </c>
      <c r="E14" t="inlineStr">
        <is>
          <t>Registered Nurse</t>
        </is>
      </c>
      <c r="F14" t="inlineStr">
        <is>
          <t>9/16/2019</t>
        </is>
      </c>
      <c r="H14" t="inlineStr">
        <is>
          <t>TIVF2024</t>
        </is>
      </c>
      <c r="I14" t="inlineStr">
        <is>
          <t>TAS</t>
        </is>
      </c>
      <c r="J14" t="inlineStr">
        <is>
          <t>Part Time</t>
        </is>
      </c>
      <c r="K14" s="23" t="inlineStr">
        <is>
          <t>9/16/2019</t>
        </is>
      </c>
      <c r="L14" s="23" t="inlineStr">
        <is>
          <t>9/16/2019</t>
        </is>
      </c>
      <c r="O14" t="n">
        <v>32</v>
      </c>
    </row>
    <row r="15">
      <c r="A15" t="n">
        <v>97</v>
      </c>
      <c r="B15" s="1" t="n"/>
      <c r="C15" t="inlineStr">
        <is>
          <t>VIC-TAS</t>
        </is>
      </c>
      <c r="D15" t="inlineStr">
        <is>
          <t>Virtus Health</t>
        </is>
      </c>
      <c r="E15" t="inlineStr">
        <is>
          <t>Registered Nurse</t>
        </is>
      </c>
      <c r="F15" s="1" t="n">
        <v>44106</v>
      </c>
      <c r="H15" t="inlineStr">
        <is>
          <t>TIVF2024</t>
        </is>
      </c>
      <c r="I15" t="inlineStr">
        <is>
          <t>TAS</t>
        </is>
      </c>
      <c r="J15" t="inlineStr">
        <is>
          <t>Full Time</t>
        </is>
      </c>
      <c r="K15" s="23" t="n">
        <v>44106</v>
      </c>
      <c r="L15" s="23" t="n">
        <v>44106</v>
      </c>
      <c r="O15" t="n">
        <v>37.5</v>
      </c>
    </row>
    <row r="16">
      <c r="A16" t="n">
        <v>99</v>
      </c>
      <c r="B16" s="1" t="n"/>
      <c r="C16" t="inlineStr">
        <is>
          <t>VIC-TAS</t>
        </is>
      </c>
      <c r="D16" t="inlineStr">
        <is>
          <t>Virtus Health</t>
        </is>
      </c>
      <c r="E16" t="inlineStr">
        <is>
          <t>Registered Nurse</t>
        </is>
      </c>
      <c r="F16" s="1" t="n">
        <v>44106</v>
      </c>
      <c r="H16" t="inlineStr">
        <is>
          <t>TIVF2024</t>
        </is>
      </c>
      <c r="I16" t="inlineStr">
        <is>
          <t>TAS</t>
        </is>
      </c>
      <c r="J16" t="inlineStr">
        <is>
          <t>Part Time</t>
        </is>
      </c>
      <c r="K16" s="23" t="n">
        <v>44106</v>
      </c>
      <c r="L16" s="23" t="n">
        <v>44106</v>
      </c>
      <c r="O16" t="n">
        <v>26</v>
      </c>
    </row>
    <row r="17">
      <c r="A17" t="n">
        <v>103</v>
      </c>
      <c r="C17" t="inlineStr">
        <is>
          <t>VIC-TAS</t>
        </is>
      </c>
      <c r="D17" t="inlineStr">
        <is>
          <t>Virtus Health</t>
        </is>
      </c>
      <c r="E17" t="inlineStr">
        <is>
          <t>Donor Coordinator</t>
        </is>
      </c>
      <c r="F17" t="inlineStr">
        <is>
          <t>3/24/2020</t>
        </is>
      </c>
      <c r="H17" t="inlineStr">
        <is>
          <t>TIVF2024</t>
        </is>
      </c>
      <c r="I17" t="inlineStr">
        <is>
          <t>TAS</t>
        </is>
      </c>
      <c r="J17" t="inlineStr">
        <is>
          <t>Part Time</t>
        </is>
      </c>
      <c r="K17" s="23" t="inlineStr">
        <is>
          <t>3/24/2020</t>
        </is>
      </c>
      <c r="L17" s="23" t="inlineStr">
        <is>
          <t>3/24/2020</t>
        </is>
      </c>
      <c r="O17" t="n">
        <v>30</v>
      </c>
    </row>
    <row r="18">
      <c r="A18" t="n">
        <v>105</v>
      </c>
      <c r="B18" s="1" t="n"/>
      <c r="C18" t="inlineStr">
        <is>
          <t>VIC-TAS</t>
        </is>
      </c>
      <c r="D18" t="inlineStr">
        <is>
          <t>Virtus Health</t>
        </is>
      </c>
      <c r="E18" t="inlineStr">
        <is>
          <t>Enrolled Nurse</t>
        </is>
      </c>
      <c r="F18" s="1" t="n">
        <v>44048</v>
      </c>
      <c r="H18" t="inlineStr">
        <is>
          <t>TIVF2024</t>
        </is>
      </c>
      <c r="I18" t="inlineStr">
        <is>
          <t>TAS</t>
        </is>
      </c>
      <c r="J18" t="inlineStr">
        <is>
          <t>Casual</t>
        </is>
      </c>
      <c r="K18" s="23" t="n">
        <v>44048</v>
      </c>
      <c r="L18" s="23" t="n">
        <v>44048</v>
      </c>
      <c r="O18" t="n">
        <v>38</v>
      </c>
    </row>
    <row r="19">
      <c r="A19" t="n">
        <v>107</v>
      </c>
      <c r="C19" t="inlineStr">
        <is>
          <t>VIC-TAS</t>
        </is>
      </c>
      <c r="D19" t="inlineStr">
        <is>
          <t>Virtus Health</t>
        </is>
      </c>
      <c r="E19" t="inlineStr">
        <is>
          <t>Registered Nurse</t>
        </is>
      </c>
      <c r="F19" t="inlineStr">
        <is>
          <t>6/15/2020</t>
        </is>
      </c>
      <c r="H19" t="inlineStr">
        <is>
          <t>TIVF2024</t>
        </is>
      </c>
      <c r="I19" t="inlineStr">
        <is>
          <t>TAS</t>
        </is>
      </c>
      <c r="J19" t="inlineStr">
        <is>
          <t>Part Time</t>
        </is>
      </c>
      <c r="K19" s="23" t="inlineStr">
        <is>
          <t>6/15/2020</t>
        </is>
      </c>
      <c r="L19" s="23" t="inlineStr">
        <is>
          <t>6/15/2020</t>
        </is>
      </c>
      <c r="O19" t="n">
        <v>16</v>
      </c>
    </row>
    <row r="20">
      <c r="A20" t="n">
        <v>109</v>
      </c>
      <c r="B20" s="1" t="n"/>
      <c r="C20" t="inlineStr">
        <is>
          <t>VIC-TAS</t>
        </is>
      </c>
      <c r="D20" t="inlineStr">
        <is>
          <t>Virtus Health</t>
        </is>
      </c>
      <c r="E20" t="inlineStr">
        <is>
          <t>Registered Nurse</t>
        </is>
      </c>
      <c r="F20" s="1" t="n">
        <v>44080</v>
      </c>
      <c r="H20" t="inlineStr">
        <is>
          <t>TIVF2024</t>
        </is>
      </c>
      <c r="I20" t="inlineStr">
        <is>
          <t>TAS</t>
        </is>
      </c>
      <c r="J20" t="inlineStr">
        <is>
          <t>Casual</t>
        </is>
      </c>
      <c r="K20" s="23" t="n">
        <v>44080</v>
      </c>
      <c r="L20" s="23" t="n">
        <v>44080</v>
      </c>
      <c r="O20" t="n">
        <v>38</v>
      </c>
    </row>
    <row r="21">
      <c r="A21" t="n">
        <v>115</v>
      </c>
      <c r="C21" t="inlineStr">
        <is>
          <t>VIC-TAS</t>
        </is>
      </c>
      <c r="D21" t="inlineStr">
        <is>
          <t>Virtus Health</t>
        </is>
      </c>
      <c r="E21" t="inlineStr">
        <is>
          <t>CSSD Theatre Technician</t>
        </is>
      </c>
      <c r="F21" t="inlineStr">
        <is>
          <t>7/20/2020</t>
        </is>
      </c>
      <c r="H21" t="inlineStr">
        <is>
          <t>TIVF2024</t>
        </is>
      </c>
      <c r="I21" t="inlineStr">
        <is>
          <t>TAS</t>
        </is>
      </c>
      <c r="J21" t="inlineStr">
        <is>
          <t>Casual</t>
        </is>
      </c>
      <c r="K21" s="23" t="inlineStr">
        <is>
          <t>7/20/2020</t>
        </is>
      </c>
      <c r="L21" s="23" t="inlineStr">
        <is>
          <t>7/20/2020</t>
        </is>
      </c>
      <c r="O21" t="n">
        <v>38</v>
      </c>
    </row>
    <row r="22">
      <c r="A22" t="n">
        <v>118</v>
      </c>
      <c r="B22" s="1" t="n"/>
      <c r="C22" t="inlineStr">
        <is>
          <t>VIC-TAS</t>
        </is>
      </c>
      <c r="D22" t="inlineStr">
        <is>
          <t>Virtus Health</t>
        </is>
      </c>
      <c r="E22" t="inlineStr">
        <is>
          <t>Registered Nurse</t>
        </is>
      </c>
      <c r="F22" s="1" t="n">
        <v>44021</v>
      </c>
      <c r="H22" t="inlineStr">
        <is>
          <t>TIVF2024</t>
        </is>
      </c>
      <c r="I22" t="inlineStr">
        <is>
          <t>TAS</t>
        </is>
      </c>
      <c r="J22" t="inlineStr">
        <is>
          <t>Part Time</t>
        </is>
      </c>
      <c r="K22" s="23" t="n">
        <v>44021</v>
      </c>
      <c r="L22" s="23" t="n">
        <v>44021</v>
      </c>
      <c r="O22" t="n">
        <v>8</v>
      </c>
    </row>
    <row r="23">
      <c r="A23" t="n">
        <v>119</v>
      </c>
      <c r="C23" t="inlineStr">
        <is>
          <t>VIC-TAS</t>
        </is>
      </c>
      <c r="D23" t="inlineStr">
        <is>
          <t>Virtus Health</t>
        </is>
      </c>
      <c r="E23" t="inlineStr">
        <is>
          <t>Director of Nursing</t>
        </is>
      </c>
      <c r="F23" t="inlineStr">
        <is>
          <t>9/28/2020</t>
        </is>
      </c>
      <c r="H23" t="inlineStr">
        <is>
          <t>TAS</t>
        </is>
      </c>
      <c r="I23" t="inlineStr">
        <is>
          <t>TAS</t>
        </is>
      </c>
      <c r="J23" t="inlineStr">
        <is>
          <t>Full Time</t>
        </is>
      </c>
      <c r="K23" s="23" t="inlineStr">
        <is>
          <t>9/28/2020</t>
        </is>
      </c>
      <c r="L23" s="23" t="inlineStr">
        <is>
          <t>9/28/2020</t>
        </is>
      </c>
      <c r="O23" t="n">
        <v>37.5</v>
      </c>
    </row>
    <row r="24">
      <c r="A24" t="n">
        <v>120</v>
      </c>
      <c r="B24" s="1" t="n"/>
      <c r="C24" t="inlineStr">
        <is>
          <t>VIC-TAS</t>
        </is>
      </c>
      <c r="D24" t="inlineStr">
        <is>
          <t>Virtus Health</t>
        </is>
      </c>
      <c r="E24" t="inlineStr">
        <is>
          <t>Registered Nurse</t>
        </is>
      </c>
      <c r="F24" s="1" t="n">
        <v>43932</v>
      </c>
      <c r="H24" t="inlineStr">
        <is>
          <t>TIVF2024</t>
        </is>
      </c>
      <c r="I24" t="inlineStr">
        <is>
          <t>TAS</t>
        </is>
      </c>
      <c r="J24" t="inlineStr">
        <is>
          <t>Part Time</t>
        </is>
      </c>
      <c r="K24" s="23" t="n">
        <v>43932</v>
      </c>
      <c r="L24" s="23" t="n">
        <v>43932</v>
      </c>
      <c r="O24" t="n">
        <v>20</v>
      </c>
    </row>
    <row r="25">
      <c r="A25" t="n">
        <v>124</v>
      </c>
      <c r="C25" t="inlineStr">
        <is>
          <t>VIC-TAS</t>
        </is>
      </c>
      <c r="D25" t="inlineStr">
        <is>
          <t>Virtus Health</t>
        </is>
      </c>
      <c r="E25" t="inlineStr">
        <is>
          <t>Embryologist</t>
        </is>
      </c>
      <c r="F25" t="inlineStr">
        <is>
          <t>1/23/2006</t>
        </is>
      </c>
      <c r="H25" t="inlineStr">
        <is>
          <t>MIVFS2022</t>
        </is>
      </c>
      <c r="I25" t="inlineStr">
        <is>
          <t>VIC</t>
        </is>
      </c>
      <c r="J25" t="inlineStr">
        <is>
          <t>Part Time</t>
        </is>
      </c>
      <c r="K25" s="23" t="inlineStr">
        <is>
          <t>1/23/2006</t>
        </is>
      </c>
      <c r="L25" s="23" t="inlineStr">
        <is>
          <t>1/23/2006</t>
        </is>
      </c>
      <c r="O25" t="n">
        <v>32</v>
      </c>
    </row>
    <row r="26">
      <c r="A26" t="n">
        <v>125</v>
      </c>
      <c r="B26" s="1" t="n"/>
      <c r="C26" t="inlineStr">
        <is>
          <t>VIC-TAS</t>
        </is>
      </c>
      <c r="D26" t="inlineStr">
        <is>
          <t>Virtus Health</t>
        </is>
      </c>
      <c r="E26" t="inlineStr">
        <is>
          <t>Registered Nurse</t>
        </is>
      </c>
      <c r="F26" s="1" t="n">
        <v>44199</v>
      </c>
      <c r="H26" t="inlineStr">
        <is>
          <t>TIVF2024</t>
        </is>
      </c>
      <c r="I26" t="inlineStr">
        <is>
          <t>TAS</t>
        </is>
      </c>
      <c r="J26" t="inlineStr">
        <is>
          <t>Full Time</t>
        </is>
      </c>
      <c r="K26" s="23" t="n">
        <v>44199</v>
      </c>
      <c r="L26" s="23" t="n">
        <v>44199</v>
      </c>
      <c r="O26" t="n">
        <v>37.5</v>
      </c>
    </row>
    <row r="27">
      <c r="A27" t="n">
        <v>131</v>
      </c>
      <c r="B27" s="1" t="n"/>
      <c r="C27" t="inlineStr">
        <is>
          <t>VIC-TAS</t>
        </is>
      </c>
      <c r="D27" t="inlineStr">
        <is>
          <t>Virtus Health</t>
        </is>
      </c>
      <c r="E27" t="inlineStr">
        <is>
          <t>Registered Nurse</t>
        </is>
      </c>
      <c r="F27" s="1" t="n">
        <v>44204</v>
      </c>
      <c r="H27" t="inlineStr">
        <is>
          <t>TIVF2024</t>
        </is>
      </c>
      <c r="I27" t="inlineStr">
        <is>
          <t>TAS</t>
        </is>
      </c>
      <c r="J27" t="inlineStr">
        <is>
          <t>Part Time</t>
        </is>
      </c>
      <c r="K27" s="23" t="n">
        <v>44204</v>
      </c>
      <c r="L27" s="23" t="n">
        <v>44204</v>
      </c>
      <c r="O27" t="n">
        <v>28</v>
      </c>
    </row>
    <row r="28">
      <c r="A28" t="n">
        <v>136</v>
      </c>
      <c r="B28" s="1" t="n"/>
      <c r="C28" t="inlineStr">
        <is>
          <t>VIC-TAS</t>
        </is>
      </c>
      <c r="D28" t="inlineStr">
        <is>
          <t>Virtus Health</t>
        </is>
      </c>
      <c r="E28" t="inlineStr">
        <is>
          <t>Administration Team Leader</t>
        </is>
      </c>
      <c r="F28" s="1" t="n">
        <v>44387</v>
      </c>
      <c r="H28" t="inlineStr">
        <is>
          <t>TIVF2024</t>
        </is>
      </c>
      <c r="I28" t="inlineStr">
        <is>
          <t>TAS</t>
        </is>
      </c>
      <c r="J28" t="inlineStr">
        <is>
          <t>Full Time</t>
        </is>
      </c>
      <c r="K28" s="23" t="n">
        <v>44387</v>
      </c>
      <c r="L28" s="23" t="n">
        <v>44387</v>
      </c>
      <c r="O28" t="n">
        <v>37.5</v>
      </c>
    </row>
    <row r="29">
      <c r="A29" t="n">
        <v>140</v>
      </c>
      <c r="B29" s="1" t="n"/>
      <c r="C29" t="inlineStr">
        <is>
          <t>VIC-TAS</t>
        </is>
      </c>
      <c r="D29" t="inlineStr">
        <is>
          <t>Virtus Health</t>
        </is>
      </c>
      <c r="E29" t="inlineStr">
        <is>
          <t>Embryologist</t>
        </is>
      </c>
      <c r="F29" s="1" t="n">
        <v>44481</v>
      </c>
      <c r="H29" t="inlineStr">
        <is>
          <t>TIVF2024</t>
        </is>
      </c>
      <c r="I29" t="inlineStr">
        <is>
          <t>TAS</t>
        </is>
      </c>
      <c r="J29" t="inlineStr">
        <is>
          <t>Full Time</t>
        </is>
      </c>
      <c r="K29" s="23" t="n">
        <v>44481</v>
      </c>
      <c r="L29" s="23" t="n">
        <v>44481</v>
      </c>
      <c r="O29" t="n">
        <v>37.5</v>
      </c>
    </row>
    <row r="30">
      <c r="A30" t="n">
        <v>141</v>
      </c>
      <c r="C30" t="inlineStr">
        <is>
          <t>VIC-TAS</t>
        </is>
      </c>
      <c r="D30" t="inlineStr">
        <is>
          <t>Virtus Health</t>
        </is>
      </c>
      <c r="E30" t="inlineStr">
        <is>
          <t>Registered Nurse</t>
        </is>
      </c>
      <c r="F30" t="inlineStr">
        <is>
          <t>11/29/2021</t>
        </is>
      </c>
      <c r="H30" t="inlineStr">
        <is>
          <t>TIVF2024</t>
        </is>
      </c>
      <c r="I30" t="inlineStr">
        <is>
          <t>TAS</t>
        </is>
      </c>
      <c r="J30" t="inlineStr">
        <is>
          <t>Casual</t>
        </is>
      </c>
      <c r="K30" s="23" t="inlineStr">
        <is>
          <t>11/29/2021</t>
        </is>
      </c>
      <c r="L30" s="23" t="inlineStr">
        <is>
          <t>11/29/2021</t>
        </is>
      </c>
      <c r="O30" t="n">
        <v>38</v>
      </c>
    </row>
    <row r="31">
      <c r="A31" t="n">
        <v>143</v>
      </c>
      <c r="B31" s="1" t="n"/>
      <c r="C31" t="inlineStr">
        <is>
          <t>VIC-TAS</t>
        </is>
      </c>
      <c r="D31" t="inlineStr">
        <is>
          <t>Virtus Health</t>
        </is>
      </c>
      <c r="E31" t="inlineStr">
        <is>
          <t>Embryologist</t>
        </is>
      </c>
      <c r="F31" s="1" t="n">
        <v>44866</v>
      </c>
      <c r="H31" t="inlineStr">
        <is>
          <t>TIVF2024</t>
        </is>
      </c>
      <c r="I31" t="inlineStr">
        <is>
          <t>TAS</t>
        </is>
      </c>
      <c r="J31" t="inlineStr">
        <is>
          <t>Part Time</t>
        </is>
      </c>
      <c r="K31" s="23" t="n">
        <v>44866</v>
      </c>
      <c r="L31" s="23" t="n">
        <v>44866</v>
      </c>
      <c r="O31" t="n">
        <v>30</v>
      </c>
    </row>
    <row r="32">
      <c r="A32" t="n">
        <v>147</v>
      </c>
      <c r="C32" t="inlineStr">
        <is>
          <t>VIC-TAS</t>
        </is>
      </c>
      <c r="D32" t="inlineStr">
        <is>
          <t>Virtus Health</t>
        </is>
      </c>
      <c r="E32" t="inlineStr">
        <is>
          <t>Patient Liaison Administrator</t>
        </is>
      </c>
      <c r="F32" t="inlineStr">
        <is>
          <t>3/14/2022</t>
        </is>
      </c>
      <c r="H32" t="inlineStr">
        <is>
          <t>TIVF2024</t>
        </is>
      </c>
      <c r="I32" t="inlineStr">
        <is>
          <t>TAS</t>
        </is>
      </c>
      <c r="J32" t="inlineStr">
        <is>
          <t>Full Time</t>
        </is>
      </c>
      <c r="K32" s="23" t="inlineStr">
        <is>
          <t>3/14/2022</t>
        </is>
      </c>
      <c r="L32" s="23" t="inlineStr">
        <is>
          <t>3/14/2022</t>
        </is>
      </c>
      <c r="O32" t="n">
        <v>37.5</v>
      </c>
    </row>
    <row r="33">
      <c r="A33" t="n">
        <v>148</v>
      </c>
      <c r="C33" t="inlineStr">
        <is>
          <t>VIC-TAS</t>
        </is>
      </c>
      <c r="D33" t="inlineStr">
        <is>
          <t>Virtus Health</t>
        </is>
      </c>
      <c r="E33" t="inlineStr">
        <is>
          <t>Registered Nurse</t>
        </is>
      </c>
      <c r="F33" t="inlineStr">
        <is>
          <t>3/28/2022</t>
        </is>
      </c>
      <c r="H33" t="inlineStr">
        <is>
          <t>TIVF2024</t>
        </is>
      </c>
      <c r="I33" t="inlineStr">
        <is>
          <t>TAS</t>
        </is>
      </c>
      <c r="J33" t="inlineStr">
        <is>
          <t>Part Time</t>
        </is>
      </c>
      <c r="K33" s="23" t="inlineStr">
        <is>
          <t>3/28/2022</t>
        </is>
      </c>
      <c r="L33" s="23" t="inlineStr">
        <is>
          <t>3/28/2022</t>
        </is>
      </c>
      <c r="O33" t="n">
        <v>16</v>
      </c>
    </row>
    <row r="34">
      <c r="A34" t="n">
        <v>153</v>
      </c>
      <c r="B34" s="1" t="n"/>
      <c r="C34" t="inlineStr">
        <is>
          <t>VIC-TAS</t>
        </is>
      </c>
      <c r="D34" t="inlineStr">
        <is>
          <t>Virtus Health</t>
        </is>
      </c>
      <c r="E34" t="inlineStr">
        <is>
          <t>Registered Nurse</t>
        </is>
      </c>
      <c r="F34" s="1" t="n">
        <v>39295</v>
      </c>
      <c r="H34" t="inlineStr">
        <is>
          <t>MIVFN2023</t>
        </is>
      </c>
      <c r="I34" t="inlineStr">
        <is>
          <t>VIC</t>
        </is>
      </c>
      <c r="J34" t="inlineStr">
        <is>
          <t>Part Time</t>
        </is>
      </c>
      <c r="K34" s="23" t="n">
        <v>39295</v>
      </c>
      <c r="L34" s="23" t="n">
        <v>39295</v>
      </c>
      <c r="O34" t="n">
        <v>34.2</v>
      </c>
    </row>
    <row r="35">
      <c r="A35" t="n">
        <v>165</v>
      </c>
      <c r="B35" s="1" t="n"/>
      <c r="C35" t="inlineStr">
        <is>
          <t>VIC-TAS</t>
        </is>
      </c>
      <c r="D35" t="inlineStr">
        <is>
          <t>Virtus Health</t>
        </is>
      </c>
      <c r="E35" t="inlineStr">
        <is>
          <t>Embryologist</t>
        </is>
      </c>
      <c r="F35" s="1" t="n">
        <v>39359</v>
      </c>
      <c r="H35" t="inlineStr">
        <is>
          <t>MIVFS2022</t>
        </is>
      </c>
      <c r="I35" t="inlineStr">
        <is>
          <t>VIC</t>
        </is>
      </c>
      <c r="J35" t="inlineStr">
        <is>
          <t>Full Time</t>
        </is>
      </c>
      <c r="K35" s="23" t="n">
        <v>39359</v>
      </c>
      <c r="L35" s="23" t="n">
        <v>39359</v>
      </c>
      <c r="O35" t="n">
        <v>38</v>
      </c>
    </row>
    <row r="36">
      <c r="A36" t="n">
        <v>198</v>
      </c>
      <c r="B36" s="1" t="n"/>
      <c r="C36" t="inlineStr">
        <is>
          <t>VIC-TAS</t>
        </is>
      </c>
      <c r="D36" t="inlineStr">
        <is>
          <t>Virtus Health</t>
        </is>
      </c>
      <c r="E36" t="inlineStr">
        <is>
          <t>Genetics Senior Scientist</t>
        </is>
      </c>
      <c r="F36" s="1" t="n">
        <v>39367</v>
      </c>
      <c r="H36" t="inlineStr">
        <is>
          <t>MIVFS2022</t>
        </is>
      </c>
      <c r="I36" t="inlineStr">
        <is>
          <t>VIC</t>
        </is>
      </c>
      <c r="J36" t="inlineStr">
        <is>
          <t>Part Time</t>
        </is>
      </c>
      <c r="K36" s="23" t="n">
        <v>39367</v>
      </c>
      <c r="L36" s="23" t="n">
        <v>39367</v>
      </c>
      <c r="O36" t="n">
        <v>22.8</v>
      </c>
    </row>
    <row r="37">
      <c r="A37" t="n">
        <v>214</v>
      </c>
      <c r="B37" s="1" t="n"/>
      <c r="C37" t="inlineStr">
        <is>
          <t>VIC-TAS</t>
        </is>
      </c>
      <c r="D37" t="inlineStr">
        <is>
          <t>Virtus Health</t>
        </is>
      </c>
      <c r="E37" t="inlineStr">
        <is>
          <t>Genetics Senior Scientist</t>
        </is>
      </c>
      <c r="F37" s="1" t="n">
        <v>39484</v>
      </c>
      <c r="H37" t="inlineStr">
        <is>
          <t>MIVFS2022</t>
        </is>
      </c>
      <c r="I37" t="inlineStr">
        <is>
          <t>VIC</t>
        </is>
      </c>
      <c r="J37" t="inlineStr">
        <is>
          <t>Full Time</t>
        </is>
      </c>
      <c r="K37" s="23" t="n">
        <v>39484</v>
      </c>
      <c r="L37" s="23" t="n">
        <v>39484</v>
      </c>
      <c r="O37" t="n">
        <v>38</v>
      </c>
    </row>
    <row r="38">
      <c r="A38" t="n">
        <v>235</v>
      </c>
      <c r="C38" t="inlineStr">
        <is>
          <t>VIC-TAS</t>
        </is>
      </c>
      <c r="D38" t="inlineStr">
        <is>
          <t>Virtus Health</t>
        </is>
      </c>
      <c r="E38" t="inlineStr">
        <is>
          <t>Registered Nurse</t>
        </is>
      </c>
      <c r="F38" t="inlineStr">
        <is>
          <t>8/27/2008</t>
        </is>
      </c>
      <c r="H38" t="inlineStr">
        <is>
          <t>MIVFN2023</t>
        </is>
      </c>
      <c r="I38" t="inlineStr">
        <is>
          <t>VIC</t>
        </is>
      </c>
      <c r="J38" t="inlineStr">
        <is>
          <t>Part Time</t>
        </is>
      </c>
      <c r="K38" s="23" t="inlineStr">
        <is>
          <t>8/27/2008</t>
        </is>
      </c>
      <c r="L38" s="23" t="inlineStr">
        <is>
          <t>8/27/2008</t>
        </is>
      </c>
      <c r="O38" t="n">
        <v>22.8</v>
      </c>
    </row>
    <row r="39">
      <c r="A39" t="n">
        <v>270</v>
      </c>
      <c r="C39" t="inlineStr">
        <is>
          <t>VIC-TAS</t>
        </is>
      </c>
      <c r="D39" t="inlineStr">
        <is>
          <t>Virtus Health</t>
        </is>
      </c>
      <c r="E39" t="inlineStr">
        <is>
          <t>Clinical Research Associate</t>
        </is>
      </c>
      <c r="F39" t="inlineStr">
        <is>
          <t>1/19/2009</t>
        </is>
      </c>
      <c r="H39" t="inlineStr">
        <is>
          <t>MIVFS2022</t>
        </is>
      </c>
      <c r="I39" t="inlineStr">
        <is>
          <t>VIC</t>
        </is>
      </c>
      <c r="J39" t="inlineStr">
        <is>
          <t>Full Time</t>
        </is>
      </c>
      <c r="K39" s="23" t="inlineStr">
        <is>
          <t>1/19/2009</t>
        </is>
      </c>
      <c r="L39" s="23" t="inlineStr">
        <is>
          <t>1/19/2009</t>
        </is>
      </c>
      <c r="O39" t="n">
        <v>38</v>
      </c>
    </row>
    <row r="40">
      <c r="A40" t="n">
        <v>282</v>
      </c>
      <c r="C40" t="inlineStr">
        <is>
          <t>VIC-TAS</t>
        </is>
      </c>
      <c r="D40" t="inlineStr">
        <is>
          <t>Virtus Health</t>
        </is>
      </c>
      <c r="E40" t="inlineStr">
        <is>
          <t>Nurse Unit Manager</t>
        </is>
      </c>
      <c r="F40" t="inlineStr">
        <is>
          <t>5/18/2009</t>
        </is>
      </c>
      <c r="H40" t="inlineStr">
        <is>
          <t>MIVFN2023</t>
        </is>
      </c>
      <c r="I40" t="inlineStr">
        <is>
          <t>VIC</t>
        </is>
      </c>
      <c r="J40" t="inlineStr">
        <is>
          <t>Full Time</t>
        </is>
      </c>
      <c r="K40" s="23" t="inlineStr">
        <is>
          <t>5/18/2009</t>
        </is>
      </c>
      <c r="L40" s="23" t="inlineStr">
        <is>
          <t>5/18/2009</t>
        </is>
      </c>
      <c r="O40" t="n">
        <v>38</v>
      </c>
    </row>
    <row r="41">
      <c r="A41" t="n">
        <v>286</v>
      </c>
      <c r="C41" t="inlineStr">
        <is>
          <t>VIC-TAS</t>
        </is>
      </c>
      <c r="D41" t="inlineStr">
        <is>
          <t>Virtus Health</t>
        </is>
      </c>
      <c r="E41" t="inlineStr">
        <is>
          <t>Embryologist</t>
        </is>
      </c>
      <c r="F41" t="inlineStr">
        <is>
          <t>5/25/2009</t>
        </is>
      </c>
      <c r="H41" t="inlineStr">
        <is>
          <t>MIVFS2022</t>
        </is>
      </c>
      <c r="I41" t="inlineStr">
        <is>
          <t>VIC</t>
        </is>
      </c>
      <c r="J41" t="inlineStr">
        <is>
          <t>Full Time</t>
        </is>
      </c>
      <c r="K41" s="23" t="inlineStr">
        <is>
          <t>5/25/2009</t>
        </is>
      </c>
      <c r="L41" s="23" t="inlineStr">
        <is>
          <t>5/25/2009</t>
        </is>
      </c>
      <c r="O41" t="n">
        <v>38</v>
      </c>
    </row>
    <row r="42">
      <c r="A42" t="n">
        <v>299</v>
      </c>
      <c r="C42" t="inlineStr">
        <is>
          <t>VIC-TAS</t>
        </is>
      </c>
      <c r="D42" t="inlineStr">
        <is>
          <t>Virtus Health</t>
        </is>
      </c>
      <c r="E42" t="inlineStr">
        <is>
          <t>Clinical Research Manager</t>
        </is>
      </c>
      <c r="F42" t="inlineStr">
        <is>
          <t>8/24/2009</t>
        </is>
      </c>
      <c r="H42" t="inlineStr">
        <is>
          <t>MIVFS2022</t>
        </is>
      </c>
      <c r="I42" t="inlineStr">
        <is>
          <t>VIC</t>
        </is>
      </c>
      <c r="J42" t="inlineStr">
        <is>
          <t>Full Time</t>
        </is>
      </c>
      <c r="K42" s="23" t="inlineStr">
        <is>
          <t>8/24/2009</t>
        </is>
      </c>
      <c r="L42" s="23" t="inlineStr">
        <is>
          <t>8/24/2009</t>
        </is>
      </c>
      <c r="O42" t="n">
        <v>38</v>
      </c>
    </row>
    <row r="43">
      <c r="A43" t="n">
        <v>318</v>
      </c>
      <c r="B43" s="1" t="n"/>
      <c r="C43" t="inlineStr">
        <is>
          <t>VIC-TAS</t>
        </is>
      </c>
      <c r="D43" t="inlineStr">
        <is>
          <t>Virtus Health</t>
        </is>
      </c>
      <c r="E43" t="inlineStr">
        <is>
          <t>Embryologist</t>
        </is>
      </c>
      <c r="F43" s="1" t="n">
        <v>39855</v>
      </c>
      <c r="H43" t="inlineStr">
        <is>
          <t>MIVFS2022</t>
        </is>
      </c>
      <c r="I43" t="inlineStr">
        <is>
          <t>VIC</t>
        </is>
      </c>
      <c r="J43" t="inlineStr">
        <is>
          <t>Part Time</t>
        </is>
      </c>
      <c r="K43" s="23" t="n">
        <v>39855</v>
      </c>
      <c r="L43" s="23" t="n">
        <v>39855</v>
      </c>
      <c r="O43" t="n">
        <v>32</v>
      </c>
    </row>
    <row r="44">
      <c r="A44" t="n">
        <v>341</v>
      </c>
      <c r="C44" t="inlineStr">
        <is>
          <t>VIC-TAS</t>
        </is>
      </c>
      <c r="D44" t="inlineStr">
        <is>
          <t>Virtus Health</t>
        </is>
      </c>
      <c r="E44" t="inlineStr">
        <is>
          <t>General Manager - Operations</t>
        </is>
      </c>
      <c r="F44" t="inlineStr">
        <is>
          <t>4/27/2010</t>
        </is>
      </c>
      <c r="H44" t="inlineStr">
        <is>
          <t>VIC</t>
        </is>
      </c>
      <c r="I44" t="inlineStr">
        <is>
          <t>VIC</t>
        </is>
      </c>
      <c r="J44" t="inlineStr">
        <is>
          <t>Full Time</t>
        </is>
      </c>
      <c r="K44" s="23" t="inlineStr">
        <is>
          <t>4/27/2010</t>
        </is>
      </c>
      <c r="L44" s="23" t="inlineStr">
        <is>
          <t>4/27/2010</t>
        </is>
      </c>
      <c r="O44" t="n">
        <v>38</v>
      </c>
    </row>
    <row r="45">
      <c r="A45" t="n">
        <v>342</v>
      </c>
      <c r="C45" t="inlineStr">
        <is>
          <t>VIC-TAS</t>
        </is>
      </c>
      <c r="D45" t="inlineStr">
        <is>
          <t>Virtus Health</t>
        </is>
      </c>
      <c r="E45" t="inlineStr">
        <is>
          <t>Accounts Receivable Administrator</t>
        </is>
      </c>
      <c r="F45" t="inlineStr">
        <is>
          <t>4/19/2010</t>
        </is>
      </c>
      <c r="H45" t="inlineStr">
        <is>
          <t>MIVFS2022</t>
        </is>
      </c>
      <c r="I45" t="inlineStr">
        <is>
          <t>VIC</t>
        </is>
      </c>
      <c r="J45" t="inlineStr">
        <is>
          <t>Full Time</t>
        </is>
      </c>
      <c r="K45" s="23" t="inlineStr">
        <is>
          <t>4/19/2010</t>
        </is>
      </c>
      <c r="L45" s="23" t="inlineStr">
        <is>
          <t>4/19/2010</t>
        </is>
      </c>
      <c r="O45" t="n">
        <v>38</v>
      </c>
    </row>
    <row r="46">
      <c r="A46" t="n">
        <v>368</v>
      </c>
      <c r="B46" s="1" t="n"/>
      <c r="C46" t="inlineStr">
        <is>
          <t>VIC-TAS</t>
        </is>
      </c>
      <c r="D46" t="inlineStr">
        <is>
          <t>Virtus Health</t>
        </is>
      </c>
      <c r="E46" t="inlineStr">
        <is>
          <t xml:space="preserve">CSSD Technician </t>
        </is>
      </c>
      <c r="F46" s="1" t="n">
        <v>40634</v>
      </c>
      <c r="H46" t="inlineStr">
        <is>
          <t>MIVFS2022</t>
        </is>
      </c>
      <c r="I46" t="inlineStr">
        <is>
          <t>VIC</t>
        </is>
      </c>
      <c r="J46" t="inlineStr">
        <is>
          <t>Full Time</t>
        </is>
      </c>
      <c r="K46" s="23" t="n">
        <v>40634</v>
      </c>
      <c r="L46" s="23" t="n">
        <v>40634</v>
      </c>
      <c r="O46" t="n">
        <v>38</v>
      </c>
    </row>
    <row r="47">
      <c r="A47" t="n">
        <v>406</v>
      </c>
      <c r="B47" s="1" t="n"/>
      <c r="C47" t="inlineStr">
        <is>
          <t>VIC-TAS</t>
        </is>
      </c>
      <c r="D47" t="inlineStr">
        <is>
          <t>Virtus Health</t>
        </is>
      </c>
      <c r="E47" t="inlineStr">
        <is>
          <t>Embryologist</t>
        </is>
      </c>
      <c r="F47" s="1" t="n">
        <v>40851</v>
      </c>
      <c r="H47" t="inlineStr">
        <is>
          <t>MIVFS2022</t>
        </is>
      </c>
      <c r="I47" t="inlineStr">
        <is>
          <t>VIC</t>
        </is>
      </c>
      <c r="J47" t="inlineStr">
        <is>
          <t>Full Time</t>
        </is>
      </c>
      <c r="K47" s="23" t="n">
        <v>40851</v>
      </c>
      <c r="L47" s="23" t="n">
        <v>40851</v>
      </c>
      <c r="O47" t="n">
        <v>38</v>
      </c>
    </row>
    <row r="48">
      <c r="A48" t="n">
        <v>440</v>
      </c>
      <c r="C48" t="inlineStr">
        <is>
          <t>VIC-TAS</t>
        </is>
      </c>
      <c r="D48" t="inlineStr">
        <is>
          <t>Virtus Health</t>
        </is>
      </c>
      <c r="E48" t="inlineStr">
        <is>
          <t>Registered Nurse</t>
        </is>
      </c>
      <c r="F48" t="inlineStr">
        <is>
          <t>7/27/2011</t>
        </is>
      </c>
      <c r="H48" t="inlineStr">
        <is>
          <t>MIVFN2023</t>
        </is>
      </c>
      <c r="I48" t="inlineStr">
        <is>
          <t>VIC</t>
        </is>
      </c>
      <c r="J48" t="inlineStr">
        <is>
          <t>Part Time</t>
        </is>
      </c>
      <c r="K48" s="23" t="inlineStr">
        <is>
          <t>7/27/2011</t>
        </is>
      </c>
      <c r="L48" s="23" t="inlineStr">
        <is>
          <t>7/27/2011</t>
        </is>
      </c>
      <c r="O48" t="n">
        <v>16</v>
      </c>
    </row>
    <row r="49">
      <c r="A49" t="n">
        <v>442</v>
      </c>
      <c r="B49" s="1" t="n"/>
      <c r="C49" t="inlineStr">
        <is>
          <t>VIC-TAS</t>
        </is>
      </c>
      <c r="D49" t="inlineStr">
        <is>
          <t>Virtus Health</t>
        </is>
      </c>
      <c r="E49" t="inlineStr">
        <is>
          <t>Registered Nurse</t>
        </is>
      </c>
      <c r="F49" s="1" t="n">
        <v>40763</v>
      </c>
      <c r="H49" t="inlineStr">
        <is>
          <t>MIVFN2023</t>
        </is>
      </c>
      <c r="I49" t="inlineStr">
        <is>
          <t>VIC</t>
        </is>
      </c>
      <c r="J49" t="inlineStr">
        <is>
          <t>Part Time</t>
        </is>
      </c>
      <c r="K49" s="23" t="n">
        <v>40763</v>
      </c>
      <c r="L49" s="23" t="n">
        <v>40763</v>
      </c>
      <c r="O49" t="n">
        <v>8</v>
      </c>
    </row>
    <row r="50">
      <c r="A50" t="n">
        <v>455</v>
      </c>
      <c r="B50" s="1" t="n"/>
      <c r="C50" t="inlineStr">
        <is>
          <t>VIC-TAS</t>
        </is>
      </c>
      <c r="D50" t="inlineStr">
        <is>
          <t>Virtus Health</t>
        </is>
      </c>
      <c r="E50" t="inlineStr">
        <is>
          <t>Embryologist</t>
        </is>
      </c>
      <c r="F50" s="1" t="n">
        <v>40886</v>
      </c>
      <c r="H50" t="inlineStr">
        <is>
          <t>MIVFS2022</t>
        </is>
      </c>
      <c r="I50" t="inlineStr">
        <is>
          <t>VIC</t>
        </is>
      </c>
      <c r="J50" t="inlineStr">
        <is>
          <t>Full Time</t>
        </is>
      </c>
      <c r="K50" s="23" t="n">
        <v>40886</v>
      </c>
      <c r="L50" s="23" t="n">
        <v>40886</v>
      </c>
      <c r="O50" t="n">
        <v>38</v>
      </c>
    </row>
    <row r="51">
      <c r="A51" t="n">
        <v>512</v>
      </c>
      <c r="B51" s="1" t="n"/>
      <c r="C51" t="inlineStr">
        <is>
          <t>VIC-TAS</t>
        </is>
      </c>
      <c r="D51" t="inlineStr">
        <is>
          <t>Virtus Health</t>
        </is>
      </c>
      <c r="E51" t="inlineStr">
        <is>
          <t>IVF Laboratory Manager</t>
        </is>
      </c>
      <c r="F51" s="1" t="n">
        <v>40943</v>
      </c>
      <c r="H51" t="inlineStr">
        <is>
          <t>MIVFS2022</t>
        </is>
      </c>
      <c r="I51" t="inlineStr">
        <is>
          <t>VIC</t>
        </is>
      </c>
      <c r="J51" t="inlineStr">
        <is>
          <t>Full Time</t>
        </is>
      </c>
      <c r="K51" s="23" t="n">
        <v>40943</v>
      </c>
      <c r="L51" s="23" t="n">
        <v>40943</v>
      </c>
      <c r="O51" t="n">
        <v>38</v>
      </c>
    </row>
    <row r="52">
      <c r="A52" t="n">
        <v>521</v>
      </c>
      <c r="C52" t="inlineStr">
        <is>
          <t>VIC-TAS</t>
        </is>
      </c>
      <c r="D52" t="inlineStr">
        <is>
          <t>Virtus Health</t>
        </is>
      </c>
      <c r="E52" t="inlineStr">
        <is>
          <t>Accounts Receivable Administrator</t>
        </is>
      </c>
      <c r="F52" t="inlineStr">
        <is>
          <t>4/16/2012</t>
        </is>
      </c>
      <c r="H52" t="inlineStr">
        <is>
          <t>MIVFS2022</t>
        </is>
      </c>
      <c r="I52" t="inlineStr">
        <is>
          <t>VIC</t>
        </is>
      </c>
      <c r="J52" t="inlineStr">
        <is>
          <t>Full Time</t>
        </is>
      </c>
      <c r="K52" s="23" t="inlineStr">
        <is>
          <t>4/16/2012</t>
        </is>
      </c>
      <c r="L52" s="23" t="inlineStr">
        <is>
          <t>4/16/2012</t>
        </is>
      </c>
      <c r="O52" t="n">
        <v>38</v>
      </c>
    </row>
    <row r="53">
      <c r="A53" t="n">
        <v>529</v>
      </c>
      <c r="C53" t="inlineStr">
        <is>
          <t>VIC-TAS</t>
        </is>
      </c>
      <c r="D53" t="inlineStr">
        <is>
          <t>Virtus Health</t>
        </is>
      </c>
      <c r="E53" t="inlineStr">
        <is>
          <t>Registered Nurse</t>
        </is>
      </c>
      <c r="F53" t="inlineStr">
        <is>
          <t>5/14/2012</t>
        </is>
      </c>
      <c r="H53" t="inlineStr">
        <is>
          <t>MIVFN2023</t>
        </is>
      </c>
      <c r="I53" t="inlineStr">
        <is>
          <t>VIC</t>
        </is>
      </c>
      <c r="J53" t="inlineStr">
        <is>
          <t>Casual</t>
        </is>
      </c>
      <c r="K53" s="23" t="inlineStr">
        <is>
          <t>5/14/2012</t>
        </is>
      </c>
      <c r="L53" s="23" t="inlineStr">
        <is>
          <t>5/14/2012</t>
        </is>
      </c>
      <c r="O53" t="n">
        <v>38</v>
      </c>
    </row>
    <row r="54">
      <c r="A54" t="n">
        <v>549</v>
      </c>
      <c r="C54" t="inlineStr">
        <is>
          <t>VIC-TAS</t>
        </is>
      </c>
      <c r="D54" t="inlineStr">
        <is>
          <t>Virtus Health</t>
        </is>
      </c>
      <c r="E54" t="inlineStr">
        <is>
          <t>Counsellling Administrator</t>
        </is>
      </c>
      <c r="F54" t="inlineStr">
        <is>
          <t>6/20/2012</t>
        </is>
      </c>
      <c r="H54" t="inlineStr">
        <is>
          <t>MIVFS2022</t>
        </is>
      </c>
      <c r="I54" t="inlineStr">
        <is>
          <t>VIC</t>
        </is>
      </c>
      <c r="J54" t="inlineStr">
        <is>
          <t>Part Time</t>
        </is>
      </c>
      <c r="K54" s="23" t="inlineStr">
        <is>
          <t>6/20/2012</t>
        </is>
      </c>
      <c r="L54" s="23" t="inlineStr">
        <is>
          <t>6/20/2012</t>
        </is>
      </c>
      <c r="O54" t="n">
        <v>34.2</v>
      </c>
    </row>
    <row r="55">
      <c r="A55" t="n">
        <v>609</v>
      </c>
      <c r="C55" t="inlineStr">
        <is>
          <t>VIC-TAS</t>
        </is>
      </c>
      <c r="D55" t="inlineStr">
        <is>
          <t>Virtus Health</t>
        </is>
      </c>
      <c r="E55" t="inlineStr">
        <is>
          <t>Receptionist</t>
        </is>
      </c>
      <c r="F55" t="inlineStr">
        <is>
          <t>8/20/2012</t>
        </is>
      </c>
      <c r="H55" t="inlineStr">
        <is>
          <t>MIVFS2022</t>
        </is>
      </c>
      <c r="I55" t="inlineStr">
        <is>
          <t>VIC</t>
        </is>
      </c>
      <c r="J55" t="inlineStr">
        <is>
          <t>Full Time</t>
        </is>
      </c>
      <c r="K55" s="23" t="inlineStr">
        <is>
          <t>8/20/2012</t>
        </is>
      </c>
      <c r="L55" s="23" t="inlineStr">
        <is>
          <t>8/20/2012</t>
        </is>
      </c>
      <c r="O55" t="n">
        <v>38</v>
      </c>
    </row>
    <row r="56">
      <c r="A56" t="n">
        <v>700</v>
      </c>
      <c r="B56" s="1" t="n"/>
      <c r="C56" t="inlineStr">
        <is>
          <t>VIC-TAS</t>
        </is>
      </c>
      <c r="D56" t="inlineStr">
        <is>
          <t>Virtus Health</t>
        </is>
      </c>
      <c r="E56" t="inlineStr">
        <is>
          <t>Andrologist</t>
        </is>
      </c>
      <c r="F56" s="1" t="n">
        <v>40918</v>
      </c>
      <c r="H56" t="inlineStr">
        <is>
          <t>MIVFS2022</t>
        </is>
      </c>
      <c r="I56" t="inlineStr">
        <is>
          <t>VIC</t>
        </is>
      </c>
      <c r="J56" t="inlineStr">
        <is>
          <t>Part Time</t>
        </is>
      </c>
      <c r="K56" s="23" t="n">
        <v>40918</v>
      </c>
      <c r="L56" s="23" t="n">
        <v>40918</v>
      </c>
      <c r="O56" t="n">
        <v>30.4</v>
      </c>
    </row>
    <row r="57">
      <c r="A57" t="n">
        <v>721</v>
      </c>
      <c r="C57" t="inlineStr">
        <is>
          <t>VIC-TAS</t>
        </is>
      </c>
      <c r="D57" t="inlineStr">
        <is>
          <t>Virtus Health</t>
        </is>
      </c>
      <c r="E57" t="inlineStr">
        <is>
          <t>Registered Nurse</t>
        </is>
      </c>
      <c r="F57" t="inlineStr">
        <is>
          <t>1/21/2013</t>
        </is>
      </c>
      <c r="H57" t="inlineStr">
        <is>
          <t>MIVFN2023</t>
        </is>
      </c>
      <c r="I57" t="inlineStr">
        <is>
          <t>VIC</t>
        </is>
      </c>
      <c r="J57" t="inlineStr">
        <is>
          <t>Part Time</t>
        </is>
      </c>
      <c r="K57" s="23" t="inlineStr">
        <is>
          <t>1/21/2013</t>
        </is>
      </c>
      <c r="L57" s="23" t="inlineStr">
        <is>
          <t>1/21/2013</t>
        </is>
      </c>
      <c r="O57" t="n">
        <v>26.6</v>
      </c>
    </row>
    <row r="58">
      <c r="A58" t="n">
        <v>722</v>
      </c>
      <c r="C58" t="inlineStr">
        <is>
          <t>VIC-TAS</t>
        </is>
      </c>
      <c r="D58" t="inlineStr">
        <is>
          <t>Virtus Health</t>
        </is>
      </c>
      <c r="E58" t="inlineStr">
        <is>
          <t>Accounts Receivable Administrator</t>
        </is>
      </c>
      <c r="F58" t="inlineStr">
        <is>
          <t>1/24/2013</t>
        </is>
      </c>
      <c r="H58" t="inlineStr">
        <is>
          <t>MIVFS2022</t>
        </is>
      </c>
      <c r="I58" t="inlineStr">
        <is>
          <t>VIC</t>
        </is>
      </c>
      <c r="J58" t="inlineStr">
        <is>
          <t>Part Time</t>
        </is>
      </c>
      <c r="K58" s="23" t="inlineStr">
        <is>
          <t>1/24/2013</t>
        </is>
      </c>
      <c r="L58" s="23" t="inlineStr">
        <is>
          <t>1/24/2013</t>
        </is>
      </c>
      <c r="O58" t="n">
        <v>15.2</v>
      </c>
    </row>
    <row r="59">
      <c r="A59" t="n">
        <v>725</v>
      </c>
      <c r="C59" t="inlineStr">
        <is>
          <t>VIC-TAS</t>
        </is>
      </c>
      <c r="D59" t="inlineStr">
        <is>
          <t>Virtus Health</t>
        </is>
      </c>
      <c r="E59" t="inlineStr">
        <is>
          <t>Pathalogy Scientist</t>
        </is>
      </c>
      <c r="F59" t="inlineStr">
        <is>
          <t>2/27/2013</t>
        </is>
      </c>
      <c r="H59" t="inlineStr">
        <is>
          <t>MIVFS2022</t>
        </is>
      </c>
      <c r="I59" t="inlineStr">
        <is>
          <t>VIC</t>
        </is>
      </c>
      <c r="J59" t="inlineStr">
        <is>
          <t>Full Time</t>
        </is>
      </c>
      <c r="K59" s="23" t="inlineStr">
        <is>
          <t>2/27/2013</t>
        </is>
      </c>
      <c r="L59" s="23" t="inlineStr">
        <is>
          <t>2/27/2013</t>
        </is>
      </c>
      <c r="O59" t="n">
        <v>38</v>
      </c>
    </row>
    <row r="60">
      <c r="A60" t="n">
        <v>726</v>
      </c>
      <c r="C60" t="inlineStr">
        <is>
          <t>VIC-TAS</t>
        </is>
      </c>
      <c r="D60" t="inlineStr">
        <is>
          <t>Virtus Health</t>
        </is>
      </c>
      <c r="E60" t="inlineStr">
        <is>
          <t>Pathology Laboratory Technician</t>
        </is>
      </c>
      <c r="F60" t="inlineStr">
        <is>
          <t>2/27/2013</t>
        </is>
      </c>
      <c r="H60" t="inlineStr">
        <is>
          <t>IVFS2023</t>
        </is>
      </c>
      <c r="I60" t="inlineStr">
        <is>
          <t>VIC</t>
        </is>
      </c>
      <c r="J60" t="inlineStr">
        <is>
          <t>Full Time</t>
        </is>
      </c>
      <c r="K60" s="23" t="inlineStr">
        <is>
          <t>2/27/2013</t>
        </is>
      </c>
      <c r="L60" s="23" t="inlineStr">
        <is>
          <t>2/27/2013</t>
        </is>
      </c>
      <c r="O60" t="n">
        <v>38</v>
      </c>
    </row>
    <row r="61">
      <c r="A61" t="n">
        <v>746</v>
      </c>
      <c r="C61" t="inlineStr">
        <is>
          <t>VIC-TAS</t>
        </is>
      </c>
      <c r="D61" t="inlineStr">
        <is>
          <t>Virtus Health</t>
        </is>
      </c>
      <c r="E61" t="inlineStr">
        <is>
          <t>Genetic Counsellor</t>
        </is>
      </c>
      <c r="F61" t="inlineStr">
        <is>
          <t>5/22/2013</t>
        </is>
      </c>
      <c r="H61" t="inlineStr">
        <is>
          <t>MIVFC2021</t>
        </is>
      </c>
      <c r="I61" t="inlineStr">
        <is>
          <t>VIC</t>
        </is>
      </c>
      <c r="J61" t="inlineStr">
        <is>
          <t>Part Time</t>
        </is>
      </c>
      <c r="K61" s="23" t="inlineStr">
        <is>
          <t>5/22/2013</t>
        </is>
      </c>
      <c r="L61" s="23" t="inlineStr">
        <is>
          <t>5/22/2013</t>
        </is>
      </c>
      <c r="O61" t="n">
        <v>15.2</v>
      </c>
    </row>
    <row r="62">
      <c r="A62" t="n">
        <v>771</v>
      </c>
      <c r="C62" t="inlineStr">
        <is>
          <t>VIC-TAS</t>
        </is>
      </c>
      <c r="D62" t="inlineStr">
        <is>
          <t>Virtus Health</t>
        </is>
      </c>
      <c r="E62" t="inlineStr">
        <is>
          <t>Patient Liaison Administrator</t>
        </is>
      </c>
      <c r="F62" t="inlineStr">
        <is>
          <t>8/26/2013</t>
        </is>
      </c>
      <c r="H62" t="inlineStr">
        <is>
          <t>MIVFS2022</t>
        </is>
      </c>
      <c r="I62" t="inlineStr">
        <is>
          <t>VIC</t>
        </is>
      </c>
      <c r="J62" t="inlineStr">
        <is>
          <t>Part Time</t>
        </is>
      </c>
      <c r="K62" s="23" t="inlineStr">
        <is>
          <t>8/26/2013</t>
        </is>
      </c>
      <c r="L62" s="23" t="inlineStr">
        <is>
          <t>8/26/2013</t>
        </is>
      </c>
      <c r="O62" t="n">
        <v>22.8</v>
      </c>
    </row>
    <row r="63">
      <c r="A63" t="n">
        <v>786</v>
      </c>
      <c r="B63" s="1" t="n"/>
      <c r="C63" t="inlineStr">
        <is>
          <t>VIC-TAS</t>
        </is>
      </c>
      <c r="D63" t="inlineStr">
        <is>
          <t>Virtus Health</t>
        </is>
      </c>
      <c r="E63" t="inlineStr">
        <is>
          <t>Registered Nurse</t>
        </is>
      </c>
      <c r="F63" s="1" t="n">
        <v>41589</v>
      </c>
      <c r="H63" t="inlineStr">
        <is>
          <t>MIVFN2023</t>
        </is>
      </c>
      <c r="I63" t="inlineStr">
        <is>
          <t>VIC</t>
        </is>
      </c>
      <c r="J63" t="inlineStr">
        <is>
          <t>Part Time</t>
        </is>
      </c>
      <c r="K63" s="23" t="n">
        <v>41589</v>
      </c>
      <c r="L63" s="23" t="n">
        <v>41589</v>
      </c>
      <c r="O63" t="n">
        <v>19</v>
      </c>
    </row>
    <row r="64">
      <c r="A64" t="n">
        <v>796</v>
      </c>
      <c r="B64" s="1" t="n"/>
      <c r="C64" t="inlineStr">
        <is>
          <t>VIC-TAS</t>
        </is>
      </c>
      <c r="D64" t="inlineStr">
        <is>
          <t>Virtus Health</t>
        </is>
      </c>
      <c r="E64" t="inlineStr">
        <is>
          <t>Embryologist</t>
        </is>
      </c>
      <c r="F64" s="1" t="n">
        <v>41791</v>
      </c>
      <c r="H64" t="inlineStr">
        <is>
          <t>MIVFS2022</t>
        </is>
      </c>
      <c r="I64" t="inlineStr">
        <is>
          <t>VIC</t>
        </is>
      </c>
      <c r="J64" t="inlineStr">
        <is>
          <t>Part Time</t>
        </is>
      </c>
      <c r="K64" s="23" t="n">
        <v>41791</v>
      </c>
      <c r="L64" s="23" t="n">
        <v>41791</v>
      </c>
      <c r="O64" t="n">
        <v>30.4</v>
      </c>
    </row>
    <row r="65">
      <c r="A65" t="n">
        <v>801</v>
      </c>
      <c r="C65" t="inlineStr">
        <is>
          <t>VIC-TAS</t>
        </is>
      </c>
      <c r="D65" t="inlineStr">
        <is>
          <t>Virtus Health</t>
        </is>
      </c>
      <c r="E65" t="inlineStr">
        <is>
          <t>Counsellor</t>
        </is>
      </c>
      <c r="F65" t="inlineStr">
        <is>
          <t>1/28/2014</t>
        </is>
      </c>
      <c r="H65" t="inlineStr">
        <is>
          <t>MIVFC2021</t>
        </is>
      </c>
      <c r="I65" t="inlineStr">
        <is>
          <t>VIC</t>
        </is>
      </c>
      <c r="J65" t="inlineStr">
        <is>
          <t>Part Time</t>
        </is>
      </c>
      <c r="K65" s="23" t="inlineStr">
        <is>
          <t>1/28/2014</t>
        </is>
      </c>
      <c r="L65" s="23" t="inlineStr">
        <is>
          <t>1/28/2014</t>
        </is>
      </c>
      <c r="O65" t="n">
        <v>30.4</v>
      </c>
    </row>
    <row r="66">
      <c r="A66" t="n">
        <v>802</v>
      </c>
      <c r="C66" t="inlineStr">
        <is>
          <t>VIC-TAS</t>
        </is>
      </c>
      <c r="D66" t="inlineStr">
        <is>
          <t>Virtus Health</t>
        </is>
      </c>
      <c r="E66" t="inlineStr">
        <is>
          <t>Counsellor</t>
        </is>
      </c>
      <c r="F66" t="inlineStr">
        <is>
          <t>1/28/2014</t>
        </is>
      </c>
      <c r="H66" t="inlineStr">
        <is>
          <t>MIVFC2021</t>
        </is>
      </c>
      <c r="I66" t="inlineStr">
        <is>
          <t>VIC</t>
        </is>
      </c>
      <c r="J66" t="inlineStr">
        <is>
          <t>Part Time</t>
        </is>
      </c>
      <c r="K66" s="23" t="inlineStr">
        <is>
          <t>1/28/2014</t>
        </is>
      </c>
      <c r="L66" s="23" t="inlineStr">
        <is>
          <t>1/28/2014</t>
        </is>
      </c>
      <c r="O66" t="n">
        <v>15.2</v>
      </c>
    </row>
    <row r="67">
      <c r="A67" t="n">
        <v>838</v>
      </c>
      <c r="B67" s="1" t="n"/>
      <c r="C67" t="inlineStr">
        <is>
          <t>VIC-TAS</t>
        </is>
      </c>
      <c r="D67" t="inlineStr">
        <is>
          <t>Virtus Health</t>
        </is>
      </c>
      <c r="E67" t="inlineStr">
        <is>
          <t>Andrology Laboratory Manager</t>
        </is>
      </c>
      <c r="F67" s="1" t="n">
        <v>41918</v>
      </c>
      <c r="H67" t="inlineStr">
        <is>
          <t>MIVFS2022</t>
        </is>
      </c>
      <c r="I67" t="inlineStr">
        <is>
          <t>VIC</t>
        </is>
      </c>
      <c r="J67" t="inlineStr">
        <is>
          <t>Full Time</t>
        </is>
      </c>
      <c r="K67" s="23" t="n">
        <v>41918</v>
      </c>
      <c r="L67" s="23" t="n">
        <v>41918</v>
      </c>
      <c r="O67" t="n">
        <v>38</v>
      </c>
    </row>
    <row r="68">
      <c r="A68" t="n">
        <v>846</v>
      </c>
      <c r="B68" s="1" t="n"/>
      <c r="C68" t="inlineStr">
        <is>
          <t>VIC-TAS</t>
        </is>
      </c>
      <c r="D68" t="inlineStr">
        <is>
          <t>Virtus Health</t>
        </is>
      </c>
      <c r="E68" t="inlineStr">
        <is>
          <t>Customer Service Consultant</t>
        </is>
      </c>
      <c r="F68" s="1" t="n">
        <v>41889</v>
      </c>
      <c r="H68" t="inlineStr">
        <is>
          <t>MIVFS2022</t>
        </is>
      </c>
      <c r="I68" t="inlineStr">
        <is>
          <t>VIC</t>
        </is>
      </c>
      <c r="J68" t="inlineStr">
        <is>
          <t>Full Time</t>
        </is>
      </c>
      <c r="K68" s="23" t="n">
        <v>41889</v>
      </c>
      <c r="L68" s="23" t="n">
        <v>41889</v>
      </c>
      <c r="O68" t="n">
        <v>38</v>
      </c>
    </row>
    <row r="69">
      <c r="A69" t="n">
        <v>857</v>
      </c>
      <c r="B69" s="1" t="n"/>
      <c r="C69" t="inlineStr">
        <is>
          <t>VIC-TAS</t>
        </is>
      </c>
      <c r="D69" t="inlineStr">
        <is>
          <t>Virtus Health</t>
        </is>
      </c>
      <c r="E69" t="inlineStr">
        <is>
          <t>Embryologist</t>
        </is>
      </c>
      <c r="F69" s="1" t="n">
        <v>41981</v>
      </c>
      <c r="H69" t="inlineStr">
        <is>
          <t>MIVFS2022</t>
        </is>
      </c>
      <c r="I69" t="inlineStr">
        <is>
          <t>VIC</t>
        </is>
      </c>
      <c r="J69" t="inlineStr">
        <is>
          <t>Full Time</t>
        </is>
      </c>
      <c r="K69" s="23" t="n">
        <v>41981</v>
      </c>
      <c r="L69" s="23" t="n">
        <v>41981</v>
      </c>
      <c r="O69" t="n">
        <v>38</v>
      </c>
    </row>
    <row r="70">
      <c r="A70" t="n">
        <v>862</v>
      </c>
      <c r="C70" t="inlineStr">
        <is>
          <t>VIC-TAS</t>
        </is>
      </c>
      <c r="D70" t="inlineStr">
        <is>
          <t>Virtus Health</t>
        </is>
      </c>
      <c r="E70" t="inlineStr">
        <is>
          <t>IVF Laboratory Supervisor - Templestowe</t>
        </is>
      </c>
      <c r="F70" t="inlineStr">
        <is>
          <t>9/15/2014</t>
        </is>
      </c>
      <c r="H70" t="inlineStr">
        <is>
          <t>MIVFS2022</t>
        </is>
      </c>
      <c r="I70" t="inlineStr">
        <is>
          <t>VIC</t>
        </is>
      </c>
      <c r="J70" t="inlineStr">
        <is>
          <t>Full Time</t>
        </is>
      </c>
      <c r="K70" s="23" t="inlineStr">
        <is>
          <t>9/15/2014</t>
        </is>
      </c>
      <c r="L70" s="23" t="inlineStr">
        <is>
          <t>9/15/2014</t>
        </is>
      </c>
      <c r="O70" t="n">
        <v>38</v>
      </c>
    </row>
    <row r="71">
      <c r="A71" t="n">
        <v>869</v>
      </c>
      <c r="B71" s="1" t="n"/>
      <c r="C71" t="inlineStr">
        <is>
          <t>VIC-TAS</t>
        </is>
      </c>
      <c r="D71" t="inlineStr">
        <is>
          <t>Virtus Health</t>
        </is>
      </c>
      <c r="E71" t="inlineStr">
        <is>
          <t>Andrologist</t>
        </is>
      </c>
      <c r="F71" s="1" t="n">
        <v>41861</v>
      </c>
      <c r="H71" t="inlineStr">
        <is>
          <t>MIVFS2022</t>
        </is>
      </c>
      <c r="I71" t="inlineStr">
        <is>
          <t>VIC</t>
        </is>
      </c>
      <c r="J71" t="inlineStr">
        <is>
          <t>Part Time</t>
        </is>
      </c>
      <c r="K71" s="23" t="n">
        <v>41861</v>
      </c>
      <c r="L71" s="23" t="n">
        <v>41861</v>
      </c>
      <c r="O71" t="n">
        <v>30.4</v>
      </c>
    </row>
    <row r="72">
      <c r="A72" t="n">
        <v>873</v>
      </c>
      <c r="C72" t="inlineStr">
        <is>
          <t>VIC-TAS</t>
        </is>
      </c>
      <c r="D72" t="inlineStr">
        <is>
          <t>Virtus Health</t>
        </is>
      </c>
      <c r="E72" t="inlineStr">
        <is>
          <t>Andrologist</t>
        </is>
      </c>
      <c r="F72" t="inlineStr">
        <is>
          <t>12/18/2014</t>
        </is>
      </c>
      <c r="H72" t="inlineStr">
        <is>
          <t>MIVFS2022</t>
        </is>
      </c>
      <c r="I72" t="inlineStr">
        <is>
          <t>VIC</t>
        </is>
      </c>
      <c r="J72" t="inlineStr">
        <is>
          <t>Part Time</t>
        </is>
      </c>
      <c r="K72" s="23" t="inlineStr">
        <is>
          <t>12/18/2014</t>
        </is>
      </c>
      <c r="L72" s="23" t="inlineStr">
        <is>
          <t>12/18/2014</t>
        </is>
      </c>
      <c r="O72" t="n">
        <v>22.8</v>
      </c>
    </row>
    <row r="73">
      <c r="A73" t="n">
        <v>888</v>
      </c>
      <c r="B73" s="1" t="n"/>
      <c r="C73" t="inlineStr">
        <is>
          <t>VIC-TAS</t>
        </is>
      </c>
      <c r="D73" t="inlineStr">
        <is>
          <t>Virtus Health</t>
        </is>
      </c>
      <c r="E73" t="inlineStr">
        <is>
          <t>Quality Assurance Embryologist</t>
        </is>
      </c>
      <c r="F73" s="1" t="n">
        <v>42313</v>
      </c>
      <c r="H73" t="inlineStr">
        <is>
          <t>MIVFS2022</t>
        </is>
      </c>
      <c r="I73" t="inlineStr">
        <is>
          <t>VIC</t>
        </is>
      </c>
      <c r="J73" t="inlineStr">
        <is>
          <t>Full Time</t>
        </is>
      </c>
      <c r="K73" s="23" t="n">
        <v>42313</v>
      </c>
      <c r="L73" s="23" t="n">
        <v>42313</v>
      </c>
      <c r="O73" t="n">
        <v>38</v>
      </c>
    </row>
    <row r="74">
      <c r="A74" t="n">
        <v>901</v>
      </c>
      <c r="C74" t="inlineStr">
        <is>
          <t>VIC-TAS</t>
        </is>
      </c>
      <c r="D74" t="inlineStr">
        <is>
          <t>Virtus Health</t>
        </is>
      </c>
      <c r="E74" t="inlineStr">
        <is>
          <t>Phlebotomist</t>
        </is>
      </c>
      <c r="F74" t="inlineStr">
        <is>
          <t>10/26/2015</t>
        </is>
      </c>
      <c r="H74" t="inlineStr">
        <is>
          <t>IVFS2023</t>
        </is>
      </c>
      <c r="I74" t="inlineStr">
        <is>
          <t>VIC</t>
        </is>
      </c>
      <c r="J74" t="inlineStr">
        <is>
          <t>Part Time</t>
        </is>
      </c>
      <c r="K74" s="23" t="inlineStr">
        <is>
          <t>10/26/2015</t>
        </is>
      </c>
      <c r="L74" s="23" t="inlineStr">
        <is>
          <t>10/26/2015</t>
        </is>
      </c>
      <c r="O74" t="n">
        <v>22.8</v>
      </c>
    </row>
    <row r="75">
      <c r="A75" t="n">
        <v>910</v>
      </c>
      <c r="C75" t="inlineStr">
        <is>
          <t>VIC-TAS</t>
        </is>
      </c>
      <c r="D75" t="inlineStr">
        <is>
          <t>Virtus Health</t>
        </is>
      </c>
      <c r="E75" t="inlineStr">
        <is>
          <t>Enrolled Nurse</t>
        </is>
      </c>
      <c r="F75" t="inlineStr">
        <is>
          <t>11/30/2015</t>
        </is>
      </c>
      <c r="H75" t="inlineStr">
        <is>
          <t>MIVFN2023</t>
        </is>
      </c>
      <c r="I75" t="inlineStr">
        <is>
          <t>VIC</t>
        </is>
      </c>
      <c r="J75" t="inlineStr">
        <is>
          <t>Part Time</t>
        </is>
      </c>
      <c r="K75" s="23" t="inlineStr">
        <is>
          <t>11/30/2015</t>
        </is>
      </c>
      <c r="L75" s="23" t="inlineStr">
        <is>
          <t>11/30/2015</t>
        </is>
      </c>
      <c r="O75" t="n">
        <v>29</v>
      </c>
    </row>
    <row r="76">
      <c r="A76" t="n">
        <v>913</v>
      </c>
      <c r="C76" t="inlineStr">
        <is>
          <t>VIC-TAS</t>
        </is>
      </c>
      <c r="D76" t="inlineStr">
        <is>
          <t>Virtus Health</t>
        </is>
      </c>
      <c r="E76" t="inlineStr">
        <is>
          <t>Registered Nurse</t>
        </is>
      </c>
      <c r="F76" s="1" t="n">
        <v>42016</v>
      </c>
      <c r="H76" t="inlineStr">
        <is>
          <t>MIVFN2023</t>
        </is>
      </c>
      <c r="I76" t="inlineStr">
        <is>
          <t>VIC</t>
        </is>
      </c>
      <c r="J76" t="inlineStr">
        <is>
          <t>Full Time</t>
        </is>
      </c>
      <c r="K76" s="23" t="n">
        <v>42016</v>
      </c>
      <c r="L76" s="23" t="n">
        <v>42016</v>
      </c>
      <c r="O76" t="n">
        <v>38</v>
      </c>
    </row>
    <row r="77">
      <c r="A77" t="n">
        <v>917</v>
      </c>
      <c r="B77" s="1" t="n"/>
      <c r="C77" t="inlineStr">
        <is>
          <t>VIC-TAS</t>
        </is>
      </c>
      <c r="D77" t="inlineStr">
        <is>
          <t>Virtus Health</t>
        </is>
      </c>
      <c r="E77" t="inlineStr">
        <is>
          <t>Quality Assurance Embryologist</t>
        </is>
      </c>
      <c r="F77" s="1" t="n">
        <v>42676</v>
      </c>
      <c r="H77" t="inlineStr">
        <is>
          <t>MIVFS2022</t>
        </is>
      </c>
      <c r="I77" t="inlineStr">
        <is>
          <t>VIC</t>
        </is>
      </c>
      <c r="J77" t="inlineStr">
        <is>
          <t>Part Time</t>
        </is>
      </c>
      <c r="K77" s="23" t="n">
        <v>42676</v>
      </c>
      <c r="L77" s="23" t="n">
        <v>42676</v>
      </c>
      <c r="O77" t="n">
        <v>36</v>
      </c>
    </row>
    <row r="78">
      <c r="A78" t="n">
        <v>931</v>
      </c>
      <c r="C78" t="inlineStr">
        <is>
          <t>VIC-TAS</t>
        </is>
      </c>
      <c r="D78" t="inlineStr">
        <is>
          <t>Virtus Health</t>
        </is>
      </c>
      <c r="E78" t="inlineStr">
        <is>
          <t>Clinical Nurse Specialist</t>
        </is>
      </c>
      <c r="F78" t="inlineStr">
        <is>
          <t>2/22/2016</t>
        </is>
      </c>
      <c r="H78" t="inlineStr">
        <is>
          <t>MIVFN2023</t>
        </is>
      </c>
      <c r="I78" t="inlineStr">
        <is>
          <t>VIC</t>
        </is>
      </c>
      <c r="J78" t="inlineStr">
        <is>
          <t>Part Time</t>
        </is>
      </c>
      <c r="K78" s="23" t="inlineStr">
        <is>
          <t>2/22/2016</t>
        </is>
      </c>
      <c r="L78" s="23" t="inlineStr">
        <is>
          <t>2/22/2016</t>
        </is>
      </c>
      <c r="O78" t="n">
        <v>22.5</v>
      </c>
    </row>
    <row r="79">
      <c r="A79" t="n">
        <v>932</v>
      </c>
      <c r="C79" t="inlineStr">
        <is>
          <t>VIC-TAS</t>
        </is>
      </c>
      <c r="D79" t="inlineStr">
        <is>
          <t>Virtus Health</t>
        </is>
      </c>
      <c r="E79" t="inlineStr">
        <is>
          <t>Registered Nurse</t>
        </is>
      </c>
      <c r="F79" t="inlineStr">
        <is>
          <t>3/14/2016</t>
        </is>
      </c>
      <c r="H79" t="inlineStr">
        <is>
          <t>MIVFN2023</t>
        </is>
      </c>
      <c r="I79" t="inlineStr">
        <is>
          <t>VIC</t>
        </is>
      </c>
      <c r="J79" t="inlineStr">
        <is>
          <t>Casual</t>
        </is>
      </c>
      <c r="K79" s="23" t="inlineStr">
        <is>
          <t>3/14/2016</t>
        </is>
      </c>
      <c r="L79" s="23" t="inlineStr">
        <is>
          <t>3/14/2016</t>
        </is>
      </c>
      <c r="O79" t="n">
        <v>38</v>
      </c>
    </row>
    <row r="80">
      <c r="A80" t="n">
        <v>952</v>
      </c>
      <c r="B80" s="1" t="n"/>
      <c r="C80" t="inlineStr">
        <is>
          <t>VIC-TAS</t>
        </is>
      </c>
      <c r="D80" t="inlineStr">
        <is>
          <t>Virtus Health</t>
        </is>
      </c>
      <c r="E80" t="inlineStr">
        <is>
          <t>Associate Nurse Unit Manager</t>
        </is>
      </c>
      <c r="F80" s="1" t="n">
        <v>42681</v>
      </c>
      <c r="H80" t="inlineStr">
        <is>
          <t>MIVFN2023</t>
        </is>
      </c>
      <c r="I80" t="inlineStr">
        <is>
          <t>VIC</t>
        </is>
      </c>
      <c r="J80" t="inlineStr">
        <is>
          <t>Full Time</t>
        </is>
      </c>
      <c r="K80" s="23" t="n">
        <v>42681</v>
      </c>
      <c r="L80" s="23" t="n">
        <v>42681</v>
      </c>
      <c r="O80" t="n">
        <v>38</v>
      </c>
    </row>
    <row r="81">
      <c r="A81" t="n">
        <v>965</v>
      </c>
      <c r="C81" t="inlineStr">
        <is>
          <t>VIC-TAS</t>
        </is>
      </c>
      <c r="D81" t="inlineStr">
        <is>
          <t>Virtus Health</t>
        </is>
      </c>
      <c r="E81" t="inlineStr">
        <is>
          <t>Genetic Scientist</t>
        </is>
      </c>
      <c r="F81" t="inlineStr">
        <is>
          <t>10/24/2016</t>
        </is>
      </c>
      <c r="H81" t="inlineStr">
        <is>
          <t>MIVFS2022</t>
        </is>
      </c>
      <c r="I81" t="inlineStr">
        <is>
          <t>VIC</t>
        </is>
      </c>
      <c r="J81" t="inlineStr">
        <is>
          <t>Full Time</t>
        </is>
      </c>
      <c r="K81" s="23" t="inlineStr">
        <is>
          <t>10/24/2016</t>
        </is>
      </c>
      <c r="L81" s="23" t="inlineStr">
        <is>
          <t>10/24/2016</t>
        </is>
      </c>
      <c r="O81" t="n">
        <v>38</v>
      </c>
    </row>
    <row r="82">
      <c r="A82" t="n">
        <v>983</v>
      </c>
      <c r="B82" s="1" t="n"/>
      <c r="C82" t="inlineStr">
        <is>
          <t>VIC-TAS</t>
        </is>
      </c>
      <c r="D82" t="inlineStr">
        <is>
          <t>Virtus Health</t>
        </is>
      </c>
      <c r="E82" t="inlineStr">
        <is>
          <t>Director of Art Services</t>
        </is>
      </c>
      <c r="F82" s="1" t="n">
        <v>42889</v>
      </c>
      <c r="H82" t="inlineStr">
        <is>
          <t>VIC</t>
        </is>
      </c>
      <c r="I82" t="inlineStr">
        <is>
          <t>VIC</t>
        </is>
      </c>
      <c r="J82" t="inlineStr">
        <is>
          <t>Full Time</t>
        </is>
      </c>
      <c r="K82" s="23" t="n">
        <v>42889</v>
      </c>
      <c r="L82" s="23" t="n">
        <v>42889</v>
      </c>
      <c r="O82" t="n">
        <v>38</v>
      </c>
    </row>
    <row r="83">
      <c r="A83" t="n">
        <v>985</v>
      </c>
      <c r="B83" s="1" t="n"/>
      <c r="C83" t="inlineStr">
        <is>
          <t>VIC-TAS</t>
        </is>
      </c>
      <c r="D83" t="inlineStr">
        <is>
          <t>Virtus Health</t>
        </is>
      </c>
      <c r="E83" t="inlineStr">
        <is>
          <t>Registered Nurse</t>
        </is>
      </c>
      <c r="F83" s="1" t="n">
        <v>43012</v>
      </c>
      <c r="H83" t="inlineStr">
        <is>
          <t>MIVFN2023</t>
        </is>
      </c>
      <c r="I83" t="inlineStr">
        <is>
          <t>VIC</t>
        </is>
      </c>
      <c r="J83" t="inlineStr">
        <is>
          <t>Casual</t>
        </is>
      </c>
      <c r="K83" s="23" t="n">
        <v>43012</v>
      </c>
      <c r="L83" s="23" t="n">
        <v>43012</v>
      </c>
      <c r="O83" t="n">
        <v>38</v>
      </c>
    </row>
    <row r="84">
      <c r="A84" t="n">
        <v>993</v>
      </c>
      <c r="C84" t="inlineStr">
        <is>
          <t>VIC-TAS</t>
        </is>
      </c>
      <c r="D84" t="inlineStr">
        <is>
          <t>Virtus Health</t>
        </is>
      </c>
      <c r="E84" t="inlineStr">
        <is>
          <t>Registered Nurse</t>
        </is>
      </c>
      <c r="F84" t="inlineStr">
        <is>
          <t>6/26/2017</t>
        </is>
      </c>
      <c r="H84" t="inlineStr">
        <is>
          <t>MIVFN2023</t>
        </is>
      </c>
      <c r="I84" t="inlineStr">
        <is>
          <t>VIC</t>
        </is>
      </c>
      <c r="J84" t="inlineStr">
        <is>
          <t>Full Time</t>
        </is>
      </c>
      <c r="K84" s="23" t="inlineStr">
        <is>
          <t>6/26/2017</t>
        </is>
      </c>
      <c r="L84" s="23" t="inlineStr">
        <is>
          <t>6/26/2017</t>
        </is>
      </c>
      <c r="O84" t="n">
        <v>38</v>
      </c>
    </row>
    <row r="85">
      <c r="A85" t="n">
        <v>994</v>
      </c>
      <c r="B85" s="1" t="n"/>
      <c r="C85" t="inlineStr">
        <is>
          <t>VIC-TAS</t>
        </is>
      </c>
      <c r="D85" t="inlineStr">
        <is>
          <t>Virtus Health</t>
        </is>
      </c>
      <c r="E85" t="inlineStr">
        <is>
          <t>Health Information Manager</t>
        </is>
      </c>
      <c r="F85" s="1" t="n">
        <v>43076</v>
      </c>
      <c r="H85" t="inlineStr">
        <is>
          <t>VIC</t>
        </is>
      </c>
      <c r="I85" t="inlineStr">
        <is>
          <t>VIC</t>
        </is>
      </c>
      <c r="J85" t="inlineStr">
        <is>
          <t>Casual</t>
        </is>
      </c>
      <c r="K85" s="23" t="n">
        <v>43076</v>
      </c>
      <c r="L85" s="23" t="n">
        <v>43076</v>
      </c>
      <c r="O85" t="n">
        <v>38</v>
      </c>
    </row>
    <row r="86">
      <c r="A86" t="n">
        <v>1005</v>
      </c>
      <c r="C86" t="inlineStr">
        <is>
          <t>VIC-TAS</t>
        </is>
      </c>
      <c r="D86" t="inlineStr">
        <is>
          <t>Virtus Health</t>
        </is>
      </c>
      <c r="E86" t="inlineStr">
        <is>
          <t>Registered Nurse</t>
        </is>
      </c>
      <c r="F86" t="inlineStr">
        <is>
          <t>8/28/2017</t>
        </is>
      </c>
      <c r="H86" t="inlineStr">
        <is>
          <t>MIVFN2023</t>
        </is>
      </c>
      <c r="I86" t="inlineStr">
        <is>
          <t>VIC</t>
        </is>
      </c>
      <c r="J86" t="inlineStr">
        <is>
          <t>Part Time</t>
        </is>
      </c>
      <c r="K86" s="23" t="inlineStr">
        <is>
          <t>8/28/2017</t>
        </is>
      </c>
      <c r="L86" s="23" t="inlineStr">
        <is>
          <t>8/28/2017</t>
        </is>
      </c>
      <c r="O86" t="n">
        <v>15.2</v>
      </c>
    </row>
    <row r="87">
      <c r="A87" t="n">
        <v>1025</v>
      </c>
      <c r="B87" s="1" t="n"/>
      <c r="C87" t="inlineStr">
        <is>
          <t>VIC-TAS</t>
        </is>
      </c>
      <c r="D87" t="inlineStr">
        <is>
          <t>Virtus Health</t>
        </is>
      </c>
      <c r="E87" t="inlineStr">
        <is>
          <t>Phlebotomist</t>
        </is>
      </c>
      <c r="F87" s="1" t="n">
        <v>42835</v>
      </c>
      <c r="H87" t="inlineStr">
        <is>
          <t>IVFS2023</t>
        </is>
      </c>
      <c r="I87" t="inlineStr">
        <is>
          <t>VIC</t>
        </is>
      </c>
      <c r="J87" t="inlineStr">
        <is>
          <t>Part Time</t>
        </is>
      </c>
      <c r="K87" s="23" t="n">
        <v>42835</v>
      </c>
      <c r="L87" s="23" t="n">
        <v>42835</v>
      </c>
      <c r="O87" t="n">
        <v>11.4</v>
      </c>
    </row>
    <row r="88">
      <c r="A88" t="n">
        <v>1027</v>
      </c>
      <c r="C88" t="inlineStr">
        <is>
          <t>VIC-TAS</t>
        </is>
      </c>
      <c r="D88" t="inlineStr">
        <is>
          <t>Virtus Health</t>
        </is>
      </c>
      <c r="E88" t="inlineStr">
        <is>
          <t>Registered Nurse</t>
        </is>
      </c>
      <c r="F88" t="inlineStr">
        <is>
          <t>11/20/2017</t>
        </is>
      </c>
      <c r="H88" t="inlineStr">
        <is>
          <t>MIVFN2023</t>
        </is>
      </c>
      <c r="I88" t="inlineStr">
        <is>
          <t>VIC</t>
        </is>
      </c>
      <c r="J88" t="inlineStr">
        <is>
          <t>Part Time</t>
        </is>
      </c>
      <c r="K88" s="23" t="inlineStr">
        <is>
          <t>11/20/2017</t>
        </is>
      </c>
      <c r="L88" s="23" t="inlineStr">
        <is>
          <t>11/20/2017</t>
        </is>
      </c>
      <c r="O88" t="n">
        <v>15.2</v>
      </c>
    </row>
    <row r="89">
      <c r="A89" t="n">
        <v>1032</v>
      </c>
      <c r="B89" s="1" t="n"/>
      <c r="C89" t="inlineStr">
        <is>
          <t>VIC-TAS</t>
        </is>
      </c>
      <c r="D89" t="inlineStr">
        <is>
          <t>Virtus Health</t>
        </is>
      </c>
      <c r="E89" t="inlineStr">
        <is>
          <t>IVF Laboratory Team Leader</t>
        </is>
      </c>
      <c r="F89" s="1" t="n">
        <v>42837</v>
      </c>
      <c r="H89" t="inlineStr">
        <is>
          <t>MIVFS2022</t>
        </is>
      </c>
      <c r="I89" t="inlineStr">
        <is>
          <t>VIC</t>
        </is>
      </c>
      <c r="J89" t="inlineStr">
        <is>
          <t>Full Time</t>
        </is>
      </c>
      <c r="K89" s="23" t="n">
        <v>42837</v>
      </c>
      <c r="L89" s="23" t="n">
        <v>42837</v>
      </c>
      <c r="O89" t="n">
        <v>38</v>
      </c>
    </row>
    <row r="90">
      <c r="A90" t="n">
        <v>1034</v>
      </c>
      <c r="C90" t="inlineStr">
        <is>
          <t>VIC-TAS</t>
        </is>
      </c>
      <c r="D90" t="inlineStr">
        <is>
          <t>Virtus Health</t>
        </is>
      </c>
      <c r="E90" t="inlineStr">
        <is>
          <t>IVF Laboratory Team Leader</t>
        </is>
      </c>
      <c r="F90" t="inlineStr">
        <is>
          <t>1/22/2018</t>
        </is>
      </c>
      <c r="H90" t="inlineStr">
        <is>
          <t>MIVFS2022</t>
        </is>
      </c>
      <c r="I90" t="inlineStr">
        <is>
          <t>VIC</t>
        </is>
      </c>
      <c r="J90" t="inlineStr">
        <is>
          <t>Full Time</t>
        </is>
      </c>
      <c r="K90" s="23" t="inlineStr">
        <is>
          <t>1/22/2018</t>
        </is>
      </c>
      <c r="L90" s="23" t="inlineStr">
        <is>
          <t>1/22/2018</t>
        </is>
      </c>
      <c r="O90" t="n">
        <v>38</v>
      </c>
    </row>
    <row r="91">
      <c r="A91" t="n">
        <v>1040</v>
      </c>
      <c r="C91" t="inlineStr">
        <is>
          <t>VIC-TAS</t>
        </is>
      </c>
      <c r="D91" t="inlineStr">
        <is>
          <t>Virtus Health</t>
        </is>
      </c>
      <c r="E91" t="inlineStr">
        <is>
          <t>Counselling Manager</t>
        </is>
      </c>
      <c r="F91" t="inlineStr">
        <is>
          <t>2/21/2018</t>
        </is>
      </c>
      <c r="H91" t="inlineStr">
        <is>
          <t>VIC</t>
        </is>
      </c>
      <c r="I91" t="inlineStr">
        <is>
          <t>VIC</t>
        </is>
      </c>
      <c r="J91" t="inlineStr">
        <is>
          <t>Part Time</t>
        </is>
      </c>
      <c r="K91" s="23" t="inlineStr">
        <is>
          <t>2/21/2018</t>
        </is>
      </c>
      <c r="L91" s="23" t="inlineStr">
        <is>
          <t>2/21/2018</t>
        </is>
      </c>
      <c r="O91" t="n">
        <v>30.4</v>
      </c>
    </row>
    <row r="92">
      <c r="A92" t="n">
        <v>1043</v>
      </c>
      <c r="C92" t="inlineStr">
        <is>
          <t>VIC-TAS</t>
        </is>
      </c>
      <c r="D92" t="inlineStr">
        <is>
          <t>Virtus Health</t>
        </is>
      </c>
      <c r="E92" t="inlineStr">
        <is>
          <t>Associate Nurse Manager</t>
        </is>
      </c>
      <c r="F92" t="inlineStr">
        <is>
          <t>3/19/2018</t>
        </is>
      </c>
      <c r="H92" t="inlineStr">
        <is>
          <t>MIVFN2023</t>
        </is>
      </c>
      <c r="I92" t="inlineStr">
        <is>
          <t>VIC</t>
        </is>
      </c>
      <c r="J92" t="inlineStr">
        <is>
          <t>Full Time</t>
        </is>
      </c>
      <c r="K92" s="23" t="inlineStr">
        <is>
          <t>3/19/2018</t>
        </is>
      </c>
      <c r="L92" s="23" t="inlineStr">
        <is>
          <t>3/19/2018</t>
        </is>
      </c>
      <c r="O92" t="n">
        <v>38</v>
      </c>
    </row>
    <row r="93">
      <c r="A93" t="n">
        <v>1046</v>
      </c>
      <c r="C93" t="inlineStr">
        <is>
          <t>VIC-TAS</t>
        </is>
      </c>
      <c r="D93" t="inlineStr">
        <is>
          <t>Virtus Health</t>
        </is>
      </c>
      <c r="E93" t="inlineStr">
        <is>
          <t>Nurse Educator</t>
        </is>
      </c>
      <c r="F93" t="inlineStr">
        <is>
          <t>3/19/2018</t>
        </is>
      </c>
      <c r="H93" t="inlineStr">
        <is>
          <t>MIVFN2023</t>
        </is>
      </c>
      <c r="I93" t="inlineStr">
        <is>
          <t>VIC</t>
        </is>
      </c>
      <c r="J93" t="inlineStr">
        <is>
          <t>Full Time</t>
        </is>
      </c>
      <c r="K93" s="23" t="inlineStr">
        <is>
          <t>3/19/2018</t>
        </is>
      </c>
      <c r="L93" s="23" t="inlineStr">
        <is>
          <t>3/19/2018</t>
        </is>
      </c>
      <c r="O93" t="n">
        <v>38</v>
      </c>
    </row>
    <row r="94">
      <c r="A94" t="n">
        <v>1053</v>
      </c>
      <c r="B94" s="1" t="n"/>
      <c r="C94" t="inlineStr">
        <is>
          <t>VIC-TAS</t>
        </is>
      </c>
      <c r="D94" t="inlineStr">
        <is>
          <t>Virtus Health</t>
        </is>
      </c>
      <c r="E94" t="inlineStr">
        <is>
          <t>Counsellor</t>
        </is>
      </c>
      <c r="F94" s="1" t="n">
        <v>43438</v>
      </c>
      <c r="H94" t="inlineStr">
        <is>
          <t>MIVFC2021</t>
        </is>
      </c>
      <c r="I94" t="inlineStr">
        <is>
          <t>TAS</t>
        </is>
      </c>
      <c r="J94" t="inlineStr">
        <is>
          <t>Part Time</t>
        </is>
      </c>
      <c r="K94" s="23" t="n">
        <v>43438</v>
      </c>
      <c r="L94" s="23" t="n">
        <v>43438</v>
      </c>
      <c r="O94" t="n">
        <v>22.8</v>
      </c>
    </row>
    <row r="95">
      <c r="A95" t="n">
        <v>1068</v>
      </c>
      <c r="C95" t="inlineStr">
        <is>
          <t>VIC-TAS</t>
        </is>
      </c>
      <c r="D95" t="inlineStr">
        <is>
          <t>Virtus Health</t>
        </is>
      </c>
      <c r="E95" t="inlineStr">
        <is>
          <t>Registered Nurse</t>
        </is>
      </c>
      <c r="F95" t="inlineStr">
        <is>
          <t>6/22/2018</t>
        </is>
      </c>
      <c r="H95" t="inlineStr">
        <is>
          <t>MIVFN2023</t>
        </is>
      </c>
      <c r="I95" t="inlineStr">
        <is>
          <t>VIC</t>
        </is>
      </c>
      <c r="J95" t="inlineStr">
        <is>
          <t>Part Time</t>
        </is>
      </c>
      <c r="K95" s="23" t="inlineStr">
        <is>
          <t>6/22/2018</t>
        </is>
      </c>
      <c r="L95" s="23" t="inlineStr">
        <is>
          <t>6/22/2018</t>
        </is>
      </c>
      <c r="O95" t="n">
        <v>19</v>
      </c>
    </row>
    <row r="96">
      <c r="A96" t="n">
        <v>1076</v>
      </c>
      <c r="C96" t="inlineStr">
        <is>
          <t>VIC-TAS</t>
        </is>
      </c>
      <c r="D96" t="inlineStr">
        <is>
          <t>Virtus Health</t>
        </is>
      </c>
      <c r="E96" t="inlineStr">
        <is>
          <t>Enrolled Nurse</t>
        </is>
      </c>
      <c r="F96" t="inlineStr">
        <is>
          <t>7/23/2018</t>
        </is>
      </c>
      <c r="H96" t="inlineStr">
        <is>
          <t>MIVFN2023</t>
        </is>
      </c>
      <c r="I96" t="inlineStr">
        <is>
          <t>VIC</t>
        </is>
      </c>
      <c r="J96" t="inlineStr">
        <is>
          <t>Part Time</t>
        </is>
      </c>
      <c r="K96" s="23" t="inlineStr">
        <is>
          <t>7/23/2018</t>
        </is>
      </c>
      <c r="L96" s="23" t="inlineStr">
        <is>
          <t>7/23/2018</t>
        </is>
      </c>
      <c r="O96" t="n">
        <v>15.2</v>
      </c>
    </row>
    <row r="97">
      <c r="A97" t="n">
        <v>1080</v>
      </c>
      <c r="C97" t="inlineStr">
        <is>
          <t>VIC-TAS</t>
        </is>
      </c>
      <c r="D97" t="inlineStr">
        <is>
          <t>Virtus Health</t>
        </is>
      </c>
      <c r="E97" t="inlineStr">
        <is>
          <t>Registered Nurse</t>
        </is>
      </c>
      <c r="F97" t="inlineStr">
        <is>
          <t>8/21/2018</t>
        </is>
      </c>
      <c r="H97" t="inlineStr">
        <is>
          <t>MIVFN2023</t>
        </is>
      </c>
      <c r="I97" t="inlineStr">
        <is>
          <t>VIC</t>
        </is>
      </c>
      <c r="J97" t="inlineStr">
        <is>
          <t>Full Time</t>
        </is>
      </c>
      <c r="K97" s="23" t="inlineStr">
        <is>
          <t>8/21/2018</t>
        </is>
      </c>
      <c r="L97" s="23" t="inlineStr">
        <is>
          <t>8/21/2018</t>
        </is>
      </c>
      <c r="O97" t="n">
        <v>38</v>
      </c>
    </row>
    <row r="98">
      <c r="A98" t="n">
        <v>1092</v>
      </c>
      <c r="C98" t="inlineStr">
        <is>
          <t>VIC-TAS</t>
        </is>
      </c>
      <c r="D98" t="inlineStr">
        <is>
          <t>Virtus Health</t>
        </is>
      </c>
      <c r="E98" t="inlineStr">
        <is>
          <t>Pathology Scientist</t>
        </is>
      </c>
      <c r="F98" t="inlineStr">
        <is>
          <t>10/27/2015</t>
        </is>
      </c>
      <c r="H98" t="inlineStr">
        <is>
          <t>MIVFS2022</t>
        </is>
      </c>
      <c r="I98" t="inlineStr">
        <is>
          <t>VIC</t>
        </is>
      </c>
      <c r="J98" t="inlineStr">
        <is>
          <t>Full Time</t>
        </is>
      </c>
      <c r="K98" s="23" t="inlineStr">
        <is>
          <t>10/27/2015</t>
        </is>
      </c>
      <c r="L98" s="23" t="inlineStr">
        <is>
          <t>10/27/2015</t>
        </is>
      </c>
      <c r="O98" t="n">
        <v>38</v>
      </c>
    </row>
    <row r="99">
      <c r="A99" t="n">
        <v>1096</v>
      </c>
      <c r="C99" t="inlineStr">
        <is>
          <t>VIC-TAS</t>
        </is>
      </c>
      <c r="D99" t="inlineStr">
        <is>
          <t>Virtus Health</t>
        </is>
      </c>
      <c r="E99" t="inlineStr">
        <is>
          <t>Embryologist</t>
        </is>
      </c>
      <c r="F99" t="inlineStr">
        <is>
          <t>11/26/2018</t>
        </is>
      </c>
      <c r="H99" t="inlineStr">
        <is>
          <t>MIVFS2022</t>
        </is>
      </c>
      <c r="I99" t="inlineStr">
        <is>
          <t>VIC</t>
        </is>
      </c>
      <c r="J99" t="inlineStr">
        <is>
          <t>Full Time</t>
        </is>
      </c>
      <c r="K99" s="23" t="inlineStr">
        <is>
          <t>11/26/2018</t>
        </is>
      </c>
      <c r="L99" s="23" t="inlineStr">
        <is>
          <t>11/26/2018</t>
        </is>
      </c>
      <c r="O99" t="n">
        <v>38</v>
      </c>
    </row>
    <row r="100">
      <c r="A100" t="n">
        <v>1098</v>
      </c>
      <c r="C100" t="inlineStr">
        <is>
          <t>VIC-TAS</t>
        </is>
      </c>
      <c r="D100" t="inlineStr">
        <is>
          <t>Virtus Health</t>
        </is>
      </c>
      <c r="E100" t="inlineStr">
        <is>
          <t>Enrolled Nurse</t>
        </is>
      </c>
      <c r="F100" t="inlineStr">
        <is>
          <t>4/29/2014</t>
        </is>
      </c>
      <c r="H100" t="inlineStr">
        <is>
          <t>MIVFN2023</t>
        </is>
      </c>
      <c r="I100" t="inlineStr">
        <is>
          <t>VIC</t>
        </is>
      </c>
      <c r="J100" t="inlineStr">
        <is>
          <t>Part Time</t>
        </is>
      </c>
      <c r="K100" s="23" t="inlineStr">
        <is>
          <t>4/29/2014</t>
        </is>
      </c>
      <c r="L100" s="23" t="inlineStr">
        <is>
          <t>4/29/2014</t>
        </is>
      </c>
      <c r="O100" t="n">
        <v>15.2</v>
      </c>
    </row>
    <row r="101">
      <c r="A101" t="n">
        <v>1117</v>
      </c>
      <c r="B101" s="1" t="n"/>
      <c r="C101" t="inlineStr">
        <is>
          <t>VIC-TAS</t>
        </is>
      </c>
      <c r="D101" t="inlineStr">
        <is>
          <t>Virtus Health</t>
        </is>
      </c>
      <c r="E101" t="inlineStr">
        <is>
          <t>Clinical Research Scientist</t>
        </is>
      </c>
      <c r="F101" s="1" t="n">
        <v>43621</v>
      </c>
      <c r="H101" t="inlineStr">
        <is>
          <t>MIVFS2022</t>
        </is>
      </c>
      <c r="I101" t="inlineStr">
        <is>
          <t>VIC</t>
        </is>
      </c>
      <c r="J101" t="inlineStr">
        <is>
          <t>Part Time</t>
        </is>
      </c>
      <c r="K101" s="23" t="n">
        <v>43621</v>
      </c>
      <c r="L101" s="23" t="n">
        <v>43621</v>
      </c>
      <c r="O101" t="n">
        <v>32</v>
      </c>
    </row>
    <row r="102">
      <c r="A102" t="n">
        <v>1119</v>
      </c>
      <c r="B102" s="1" t="n"/>
      <c r="C102" t="inlineStr">
        <is>
          <t>VIC-TAS</t>
        </is>
      </c>
      <c r="D102" t="inlineStr">
        <is>
          <t>Virtus Health</t>
        </is>
      </c>
      <c r="E102" t="inlineStr">
        <is>
          <t>Registered Nurse</t>
        </is>
      </c>
      <c r="F102" s="1" t="n">
        <v>43651</v>
      </c>
      <c r="H102" t="inlineStr">
        <is>
          <t>MIVFN2023</t>
        </is>
      </c>
      <c r="I102" t="inlineStr">
        <is>
          <t>VIC</t>
        </is>
      </c>
      <c r="J102" t="inlineStr">
        <is>
          <t>Part Time</t>
        </is>
      </c>
      <c r="K102" s="23" t="n">
        <v>43651</v>
      </c>
      <c r="L102" s="23" t="n">
        <v>43651</v>
      </c>
      <c r="O102" t="n">
        <v>22.8</v>
      </c>
    </row>
    <row r="103">
      <c r="A103" t="n">
        <v>1132</v>
      </c>
      <c r="C103" t="inlineStr">
        <is>
          <t>VIC-TAS</t>
        </is>
      </c>
      <c r="D103" t="inlineStr">
        <is>
          <t>Virtus Health</t>
        </is>
      </c>
      <c r="E103" t="inlineStr">
        <is>
          <t>Registered Nurse</t>
        </is>
      </c>
      <c r="F103" t="inlineStr">
        <is>
          <t>11/29/2021</t>
        </is>
      </c>
      <c r="H103" t="inlineStr">
        <is>
          <t>MIVFN2023</t>
        </is>
      </c>
      <c r="I103" t="inlineStr">
        <is>
          <t>VIC</t>
        </is>
      </c>
      <c r="J103" t="inlineStr">
        <is>
          <t>Part Time</t>
        </is>
      </c>
      <c r="K103" s="23" t="inlineStr">
        <is>
          <t>11/29/2021</t>
        </is>
      </c>
      <c r="L103" s="23" t="inlineStr">
        <is>
          <t>11/29/2021</t>
        </is>
      </c>
      <c r="O103" t="n">
        <v>22.8</v>
      </c>
    </row>
    <row r="104">
      <c r="A104" t="n">
        <v>1140</v>
      </c>
      <c r="C104" t="inlineStr">
        <is>
          <t>VIC-TAS</t>
        </is>
      </c>
      <c r="D104" t="inlineStr">
        <is>
          <t>Virtus Health</t>
        </is>
      </c>
      <c r="E104" t="inlineStr">
        <is>
          <t>Registered Nurse</t>
        </is>
      </c>
      <c r="F104" t="inlineStr">
        <is>
          <t>9/18/2019</t>
        </is>
      </c>
      <c r="H104" t="inlineStr">
        <is>
          <t>MIVFN2023</t>
        </is>
      </c>
      <c r="I104" t="inlineStr">
        <is>
          <t>VIC</t>
        </is>
      </c>
      <c r="J104" t="inlineStr">
        <is>
          <t>Casual</t>
        </is>
      </c>
      <c r="K104" s="23" t="inlineStr">
        <is>
          <t>9/18/2019</t>
        </is>
      </c>
      <c r="L104" s="23" t="inlineStr">
        <is>
          <t>9/18/2019</t>
        </is>
      </c>
      <c r="O104" t="n">
        <v>38</v>
      </c>
    </row>
    <row r="105">
      <c r="A105" t="n">
        <v>1142</v>
      </c>
      <c r="B105" s="1" t="n"/>
      <c r="C105" t="inlineStr">
        <is>
          <t>VIC-TAS</t>
        </is>
      </c>
      <c r="D105" t="inlineStr">
        <is>
          <t>Virtus Health</t>
        </is>
      </c>
      <c r="E105" t="inlineStr">
        <is>
          <t>Patient Services Manager</t>
        </is>
      </c>
      <c r="F105" s="1" t="n">
        <v>43656</v>
      </c>
      <c r="H105" t="inlineStr">
        <is>
          <t>MIVFS2022</t>
        </is>
      </c>
      <c r="I105" t="inlineStr">
        <is>
          <t>VIC</t>
        </is>
      </c>
      <c r="J105" t="inlineStr">
        <is>
          <t>Full Time</t>
        </is>
      </c>
      <c r="K105" s="23" t="n">
        <v>43656</v>
      </c>
      <c r="L105" s="23" t="n">
        <v>43656</v>
      </c>
      <c r="O105" t="n">
        <v>38</v>
      </c>
    </row>
    <row r="106">
      <c r="A106" t="n">
        <v>1144</v>
      </c>
      <c r="B106" s="1" t="n"/>
      <c r="C106" t="inlineStr">
        <is>
          <t>VIC-TAS</t>
        </is>
      </c>
      <c r="D106" t="inlineStr">
        <is>
          <t>Virtus Health</t>
        </is>
      </c>
      <c r="E106" t="inlineStr">
        <is>
          <t>Registered Nurse</t>
        </is>
      </c>
      <c r="F106" t="inlineStr">
        <is>
          <t>8/13/2018</t>
        </is>
      </c>
      <c r="H106" t="inlineStr">
        <is>
          <t>MIVFN2023</t>
        </is>
      </c>
      <c r="I106" t="inlineStr">
        <is>
          <t>VIC</t>
        </is>
      </c>
      <c r="J106" t="inlineStr">
        <is>
          <t>Part Time</t>
        </is>
      </c>
      <c r="K106" s="23" t="inlineStr">
        <is>
          <t>8/13/2018</t>
        </is>
      </c>
      <c r="L106" s="23" t="inlineStr">
        <is>
          <t>8/13/2018</t>
        </is>
      </c>
      <c r="O106" t="n">
        <v>15.2</v>
      </c>
    </row>
    <row r="107">
      <c r="A107" t="n">
        <v>1147</v>
      </c>
      <c r="C107" t="inlineStr">
        <is>
          <t>VIC-TAS</t>
        </is>
      </c>
      <c r="D107" t="inlineStr">
        <is>
          <t>Virtus Health</t>
        </is>
      </c>
      <c r="E107" t="inlineStr">
        <is>
          <t>Registered Nurse</t>
        </is>
      </c>
      <c r="F107" t="inlineStr">
        <is>
          <t>1/14/2020</t>
        </is>
      </c>
      <c r="H107" t="inlineStr">
        <is>
          <t>MIVFN2023</t>
        </is>
      </c>
      <c r="I107" t="inlineStr">
        <is>
          <t>VIC</t>
        </is>
      </c>
      <c r="J107" t="inlineStr">
        <is>
          <t>Part Time</t>
        </is>
      </c>
      <c r="K107" s="23" t="inlineStr">
        <is>
          <t>1/14/2020</t>
        </is>
      </c>
      <c r="L107" s="23" t="inlineStr">
        <is>
          <t>1/14/2020</t>
        </is>
      </c>
      <c r="O107" t="n">
        <v>15.2</v>
      </c>
    </row>
    <row r="108">
      <c r="A108" t="n">
        <v>1156</v>
      </c>
      <c r="C108" t="inlineStr">
        <is>
          <t>VIC-TAS</t>
        </is>
      </c>
      <c r="D108" t="inlineStr">
        <is>
          <t>Virtus Health</t>
        </is>
      </c>
      <c r="E108" t="inlineStr">
        <is>
          <t>Counsellor</t>
        </is>
      </c>
      <c r="F108" t="inlineStr">
        <is>
          <t>2/17/2020</t>
        </is>
      </c>
      <c r="H108" t="inlineStr">
        <is>
          <t>MIVFC2021</t>
        </is>
      </c>
      <c r="I108" t="inlineStr">
        <is>
          <t>VIC</t>
        </is>
      </c>
      <c r="J108" t="inlineStr">
        <is>
          <t>Part Time</t>
        </is>
      </c>
      <c r="K108" s="23" t="inlineStr">
        <is>
          <t>2/17/2020</t>
        </is>
      </c>
      <c r="L108" s="23" t="inlineStr">
        <is>
          <t>2/17/2020</t>
        </is>
      </c>
      <c r="O108" t="n">
        <v>22.8</v>
      </c>
    </row>
    <row r="109">
      <c r="A109" t="n">
        <v>1160</v>
      </c>
      <c r="C109" t="inlineStr">
        <is>
          <t>VIC-TAS</t>
        </is>
      </c>
      <c r="D109" t="inlineStr">
        <is>
          <t>Virtus Health</t>
        </is>
      </c>
      <c r="E109" t="inlineStr">
        <is>
          <t>Counsellor</t>
        </is>
      </c>
      <c r="F109" t="inlineStr">
        <is>
          <t>2/24/2020</t>
        </is>
      </c>
      <c r="H109" t="inlineStr">
        <is>
          <t>MIVFC2021</t>
        </is>
      </c>
      <c r="I109" t="inlineStr">
        <is>
          <t>VIC</t>
        </is>
      </c>
      <c r="J109" t="inlineStr">
        <is>
          <t>Part Time</t>
        </is>
      </c>
      <c r="K109" s="23" t="inlineStr">
        <is>
          <t>2/24/2020</t>
        </is>
      </c>
      <c r="L109" s="23" t="inlineStr">
        <is>
          <t>2/24/2020</t>
        </is>
      </c>
      <c r="O109" t="n">
        <v>30.4</v>
      </c>
    </row>
    <row r="110">
      <c r="A110" t="n">
        <v>1162</v>
      </c>
      <c r="B110" s="1" t="n"/>
      <c r="C110" t="inlineStr">
        <is>
          <t>VIC-TAS</t>
        </is>
      </c>
      <c r="D110" t="inlineStr">
        <is>
          <t>Virtus Health</t>
        </is>
      </c>
      <c r="E110" t="inlineStr">
        <is>
          <t>Counsellor</t>
        </is>
      </c>
      <c r="F110" s="1" t="n">
        <v>43924</v>
      </c>
      <c r="H110" t="inlineStr">
        <is>
          <t>MIVFC2021</t>
        </is>
      </c>
      <c r="I110" t="inlineStr">
        <is>
          <t>WA</t>
        </is>
      </c>
      <c r="J110" t="inlineStr">
        <is>
          <t>Part Time</t>
        </is>
      </c>
      <c r="K110" s="23" t="n">
        <v>43924</v>
      </c>
      <c r="L110" s="23" t="n">
        <v>43924</v>
      </c>
      <c r="O110" t="n">
        <v>30.4</v>
      </c>
    </row>
    <row r="111">
      <c r="A111" t="n">
        <v>1172</v>
      </c>
      <c r="B111" s="1" t="n"/>
      <c r="C111" t="inlineStr">
        <is>
          <t>VIC-TAS</t>
        </is>
      </c>
      <c r="D111" t="inlineStr">
        <is>
          <t>Virtus Health</t>
        </is>
      </c>
      <c r="E111" t="inlineStr">
        <is>
          <t>Nurse Unit Manager</t>
        </is>
      </c>
      <c r="F111" s="1" t="n">
        <v>43892</v>
      </c>
      <c r="H111" t="inlineStr">
        <is>
          <t>MIVFN2023</t>
        </is>
      </c>
      <c r="I111" t="inlineStr">
        <is>
          <t>VIC</t>
        </is>
      </c>
      <c r="J111" t="inlineStr">
        <is>
          <t>Full Time</t>
        </is>
      </c>
      <c r="K111" s="23" t="n">
        <v>43892</v>
      </c>
      <c r="L111" s="23" t="n">
        <v>43892</v>
      </c>
      <c r="O111" t="n">
        <v>38</v>
      </c>
    </row>
    <row r="112">
      <c r="A112" t="n">
        <v>1174</v>
      </c>
      <c r="C112" t="inlineStr">
        <is>
          <t>VIC-TAS</t>
        </is>
      </c>
      <c r="D112" t="inlineStr">
        <is>
          <t>Virtus Health</t>
        </is>
      </c>
      <c r="E112" t="inlineStr">
        <is>
          <t>Registered Nurse</t>
        </is>
      </c>
      <c r="F112" t="inlineStr">
        <is>
          <t>2/17/2020</t>
        </is>
      </c>
      <c r="H112" t="inlineStr">
        <is>
          <t>MIVFN2023</t>
        </is>
      </c>
      <c r="I112" t="inlineStr">
        <is>
          <t>VIC</t>
        </is>
      </c>
      <c r="J112" t="inlineStr">
        <is>
          <t>Part Time</t>
        </is>
      </c>
      <c r="K112" s="23" t="inlineStr">
        <is>
          <t>2/17/2020</t>
        </is>
      </c>
      <c r="L112" s="23" t="inlineStr">
        <is>
          <t>2/17/2020</t>
        </is>
      </c>
      <c r="O112" t="n">
        <v>38</v>
      </c>
    </row>
    <row r="113">
      <c r="A113" t="n">
        <v>1176</v>
      </c>
      <c r="B113" s="1" t="n"/>
      <c r="C113" t="inlineStr">
        <is>
          <t>VIC-TAS</t>
        </is>
      </c>
      <c r="D113" t="inlineStr">
        <is>
          <t>Virtus Health</t>
        </is>
      </c>
      <c r="E113" t="inlineStr">
        <is>
          <t>New Patient Care Consultant</t>
        </is>
      </c>
      <c r="F113" s="1" t="n">
        <v>43530</v>
      </c>
      <c r="H113" t="inlineStr">
        <is>
          <t>MIVFS2022</t>
        </is>
      </c>
      <c r="I113" t="inlineStr">
        <is>
          <t>VIC</t>
        </is>
      </c>
      <c r="J113" t="inlineStr">
        <is>
          <t>Part Time</t>
        </is>
      </c>
      <c r="K113" s="23" t="n">
        <v>43530</v>
      </c>
      <c r="L113" s="23" t="n">
        <v>43530</v>
      </c>
      <c r="O113" t="n">
        <v>22.8</v>
      </c>
    </row>
    <row r="114">
      <c r="A114" t="n">
        <v>1183</v>
      </c>
      <c r="B114" s="1" t="n"/>
      <c r="C114" t="inlineStr">
        <is>
          <t>VIC-TAS</t>
        </is>
      </c>
      <c r="D114" t="inlineStr">
        <is>
          <t>Virtus Health</t>
        </is>
      </c>
      <c r="E114" t="inlineStr">
        <is>
          <t>Nurse Unit Manager</t>
        </is>
      </c>
      <c r="F114" s="1" t="n">
        <v>43836</v>
      </c>
      <c r="H114" t="inlineStr">
        <is>
          <t>MIVFN2023</t>
        </is>
      </c>
      <c r="I114" t="inlineStr">
        <is>
          <t>VIC</t>
        </is>
      </c>
      <c r="J114" t="inlineStr">
        <is>
          <t>Full Time</t>
        </is>
      </c>
      <c r="K114" s="23" t="n">
        <v>43836</v>
      </c>
      <c r="L114" s="23" t="n">
        <v>43836</v>
      </c>
      <c r="O114" t="n">
        <v>38</v>
      </c>
    </row>
    <row r="115">
      <c r="A115" t="n">
        <v>1185</v>
      </c>
      <c r="B115" s="1" t="n"/>
      <c r="C115" t="inlineStr">
        <is>
          <t>VIC-TAS</t>
        </is>
      </c>
      <c r="D115" t="inlineStr">
        <is>
          <t>Virtus Health</t>
        </is>
      </c>
      <c r="E115" t="inlineStr">
        <is>
          <t>Counsellor</t>
        </is>
      </c>
      <c r="F115" s="1" t="n">
        <v>43896</v>
      </c>
      <c r="H115" t="inlineStr">
        <is>
          <t>MIVFC2021</t>
        </is>
      </c>
      <c r="I115" t="inlineStr">
        <is>
          <t>VIC</t>
        </is>
      </c>
      <c r="J115" t="inlineStr">
        <is>
          <t>Full Time</t>
        </is>
      </c>
      <c r="K115" s="23" t="n">
        <v>43896</v>
      </c>
      <c r="L115" s="23" t="n">
        <v>43896</v>
      </c>
      <c r="O115" t="n">
        <v>38</v>
      </c>
    </row>
    <row r="116">
      <c r="A116" t="n">
        <v>1193</v>
      </c>
      <c r="B116" s="1" t="n"/>
      <c r="C116" t="inlineStr">
        <is>
          <t>VIC-TAS</t>
        </is>
      </c>
      <c r="D116" t="inlineStr">
        <is>
          <t>Virtus Health</t>
        </is>
      </c>
      <c r="E116" t="inlineStr">
        <is>
          <t>Clinical Nurse Specialist</t>
        </is>
      </c>
      <c r="F116" s="1" t="n">
        <v>44080</v>
      </c>
      <c r="H116" t="inlineStr">
        <is>
          <t>MIVFN2023</t>
        </is>
      </c>
      <c r="I116" t="inlineStr">
        <is>
          <t>VIC</t>
        </is>
      </c>
      <c r="J116" t="inlineStr">
        <is>
          <t>Part Time</t>
        </is>
      </c>
      <c r="K116" s="23" t="n">
        <v>44080</v>
      </c>
      <c r="L116" s="23" t="n">
        <v>44080</v>
      </c>
      <c r="O116" t="n">
        <v>30.4</v>
      </c>
    </row>
    <row r="117">
      <c r="A117" t="n">
        <v>1198</v>
      </c>
      <c r="C117" t="inlineStr">
        <is>
          <t>VIC-TAS</t>
        </is>
      </c>
      <c r="D117" t="inlineStr">
        <is>
          <t>Virtus Health</t>
        </is>
      </c>
      <c r="E117" t="inlineStr">
        <is>
          <t>Enrolled Nurse</t>
        </is>
      </c>
      <c r="F117" t="inlineStr">
        <is>
          <t>6/26/2020</t>
        </is>
      </c>
      <c r="H117" t="inlineStr">
        <is>
          <t>MIVFN2023</t>
        </is>
      </c>
      <c r="I117" t="inlineStr">
        <is>
          <t>VIC</t>
        </is>
      </c>
      <c r="J117" t="inlineStr">
        <is>
          <t>Casual</t>
        </is>
      </c>
      <c r="K117" s="23" t="inlineStr">
        <is>
          <t>6/26/2020</t>
        </is>
      </c>
      <c r="L117" s="23" t="inlineStr">
        <is>
          <t>6/26/2020</t>
        </is>
      </c>
      <c r="O117" t="n">
        <v>38</v>
      </c>
    </row>
    <row r="118">
      <c r="A118" t="n">
        <v>1208</v>
      </c>
      <c r="C118" t="inlineStr">
        <is>
          <t>VIC-TAS</t>
        </is>
      </c>
      <c r="D118" t="inlineStr">
        <is>
          <t>Virtus Health</t>
        </is>
      </c>
      <c r="E118" t="inlineStr">
        <is>
          <t>Genetics Scientist</t>
        </is>
      </c>
      <c r="F118" t="inlineStr">
        <is>
          <t>8/17/2020</t>
        </is>
      </c>
      <c r="H118" t="inlineStr">
        <is>
          <t>MIVFS2022</t>
        </is>
      </c>
      <c r="I118" t="inlineStr">
        <is>
          <t>VIC</t>
        </is>
      </c>
      <c r="J118" t="inlineStr">
        <is>
          <t>Full Time</t>
        </is>
      </c>
      <c r="K118" s="23" t="inlineStr">
        <is>
          <t>8/17/2020</t>
        </is>
      </c>
      <c r="L118" s="23" t="inlineStr">
        <is>
          <t>8/17/2020</t>
        </is>
      </c>
      <c r="O118" t="n">
        <v>38</v>
      </c>
    </row>
    <row r="119">
      <c r="A119" t="n">
        <v>1210</v>
      </c>
      <c r="C119" t="inlineStr">
        <is>
          <t>VIC-TAS</t>
        </is>
      </c>
      <c r="D119" t="inlineStr">
        <is>
          <t>Virtus Health</t>
        </is>
      </c>
      <c r="E119" t="inlineStr">
        <is>
          <t>Accounts Payable Administrator</t>
        </is>
      </c>
      <c r="F119" t="inlineStr">
        <is>
          <t>8/17/2020</t>
        </is>
      </c>
      <c r="H119" t="inlineStr">
        <is>
          <t>MIVFS2022</t>
        </is>
      </c>
      <c r="I119" t="inlineStr">
        <is>
          <t>VIC</t>
        </is>
      </c>
      <c r="J119" t="inlineStr">
        <is>
          <t>Part Time</t>
        </is>
      </c>
      <c r="K119" s="23" t="inlineStr">
        <is>
          <t>8/17/2020</t>
        </is>
      </c>
      <c r="L119" s="23" t="inlineStr">
        <is>
          <t>8/17/2020</t>
        </is>
      </c>
      <c r="O119" t="n">
        <v>22.8</v>
      </c>
    </row>
    <row r="120">
      <c r="A120" t="n">
        <v>1220</v>
      </c>
      <c r="C120" t="inlineStr">
        <is>
          <t>VIC-TAS</t>
        </is>
      </c>
      <c r="D120" t="inlineStr">
        <is>
          <t>Virtus Health</t>
        </is>
      </c>
      <c r="E120" t="inlineStr">
        <is>
          <t>Embryologist</t>
        </is>
      </c>
      <c r="F120" t="inlineStr">
        <is>
          <t>9/21/2020</t>
        </is>
      </c>
      <c r="H120" t="inlineStr">
        <is>
          <t>MIVFS2022</t>
        </is>
      </c>
      <c r="I120" t="inlineStr">
        <is>
          <t>VIC</t>
        </is>
      </c>
      <c r="J120" t="inlineStr">
        <is>
          <t>Full Time</t>
        </is>
      </c>
      <c r="K120" s="23" t="inlineStr">
        <is>
          <t>9/21/2020</t>
        </is>
      </c>
      <c r="L120" s="23" t="inlineStr">
        <is>
          <t>9/21/2020</t>
        </is>
      </c>
      <c r="O120" t="n">
        <v>38</v>
      </c>
    </row>
    <row r="121">
      <c r="A121" t="n">
        <v>1224</v>
      </c>
      <c r="C121" t="inlineStr">
        <is>
          <t>VIC-TAS</t>
        </is>
      </c>
      <c r="D121" t="inlineStr">
        <is>
          <t>Virtus Health</t>
        </is>
      </c>
      <c r="E121" t="inlineStr">
        <is>
          <t>Donor Nurse</t>
        </is>
      </c>
      <c r="F121" t="inlineStr">
        <is>
          <t>10/14/2020</t>
        </is>
      </c>
      <c r="H121" t="inlineStr">
        <is>
          <t>MIVFN2023</t>
        </is>
      </c>
      <c r="I121" t="inlineStr">
        <is>
          <t>VIC</t>
        </is>
      </c>
      <c r="J121" t="inlineStr">
        <is>
          <t>Part Time</t>
        </is>
      </c>
      <c r="K121" s="23" t="inlineStr">
        <is>
          <t>10/14/2020</t>
        </is>
      </c>
      <c r="L121" s="23" t="inlineStr">
        <is>
          <t>10/14/2020</t>
        </is>
      </c>
      <c r="O121" t="n">
        <v>22.8</v>
      </c>
    </row>
    <row r="122">
      <c r="A122" t="n">
        <v>1228</v>
      </c>
      <c r="B122" s="1" t="n"/>
      <c r="C122" t="inlineStr">
        <is>
          <t>VIC-TAS</t>
        </is>
      </c>
      <c r="D122" t="inlineStr">
        <is>
          <t>Virtus Health</t>
        </is>
      </c>
      <c r="E122" t="inlineStr">
        <is>
          <t>Receptionist</t>
        </is>
      </c>
      <c r="F122" s="1" t="n">
        <v>44085</v>
      </c>
      <c r="H122" t="inlineStr">
        <is>
          <t>MIVFS2022</t>
        </is>
      </c>
      <c r="I122" t="inlineStr">
        <is>
          <t>VIC</t>
        </is>
      </c>
      <c r="J122" t="inlineStr">
        <is>
          <t>Full Time</t>
        </is>
      </c>
      <c r="K122" s="23" t="n">
        <v>44085</v>
      </c>
      <c r="L122" s="23" t="n">
        <v>44085</v>
      </c>
      <c r="O122" t="n">
        <v>38</v>
      </c>
    </row>
    <row r="123">
      <c r="A123" t="n">
        <v>1237</v>
      </c>
      <c r="B123" s="1" t="n"/>
      <c r="C123" t="inlineStr">
        <is>
          <t>VIC-TAS</t>
        </is>
      </c>
      <c r="D123" t="inlineStr">
        <is>
          <t>Virtus Health</t>
        </is>
      </c>
      <c r="E123" t="inlineStr">
        <is>
          <t>Genetics Scientist</t>
        </is>
      </c>
      <c r="F123" s="1" t="n">
        <v>44287</v>
      </c>
      <c r="H123" t="inlineStr">
        <is>
          <t>MIVFS2022</t>
        </is>
      </c>
      <c r="I123" t="inlineStr">
        <is>
          <t>VIC</t>
        </is>
      </c>
      <c r="J123" t="inlineStr">
        <is>
          <t>Part Time</t>
        </is>
      </c>
      <c r="K123" s="23" t="n">
        <v>44287</v>
      </c>
      <c r="L123" s="23" t="n">
        <v>44287</v>
      </c>
      <c r="O123" t="n">
        <v>30.4</v>
      </c>
    </row>
    <row r="124">
      <c r="A124" t="n">
        <v>1238</v>
      </c>
      <c r="B124" s="1" t="n"/>
      <c r="C124" t="inlineStr">
        <is>
          <t>VIC-TAS</t>
        </is>
      </c>
      <c r="D124" t="inlineStr">
        <is>
          <t>Virtus Health</t>
        </is>
      </c>
      <c r="E124" t="inlineStr">
        <is>
          <t>Registered Nurse</t>
        </is>
      </c>
      <c r="F124" s="1" t="n">
        <v>44501</v>
      </c>
      <c r="H124" t="inlineStr">
        <is>
          <t>MIVFN2023</t>
        </is>
      </c>
      <c r="I124" t="inlineStr">
        <is>
          <t>VIC</t>
        </is>
      </c>
      <c r="J124" t="inlineStr">
        <is>
          <t>Part Time</t>
        </is>
      </c>
      <c r="K124" s="23" t="n">
        <v>44501</v>
      </c>
      <c r="L124" s="23" t="n">
        <v>44501</v>
      </c>
      <c r="O124" t="n">
        <v>15.2</v>
      </c>
    </row>
    <row r="125">
      <c r="A125" t="n">
        <v>1239</v>
      </c>
      <c r="B125" s="1" t="n"/>
      <c r="C125" t="inlineStr">
        <is>
          <t>VIC-TAS</t>
        </is>
      </c>
      <c r="D125" t="inlineStr">
        <is>
          <t>Virtus Health</t>
        </is>
      </c>
      <c r="E125" t="inlineStr">
        <is>
          <t>Registered Nurse</t>
        </is>
      </c>
      <c r="F125" s="1" t="n">
        <v>44501</v>
      </c>
      <c r="H125" t="inlineStr">
        <is>
          <t>MIVFN2023</t>
        </is>
      </c>
      <c r="I125" t="inlineStr">
        <is>
          <t>VIC</t>
        </is>
      </c>
      <c r="J125" t="inlineStr">
        <is>
          <t>Part Time</t>
        </is>
      </c>
      <c r="K125" s="23" t="n">
        <v>44501</v>
      </c>
      <c r="L125" s="23" t="n">
        <v>44501</v>
      </c>
      <c r="O125" t="n">
        <v>30.2</v>
      </c>
    </row>
    <row r="126">
      <c r="A126" t="n">
        <v>1240</v>
      </c>
      <c r="B126" s="1" t="n"/>
      <c r="C126" t="inlineStr">
        <is>
          <t>VIC-TAS</t>
        </is>
      </c>
      <c r="D126" t="inlineStr">
        <is>
          <t>Virtus Health</t>
        </is>
      </c>
      <c r="E126" t="inlineStr">
        <is>
          <t>Donor and Surrogacy Team Leader</t>
        </is>
      </c>
      <c r="F126" s="1" t="n">
        <v>44501</v>
      </c>
      <c r="H126" t="inlineStr">
        <is>
          <t>MIVFN2023</t>
        </is>
      </c>
      <c r="I126" t="inlineStr">
        <is>
          <t>VIC</t>
        </is>
      </c>
      <c r="J126" t="inlineStr">
        <is>
          <t>Part Time</t>
        </is>
      </c>
      <c r="K126" s="23" t="n">
        <v>44501</v>
      </c>
      <c r="L126" s="23" t="n">
        <v>44501</v>
      </c>
      <c r="O126" t="n">
        <v>26.6</v>
      </c>
    </row>
    <row r="127">
      <c r="A127" t="n">
        <v>1241</v>
      </c>
      <c r="B127" s="1" t="n"/>
      <c r="C127" t="inlineStr">
        <is>
          <t>VIC-TAS</t>
        </is>
      </c>
      <c r="D127" t="inlineStr">
        <is>
          <t>Virtus Health</t>
        </is>
      </c>
      <c r="E127" t="inlineStr">
        <is>
          <t>Registered Nurse</t>
        </is>
      </c>
      <c r="F127" s="1" t="n">
        <v>44501</v>
      </c>
      <c r="H127" t="inlineStr">
        <is>
          <t>MIVFN2023</t>
        </is>
      </c>
      <c r="I127" t="inlineStr">
        <is>
          <t>VIC</t>
        </is>
      </c>
      <c r="J127" t="inlineStr">
        <is>
          <t>Part Time</t>
        </is>
      </c>
      <c r="K127" s="23" t="n">
        <v>44501</v>
      </c>
      <c r="L127" s="23" t="n">
        <v>44501</v>
      </c>
      <c r="O127" t="n">
        <v>30.4</v>
      </c>
    </row>
    <row r="128">
      <c r="A128" t="n">
        <v>1248</v>
      </c>
      <c r="C128" t="inlineStr">
        <is>
          <t>VIC-TAS</t>
        </is>
      </c>
      <c r="D128" t="inlineStr">
        <is>
          <t>Virtus Health</t>
        </is>
      </c>
      <c r="E128" t="inlineStr">
        <is>
          <t>Enrolled Nurse</t>
        </is>
      </c>
      <c r="F128" t="inlineStr">
        <is>
          <t>1/27/2021</t>
        </is>
      </c>
      <c r="H128" t="inlineStr">
        <is>
          <t>MIVFN2023</t>
        </is>
      </c>
      <c r="I128" t="inlineStr">
        <is>
          <t>VIC</t>
        </is>
      </c>
      <c r="J128" t="inlineStr">
        <is>
          <t>Full Time</t>
        </is>
      </c>
      <c r="K128" s="23" t="inlineStr">
        <is>
          <t>1/27/2021</t>
        </is>
      </c>
      <c r="L128" s="23" t="inlineStr">
        <is>
          <t>1/27/2021</t>
        </is>
      </c>
      <c r="O128" t="n">
        <v>38</v>
      </c>
    </row>
    <row r="129">
      <c r="A129" t="n">
        <v>1250</v>
      </c>
      <c r="B129" s="1" t="n"/>
      <c r="C129" t="inlineStr">
        <is>
          <t>VIC-TAS</t>
        </is>
      </c>
      <c r="D129" t="inlineStr">
        <is>
          <t>Virtus Health</t>
        </is>
      </c>
      <c r="E129" t="inlineStr">
        <is>
          <t>Patient Liaison Administrator Team Leader</t>
        </is>
      </c>
      <c r="F129" s="1" t="n">
        <v>44471</v>
      </c>
      <c r="H129" t="inlineStr">
        <is>
          <t>MIVFS2022</t>
        </is>
      </c>
      <c r="I129" t="inlineStr">
        <is>
          <t>VIC</t>
        </is>
      </c>
      <c r="J129" t="inlineStr">
        <is>
          <t>Full Time</t>
        </is>
      </c>
      <c r="K129" s="23" t="n">
        <v>44471</v>
      </c>
      <c r="L129" s="23" t="n">
        <v>44471</v>
      </c>
      <c r="O129" t="n">
        <v>38</v>
      </c>
    </row>
    <row r="130">
      <c r="A130" t="n">
        <v>1256</v>
      </c>
      <c r="B130" s="1" t="n"/>
      <c r="C130" t="inlineStr">
        <is>
          <t>VIC-TAS</t>
        </is>
      </c>
      <c r="D130" t="inlineStr">
        <is>
          <t>Virtus Health</t>
        </is>
      </c>
      <c r="E130" t="inlineStr">
        <is>
          <t>Receptionist</t>
        </is>
      </c>
      <c r="F130" s="1" t="n">
        <v>44199</v>
      </c>
      <c r="H130" t="inlineStr">
        <is>
          <t>MIVFS2022</t>
        </is>
      </c>
      <c r="I130" t="inlineStr">
        <is>
          <t>VIC</t>
        </is>
      </c>
      <c r="J130" t="inlineStr">
        <is>
          <t>Full Time</t>
        </is>
      </c>
      <c r="K130" s="23" t="n">
        <v>44199</v>
      </c>
      <c r="L130" s="23" t="n">
        <v>44199</v>
      </c>
      <c r="O130" t="n">
        <v>38</v>
      </c>
    </row>
    <row r="131">
      <c r="A131" t="n">
        <v>1258</v>
      </c>
      <c r="B131" s="1" t="n"/>
      <c r="C131" t="inlineStr">
        <is>
          <t>VIC-TAS</t>
        </is>
      </c>
      <c r="D131" t="inlineStr">
        <is>
          <t>Virtus Health</t>
        </is>
      </c>
      <c r="E131" t="inlineStr">
        <is>
          <t>Donor Nurse</t>
        </is>
      </c>
      <c r="F131" s="1" t="n">
        <v>44199</v>
      </c>
      <c r="H131" t="inlineStr">
        <is>
          <t>MIVFN2023</t>
        </is>
      </c>
      <c r="I131" t="inlineStr">
        <is>
          <t>NSW</t>
        </is>
      </c>
      <c r="J131" t="inlineStr">
        <is>
          <t>Part Time</t>
        </is>
      </c>
      <c r="K131" s="23" t="n">
        <v>44199</v>
      </c>
      <c r="L131" s="23" t="n">
        <v>44199</v>
      </c>
      <c r="O131" t="n">
        <v>26.6</v>
      </c>
    </row>
    <row r="132">
      <c r="A132" t="n">
        <v>1261</v>
      </c>
      <c r="B132" s="1" t="n"/>
      <c r="C132" t="inlineStr">
        <is>
          <t>VIC-TAS</t>
        </is>
      </c>
      <c r="D132" t="inlineStr">
        <is>
          <t>Virtus Health</t>
        </is>
      </c>
      <c r="E132" t="inlineStr">
        <is>
          <t>Donor Nurse</t>
        </is>
      </c>
      <c r="F132" s="1" t="n">
        <v>44381</v>
      </c>
      <c r="H132" t="inlineStr">
        <is>
          <t>MIVFN2023</t>
        </is>
      </c>
      <c r="I132" t="inlineStr">
        <is>
          <t>VIC</t>
        </is>
      </c>
      <c r="J132" t="inlineStr">
        <is>
          <t>Full Time</t>
        </is>
      </c>
      <c r="K132" s="23" t="n">
        <v>44381</v>
      </c>
      <c r="L132" s="23" t="n">
        <v>44381</v>
      </c>
      <c r="O132" t="n">
        <v>38</v>
      </c>
    </row>
    <row r="133">
      <c r="A133" t="n">
        <v>1262</v>
      </c>
      <c r="B133" s="1" t="n"/>
      <c r="C133" t="inlineStr">
        <is>
          <t>VIC-TAS</t>
        </is>
      </c>
      <c r="D133" t="inlineStr">
        <is>
          <t>Virtus Health</t>
        </is>
      </c>
      <c r="E133" t="inlineStr">
        <is>
          <t>Courier</t>
        </is>
      </c>
      <c r="F133" s="1" t="n">
        <v>44351</v>
      </c>
      <c r="H133" t="inlineStr">
        <is>
          <t>IVFS2023</t>
        </is>
      </c>
      <c r="I133" t="inlineStr">
        <is>
          <t>VIC</t>
        </is>
      </c>
      <c r="J133" t="inlineStr">
        <is>
          <t>Casual</t>
        </is>
      </c>
      <c r="K133" s="23" t="n">
        <v>44351</v>
      </c>
      <c r="L133" s="23" t="n">
        <v>44351</v>
      </c>
      <c r="O133" t="n">
        <v>38</v>
      </c>
    </row>
    <row r="134">
      <c r="A134" t="n">
        <v>1263</v>
      </c>
      <c r="B134" s="1" t="n"/>
      <c r="C134" t="inlineStr">
        <is>
          <t>VIC-TAS</t>
        </is>
      </c>
      <c r="D134" t="inlineStr">
        <is>
          <t>Virtus Health</t>
        </is>
      </c>
      <c r="E134" t="inlineStr">
        <is>
          <t>Genetics Scientist</t>
        </is>
      </c>
      <c r="F134" s="1" t="n">
        <v>44534</v>
      </c>
      <c r="H134" t="inlineStr">
        <is>
          <t>MIVFS2022</t>
        </is>
      </c>
      <c r="I134" t="inlineStr">
        <is>
          <t>VIC</t>
        </is>
      </c>
      <c r="J134" t="inlineStr">
        <is>
          <t>Part Time</t>
        </is>
      </c>
      <c r="K134" s="23" t="n">
        <v>44534</v>
      </c>
      <c r="L134" s="23" t="n">
        <v>44534</v>
      </c>
      <c r="O134" t="n">
        <v>30.4</v>
      </c>
    </row>
    <row r="135">
      <c r="A135" t="n">
        <v>1265</v>
      </c>
      <c r="B135" s="1" t="n"/>
      <c r="C135" t="inlineStr">
        <is>
          <t>VIC-TAS</t>
        </is>
      </c>
      <c r="D135" t="inlineStr">
        <is>
          <t>Virtus Health</t>
        </is>
      </c>
      <c r="E135" t="inlineStr">
        <is>
          <t>Registered Nurse</t>
        </is>
      </c>
      <c r="F135" s="1" t="n">
        <v>44534</v>
      </c>
      <c r="H135" t="inlineStr">
        <is>
          <t>MIVFN2023</t>
        </is>
      </c>
      <c r="I135" t="inlineStr">
        <is>
          <t>VIC</t>
        </is>
      </c>
      <c r="J135" t="inlineStr">
        <is>
          <t>Full Time</t>
        </is>
      </c>
      <c r="K135" s="23" t="n">
        <v>44534</v>
      </c>
      <c r="L135" s="23" t="n">
        <v>44534</v>
      </c>
      <c r="O135" t="n">
        <v>38</v>
      </c>
    </row>
    <row r="136">
      <c r="A136" t="n">
        <v>1266</v>
      </c>
      <c r="C136" t="inlineStr">
        <is>
          <t>VIC-TAS</t>
        </is>
      </c>
      <c r="D136" t="inlineStr">
        <is>
          <t>Virtus Health</t>
        </is>
      </c>
      <c r="E136" t="inlineStr">
        <is>
          <t>Receptionist</t>
        </is>
      </c>
      <c r="F136" t="inlineStr">
        <is>
          <t>4/19/2021</t>
        </is>
      </c>
      <c r="H136" t="inlineStr">
        <is>
          <t>MIVFS2022</t>
        </is>
      </c>
      <c r="I136" t="inlineStr">
        <is>
          <t>VIC</t>
        </is>
      </c>
      <c r="J136" t="inlineStr">
        <is>
          <t>Full Time</t>
        </is>
      </c>
      <c r="K136" s="23" t="inlineStr">
        <is>
          <t>4/19/2021</t>
        </is>
      </c>
      <c r="L136" s="23" t="inlineStr">
        <is>
          <t>4/19/2021</t>
        </is>
      </c>
      <c r="O136" t="n">
        <v>38</v>
      </c>
    </row>
    <row r="137">
      <c r="A137" t="n">
        <v>1267</v>
      </c>
      <c r="C137" t="inlineStr">
        <is>
          <t>VIC-TAS</t>
        </is>
      </c>
      <c r="D137" t="inlineStr">
        <is>
          <t>Virtus Health</t>
        </is>
      </c>
      <c r="E137" t="inlineStr">
        <is>
          <t>Clinical Nurse Specialist</t>
        </is>
      </c>
      <c r="F137" t="inlineStr">
        <is>
          <t>4/26/2021</t>
        </is>
      </c>
      <c r="H137" t="inlineStr">
        <is>
          <t>MIVFN2023</t>
        </is>
      </c>
      <c r="I137" t="inlineStr">
        <is>
          <t>VIC</t>
        </is>
      </c>
      <c r="J137" t="inlineStr">
        <is>
          <t>Full Time</t>
        </is>
      </c>
      <c r="K137" s="23" t="inlineStr">
        <is>
          <t>4/26/2021</t>
        </is>
      </c>
      <c r="L137" s="23" t="inlineStr">
        <is>
          <t>4/26/2021</t>
        </is>
      </c>
      <c r="O137" t="n">
        <v>38</v>
      </c>
    </row>
    <row r="138">
      <c r="A138" t="n">
        <v>1268</v>
      </c>
      <c r="C138" t="inlineStr">
        <is>
          <t>VIC-TAS</t>
        </is>
      </c>
      <c r="D138" t="inlineStr">
        <is>
          <t>Virtus Health</t>
        </is>
      </c>
      <c r="E138" t="inlineStr">
        <is>
          <t>Registered Nurse</t>
        </is>
      </c>
      <c r="F138" t="inlineStr">
        <is>
          <t>4/26/2021</t>
        </is>
      </c>
      <c r="H138" t="inlineStr">
        <is>
          <t>MIVFN2023</t>
        </is>
      </c>
      <c r="I138" t="inlineStr">
        <is>
          <t>VIC</t>
        </is>
      </c>
      <c r="J138" t="inlineStr">
        <is>
          <t>Part Time</t>
        </is>
      </c>
      <c r="K138" s="23" t="inlineStr">
        <is>
          <t>4/26/2021</t>
        </is>
      </c>
      <c r="L138" s="23" t="inlineStr">
        <is>
          <t>4/26/2021</t>
        </is>
      </c>
      <c r="O138" t="n">
        <v>30.4</v>
      </c>
    </row>
    <row r="139">
      <c r="A139" t="n">
        <v>1270</v>
      </c>
      <c r="C139" t="inlineStr">
        <is>
          <t>VIC-TAS</t>
        </is>
      </c>
      <c r="D139" t="inlineStr">
        <is>
          <t>Virtus Health</t>
        </is>
      </c>
      <c r="E139" t="inlineStr">
        <is>
          <t>Registered Nurse</t>
        </is>
      </c>
      <c r="F139" t="inlineStr">
        <is>
          <t>4/26/2021</t>
        </is>
      </c>
      <c r="H139" t="inlineStr">
        <is>
          <t>MIVFN2023</t>
        </is>
      </c>
      <c r="I139" t="inlineStr">
        <is>
          <t>VIC</t>
        </is>
      </c>
      <c r="J139" t="inlineStr">
        <is>
          <t>Full Time</t>
        </is>
      </c>
      <c r="K139" s="23" t="inlineStr">
        <is>
          <t>4/26/2021</t>
        </is>
      </c>
      <c r="L139" s="23" t="inlineStr">
        <is>
          <t>4/26/2021</t>
        </is>
      </c>
      <c r="O139" t="n">
        <v>38</v>
      </c>
    </row>
    <row r="140">
      <c r="A140" t="n">
        <v>1271</v>
      </c>
      <c r="C140" t="inlineStr">
        <is>
          <t>VIC-TAS</t>
        </is>
      </c>
      <c r="D140" t="inlineStr">
        <is>
          <t>Virtus Health</t>
        </is>
      </c>
      <c r="E140" t="inlineStr">
        <is>
          <t>Clinical Nurse Specialist</t>
        </is>
      </c>
      <c r="F140" t="inlineStr">
        <is>
          <t>4/26/2021</t>
        </is>
      </c>
      <c r="H140" t="inlineStr">
        <is>
          <t>MIVFN2023</t>
        </is>
      </c>
      <c r="I140" t="inlineStr">
        <is>
          <t>VIC</t>
        </is>
      </c>
      <c r="J140" t="inlineStr">
        <is>
          <t>Part Time</t>
        </is>
      </c>
      <c r="K140" s="23" t="inlineStr">
        <is>
          <t>4/26/2021</t>
        </is>
      </c>
      <c r="L140" s="23" t="inlineStr">
        <is>
          <t>4/26/2021</t>
        </is>
      </c>
      <c r="O140" t="n">
        <v>22.8</v>
      </c>
    </row>
    <row r="141">
      <c r="A141" t="n">
        <v>1273</v>
      </c>
      <c r="C141" t="inlineStr">
        <is>
          <t>VIC-TAS</t>
        </is>
      </c>
      <c r="D141" t="inlineStr">
        <is>
          <t>Virtus Health</t>
        </is>
      </c>
      <c r="E141" t="inlineStr">
        <is>
          <t>Genetic Counsellor</t>
        </is>
      </c>
      <c r="F141" t="inlineStr">
        <is>
          <t>6/14/2021</t>
        </is>
      </c>
      <c r="H141" t="inlineStr">
        <is>
          <t>MIVFC2021</t>
        </is>
      </c>
      <c r="I141" t="inlineStr">
        <is>
          <t>VIC</t>
        </is>
      </c>
      <c r="J141" t="inlineStr">
        <is>
          <t>Part Time</t>
        </is>
      </c>
      <c r="K141" s="23" t="inlineStr">
        <is>
          <t>6/14/2021</t>
        </is>
      </c>
      <c r="L141" s="23" t="inlineStr">
        <is>
          <t>6/14/2021</t>
        </is>
      </c>
      <c r="O141" t="n">
        <v>22.8</v>
      </c>
    </row>
    <row r="142">
      <c r="A142" t="n">
        <v>1275</v>
      </c>
      <c r="C142" t="inlineStr">
        <is>
          <t>VIC-TAS</t>
        </is>
      </c>
      <c r="D142" t="inlineStr">
        <is>
          <t>Virtus Health</t>
        </is>
      </c>
      <c r="E142" t="inlineStr">
        <is>
          <t>Registered Nurse</t>
        </is>
      </c>
      <c r="F142" t="inlineStr">
        <is>
          <t>6/21/2021</t>
        </is>
      </c>
      <c r="H142" t="inlineStr">
        <is>
          <t>MIVFN2023</t>
        </is>
      </c>
      <c r="I142" t="inlineStr">
        <is>
          <t>VIC</t>
        </is>
      </c>
      <c r="J142" t="inlineStr">
        <is>
          <t>Part Time</t>
        </is>
      </c>
      <c r="K142" s="23" t="inlineStr">
        <is>
          <t>6/21/2021</t>
        </is>
      </c>
      <c r="L142" s="23" t="inlineStr">
        <is>
          <t>6/21/2021</t>
        </is>
      </c>
      <c r="O142" t="n">
        <v>30.4</v>
      </c>
    </row>
    <row r="143">
      <c r="A143" t="n">
        <v>1276</v>
      </c>
      <c r="B143" s="1" t="n"/>
      <c r="C143" t="inlineStr">
        <is>
          <t>VIC-TAS</t>
        </is>
      </c>
      <c r="D143" t="inlineStr">
        <is>
          <t>Virtus Health</t>
        </is>
      </c>
      <c r="E143" t="inlineStr">
        <is>
          <t>Counsellor</t>
        </is>
      </c>
      <c r="F143" s="1" t="n">
        <v>44323</v>
      </c>
      <c r="H143" t="inlineStr">
        <is>
          <t>MIVFC2021</t>
        </is>
      </c>
      <c r="I143" t="inlineStr">
        <is>
          <t>VIC</t>
        </is>
      </c>
      <c r="J143" t="inlineStr">
        <is>
          <t>Part Time</t>
        </is>
      </c>
      <c r="K143" s="23" t="n">
        <v>44323</v>
      </c>
      <c r="L143" s="23" t="n">
        <v>44323</v>
      </c>
      <c r="O143" t="n">
        <v>30.4</v>
      </c>
    </row>
    <row r="144">
      <c r="A144" t="n">
        <v>1277</v>
      </c>
      <c r="C144" t="inlineStr">
        <is>
          <t>VIC-TAS</t>
        </is>
      </c>
      <c r="D144" t="inlineStr">
        <is>
          <t>Virtus Health</t>
        </is>
      </c>
      <c r="E144" t="inlineStr">
        <is>
          <t>Patient Care Co-ordinator</t>
        </is>
      </c>
      <c r="F144" t="inlineStr">
        <is>
          <t>7/13/2021</t>
        </is>
      </c>
      <c r="H144" t="inlineStr">
        <is>
          <t>MIVFS2022</t>
        </is>
      </c>
      <c r="I144" t="inlineStr">
        <is>
          <t>VIC</t>
        </is>
      </c>
      <c r="J144" t="inlineStr">
        <is>
          <t>Full Time</t>
        </is>
      </c>
      <c r="K144" s="23" t="inlineStr">
        <is>
          <t>7/13/2021</t>
        </is>
      </c>
      <c r="L144" s="23" t="inlineStr">
        <is>
          <t>7/13/2021</t>
        </is>
      </c>
      <c r="O144" t="n">
        <v>38</v>
      </c>
    </row>
    <row r="145">
      <c r="A145" t="n">
        <v>1281</v>
      </c>
      <c r="C145" t="inlineStr">
        <is>
          <t>VIC-TAS</t>
        </is>
      </c>
      <c r="D145" t="inlineStr">
        <is>
          <t>Virtus Health</t>
        </is>
      </c>
      <c r="E145" t="inlineStr">
        <is>
          <t>Embryologist</t>
        </is>
      </c>
      <c r="F145" t="inlineStr">
        <is>
          <t>7/28/2021</t>
        </is>
      </c>
      <c r="H145" t="inlineStr">
        <is>
          <t>MIVFS2022</t>
        </is>
      </c>
      <c r="I145" t="inlineStr">
        <is>
          <t>VIC</t>
        </is>
      </c>
      <c r="J145" t="inlineStr">
        <is>
          <t>Full Time</t>
        </is>
      </c>
      <c r="K145" s="23" t="inlineStr">
        <is>
          <t>7/28/2021</t>
        </is>
      </c>
      <c r="L145" s="23" t="inlineStr">
        <is>
          <t>7/28/2021</t>
        </is>
      </c>
      <c r="O145" t="n">
        <v>38</v>
      </c>
    </row>
    <row r="146">
      <c r="A146" t="n">
        <v>1284</v>
      </c>
      <c r="B146" s="1" t="n"/>
      <c r="C146" t="inlineStr">
        <is>
          <t>VIC-TAS</t>
        </is>
      </c>
      <c r="D146" t="inlineStr">
        <is>
          <t>Virtus Health</t>
        </is>
      </c>
      <c r="E146" t="inlineStr">
        <is>
          <t>Embryologist</t>
        </is>
      </c>
      <c r="F146" s="1" t="n">
        <v>44447</v>
      </c>
      <c r="H146" t="inlineStr">
        <is>
          <t>MIVFS2022</t>
        </is>
      </c>
      <c r="I146" t="inlineStr">
        <is>
          <t>VIC</t>
        </is>
      </c>
      <c r="J146" t="inlineStr">
        <is>
          <t>Full Time</t>
        </is>
      </c>
      <c r="K146" s="23" t="n">
        <v>44447</v>
      </c>
      <c r="L146" s="23" t="n">
        <v>44447</v>
      </c>
      <c r="O146" t="n">
        <v>38</v>
      </c>
    </row>
    <row r="147">
      <c r="A147" t="n">
        <v>1286</v>
      </c>
      <c r="B147" s="1" t="n"/>
      <c r="C147" t="inlineStr">
        <is>
          <t>VIC-TAS</t>
        </is>
      </c>
      <c r="D147" t="inlineStr">
        <is>
          <t>Virtus Health</t>
        </is>
      </c>
      <c r="E147" t="inlineStr">
        <is>
          <t>Managing Medical Director TasIVF</t>
        </is>
      </c>
      <c r="F147" s="1" t="n">
        <v>44537</v>
      </c>
      <c r="H147" t="inlineStr">
        <is>
          <t>VIC</t>
        </is>
      </c>
      <c r="I147" t="inlineStr">
        <is>
          <t>VIC</t>
        </is>
      </c>
      <c r="J147" t="inlineStr">
        <is>
          <t>Part Time</t>
        </is>
      </c>
      <c r="K147" s="23" t="n">
        <v>44537</v>
      </c>
      <c r="L147" s="23" t="n">
        <v>44537</v>
      </c>
      <c r="O147" t="n">
        <v>7.6</v>
      </c>
    </row>
    <row r="148">
      <c r="A148" t="n">
        <v>1293</v>
      </c>
      <c r="B148" s="1" t="n"/>
      <c r="C148" t="inlineStr">
        <is>
          <t>VIC-TAS</t>
        </is>
      </c>
      <c r="D148" t="inlineStr">
        <is>
          <t>Virtus Health</t>
        </is>
      </c>
      <c r="E148" t="inlineStr">
        <is>
          <t>Registered Nurse</t>
        </is>
      </c>
      <c r="F148" s="1" t="n">
        <v>44356</v>
      </c>
      <c r="H148" t="inlineStr">
        <is>
          <t>MIVFN2023</t>
        </is>
      </c>
      <c r="I148" t="inlineStr">
        <is>
          <t>VIC</t>
        </is>
      </c>
      <c r="J148" t="inlineStr">
        <is>
          <t>Part Time</t>
        </is>
      </c>
      <c r="K148" s="23" t="n">
        <v>44356</v>
      </c>
      <c r="L148" s="23" t="n">
        <v>44356</v>
      </c>
      <c r="O148" t="n">
        <v>30.4</v>
      </c>
    </row>
    <row r="149">
      <c r="A149" t="n">
        <v>1300</v>
      </c>
      <c r="C149" t="inlineStr">
        <is>
          <t>VIC-TAS</t>
        </is>
      </c>
      <c r="D149" t="inlineStr">
        <is>
          <t>Virtus Health</t>
        </is>
      </c>
      <c r="E149" t="inlineStr">
        <is>
          <t>Administration Clerk</t>
        </is>
      </c>
      <c r="F149" t="inlineStr">
        <is>
          <t>9/21/2021</t>
        </is>
      </c>
      <c r="H149" t="inlineStr">
        <is>
          <t>MIVFS2022</t>
        </is>
      </c>
      <c r="I149" t="inlineStr">
        <is>
          <t>VIC</t>
        </is>
      </c>
      <c r="J149" t="inlineStr">
        <is>
          <t>Part Time</t>
        </is>
      </c>
      <c r="K149" s="23" t="inlineStr">
        <is>
          <t>9/21/2021</t>
        </is>
      </c>
      <c r="L149" s="23" t="inlineStr">
        <is>
          <t>9/21/2021</t>
        </is>
      </c>
      <c r="O149" t="n">
        <v>10.6</v>
      </c>
    </row>
    <row r="150">
      <c r="A150" t="n">
        <v>1302</v>
      </c>
      <c r="C150" t="inlineStr">
        <is>
          <t>VIC-TAS</t>
        </is>
      </c>
      <c r="D150" t="inlineStr">
        <is>
          <t>Virtus Health</t>
        </is>
      </c>
      <c r="E150" t="inlineStr">
        <is>
          <t>Lead Chemical Pathologist</t>
        </is>
      </c>
      <c r="F150" t="inlineStr">
        <is>
          <t>9/22/2021</t>
        </is>
      </c>
      <c r="H150" t="inlineStr">
        <is>
          <t>ACT</t>
        </is>
      </c>
      <c r="I150" t="inlineStr">
        <is>
          <t>ACT</t>
        </is>
      </c>
      <c r="J150" t="inlineStr">
        <is>
          <t>Full Time</t>
        </is>
      </c>
      <c r="K150" s="23" t="inlineStr">
        <is>
          <t>9/22/2021</t>
        </is>
      </c>
      <c r="L150" s="23" t="inlineStr">
        <is>
          <t>9/22/2021</t>
        </is>
      </c>
      <c r="O150" t="n">
        <v>38</v>
      </c>
    </row>
    <row r="151">
      <c r="A151" t="n">
        <v>1310</v>
      </c>
      <c r="C151" t="inlineStr">
        <is>
          <t>VIC-TAS</t>
        </is>
      </c>
      <c r="D151" t="inlineStr">
        <is>
          <t>Virtus Health</t>
        </is>
      </c>
      <c r="E151" t="inlineStr">
        <is>
          <t>Genetics Scientist</t>
        </is>
      </c>
      <c r="F151" t="inlineStr">
        <is>
          <t>10/18/2021</t>
        </is>
      </c>
      <c r="H151" t="inlineStr">
        <is>
          <t>MIVFS2022</t>
        </is>
      </c>
      <c r="I151" t="inlineStr">
        <is>
          <t>VIC</t>
        </is>
      </c>
      <c r="J151" t="inlineStr">
        <is>
          <t>Full Time</t>
        </is>
      </c>
      <c r="K151" s="23" t="inlineStr">
        <is>
          <t>10/18/2021</t>
        </is>
      </c>
      <c r="L151" s="23" t="inlineStr">
        <is>
          <t>10/18/2021</t>
        </is>
      </c>
      <c r="O151" t="n">
        <v>38</v>
      </c>
    </row>
    <row r="152">
      <c r="A152" t="n">
        <v>1311</v>
      </c>
      <c r="B152" s="1" t="n"/>
      <c r="C152" t="inlineStr">
        <is>
          <t>VIC-TAS</t>
        </is>
      </c>
      <c r="D152" t="inlineStr">
        <is>
          <t>Virtus Health</t>
        </is>
      </c>
      <c r="E152" t="inlineStr">
        <is>
          <t>Embryologist</t>
        </is>
      </c>
      <c r="F152" s="1" t="n">
        <v>44510</v>
      </c>
      <c r="H152" t="inlineStr">
        <is>
          <t>MIVFS2022</t>
        </is>
      </c>
      <c r="I152" t="inlineStr">
        <is>
          <t>VIC</t>
        </is>
      </c>
      <c r="J152" t="inlineStr">
        <is>
          <t>Full Time</t>
        </is>
      </c>
      <c r="K152" s="23" t="n">
        <v>44510</v>
      </c>
      <c r="L152" s="23" t="n">
        <v>44510</v>
      </c>
      <c r="O152" t="n">
        <v>38</v>
      </c>
    </row>
    <row r="153">
      <c r="A153" t="n">
        <v>1313</v>
      </c>
      <c r="B153" s="1" t="n"/>
      <c r="C153" t="inlineStr">
        <is>
          <t>VIC-TAS</t>
        </is>
      </c>
      <c r="D153" t="inlineStr">
        <is>
          <t>Virtus Health</t>
        </is>
      </c>
      <c r="E153" t="inlineStr">
        <is>
          <t>Accounts Receivable Administrator</t>
        </is>
      </c>
      <c r="F153" s="1" t="n">
        <v>44266</v>
      </c>
      <c r="H153" t="inlineStr">
        <is>
          <t>MIVFS2022</t>
        </is>
      </c>
      <c r="I153" t="inlineStr">
        <is>
          <t>VIC</t>
        </is>
      </c>
      <c r="J153" t="inlineStr">
        <is>
          <t>Full Time</t>
        </is>
      </c>
      <c r="K153" s="23" t="n">
        <v>44266</v>
      </c>
      <c r="L153" s="23" t="n">
        <v>44266</v>
      </c>
      <c r="O153" t="n">
        <v>38</v>
      </c>
    </row>
    <row r="154">
      <c r="A154" t="n">
        <v>1316</v>
      </c>
      <c r="B154" s="1" t="n"/>
      <c r="C154" t="inlineStr">
        <is>
          <t>VIC-TAS</t>
        </is>
      </c>
      <c r="D154" t="inlineStr">
        <is>
          <t>Virtus Health</t>
        </is>
      </c>
      <c r="E154" t="inlineStr">
        <is>
          <t>Genetics Scientist</t>
        </is>
      </c>
      <c r="F154" s="1" t="n">
        <v>44266</v>
      </c>
      <c r="H154" t="inlineStr">
        <is>
          <t>MIVFS2022</t>
        </is>
      </c>
      <c r="I154" t="inlineStr">
        <is>
          <t>VIC</t>
        </is>
      </c>
      <c r="J154" t="inlineStr">
        <is>
          <t>Full Time</t>
        </is>
      </c>
      <c r="K154" s="23" t="n">
        <v>44266</v>
      </c>
      <c r="L154" s="23" t="n">
        <v>44266</v>
      </c>
      <c r="O154" t="n">
        <v>38</v>
      </c>
    </row>
    <row r="155">
      <c r="A155" t="n">
        <v>1317</v>
      </c>
      <c r="B155" s="1" t="n"/>
      <c r="C155" t="inlineStr">
        <is>
          <t>VIC-TAS</t>
        </is>
      </c>
      <c r="D155" t="inlineStr">
        <is>
          <t>Virtus Health</t>
        </is>
      </c>
      <c r="E155" t="inlineStr">
        <is>
          <t>Genetics Scientist</t>
        </is>
      </c>
      <c r="F155" s="1" t="n">
        <v>44266</v>
      </c>
      <c r="H155" t="inlineStr">
        <is>
          <t>MIVFS2022</t>
        </is>
      </c>
      <c r="I155" t="inlineStr">
        <is>
          <t>VIC</t>
        </is>
      </c>
      <c r="J155" t="inlineStr">
        <is>
          <t>Full Time</t>
        </is>
      </c>
      <c r="K155" s="23" t="n">
        <v>44266</v>
      </c>
      <c r="L155" s="23" t="n">
        <v>44266</v>
      </c>
      <c r="O155" t="n">
        <v>38</v>
      </c>
    </row>
    <row r="156">
      <c r="A156" t="n">
        <v>1320</v>
      </c>
      <c r="C156" t="inlineStr">
        <is>
          <t>VIC-TAS</t>
        </is>
      </c>
      <c r="D156" t="inlineStr">
        <is>
          <t>Virtus Health</t>
        </is>
      </c>
      <c r="E156" t="inlineStr">
        <is>
          <t>Genetics Scientist</t>
        </is>
      </c>
      <c r="F156" t="inlineStr">
        <is>
          <t>11/15/2021</t>
        </is>
      </c>
      <c r="H156" t="inlineStr">
        <is>
          <t>MIVFS2022</t>
        </is>
      </c>
      <c r="I156" t="inlineStr">
        <is>
          <t>VIC</t>
        </is>
      </c>
      <c r="J156" t="inlineStr">
        <is>
          <t>Full Time</t>
        </is>
      </c>
      <c r="K156" s="23" t="inlineStr">
        <is>
          <t>11/15/2021</t>
        </is>
      </c>
      <c r="L156" s="23" t="inlineStr">
        <is>
          <t>11/15/2021</t>
        </is>
      </c>
      <c r="O156" t="n">
        <v>38</v>
      </c>
    </row>
    <row r="157">
      <c r="A157" t="n">
        <v>1324</v>
      </c>
      <c r="C157" t="inlineStr">
        <is>
          <t>VIC-TAS</t>
        </is>
      </c>
      <c r="D157" t="inlineStr">
        <is>
          <t>Virtus Health</t>
        </is>
      </c>
      <c r="E157" t="inlineStr">
        <is>
          <t>Registered Nurse</t>
        </is>
      </c>
      <c r="F157" t="inlineStr">
        <is>
          <t>11/22/2021</t>
        </is>
      </c>
      <c r="H157" t="inlineStr">
        <is>
          <t>MIVFN2023</t>
        </is>
      </c>
      <c r="I157" t="inlineStr">
        <is>
          <t>VIC</t>
        </is>
      </c>
      <c r="J157" t="inlineStr">
        <is>
          <t>Casual</t>
        </is>
      </c>
      <c r="K157" s="23" t="inlineStr">
        <is>
          <t>11/22/2021</t>
        </is>
      </c>
      <c r="L157" s="23" t="inlineStr">
        <is>
          <t>11/22/2021</t>
        </is>
      </c>
      <c r="O157" t="n">
        <v>38</v>
      </c>
    </row>
    <row r="158">
      <c r="A158" t="n">
        <v>1326</v>
      </c>
      <c r="C158" t="inlineStr">
        <is>
          <t>VIC-TAS</t>
        </is>
      </c>
      <c r="D158" t="inlineStr">
        <is>
          <t>Virtus Health</t>
        </is>
      </c>
      <c r="E158" t="inlineStr">
        <is>
          <t>Receptionist</t>
        </is>
      </c>
      <c r="F158" t="inlineStr">
        <is>
          <t>11/22/2021</t>
        </is>
      </c>
      <c r="H158" t="inlineStr">
        <is>
          <t>MIVFS2022</t>
        </is>
      </c>
      <c r="I158" t="inlineStr">
        <is>
          <t>VIC</t>
        </is>
      </c>
      <c r="J158" t="inlineStr">
        <is>
          <t>Full Time</t>
        </is>
      </c>
      <c r="K158" s="23" t="inlineStr">
        <is>
          <t>11/22/2021</t>
        </is>
      </c>
      <c r="L158" s="23" t="inlineStr">
        <is>
          <t>11/22/2021</t>
        </is>
      </c>
      <c r="O158" t="n">
        <v>38</v>
      </c>
    </row>
    <row r="159">
      <c r="A159" t="n">
        <v>1331</v>
      </c>
      <c r="C159" t="inlineStr">
        <is>
          <t>VIC-TAS</t>
        </is>
      </c>
      <c r="D159" t="inlineStr">
        <is>
          <t>Virtus Health</t>
        </is>
      </c>
      <c r="E159" t="inlineStr">
        <is>
          <t>Medical Records Administrator</t>
        </is>
      </c>
      <c r="F159" t="inlineStr">
        <is>
          <t>12/22/2021</t>
        </is>
      </c>
      <c r="H159" t="inlineStr">
        <is>
          <t>MIVFS2022</t>
        </is>
      </c>
      <c r="I159" t="inlineStr">
        <is>
          <t>VIC</t>
        </is>
      </c>
      <c r="J159" t="inlineStr">
        <is>
          <t>Full Time</t>
        </is>
      </c>
      <c r="K159" s="23" t="inlineStr">
        <is>
          <t>12/22/2021</t>
        </is>
      </c>
      <c r="L159" s="23" t="inlineStr">
        <is>
          <t>12/22/2021</t>
        </is>
      </c>
      <c r="O159" t="n">
        <v>38</v>
      </c>
    </row>
    <row r="160">
      <c r="A160" t="n">
        <v>1332</v>
      </c>
      <c r="B160" s="1" t="n"/>
      <c r="C160" t="inlineStr">
        <is>
          <t>VIC-TAS</t>
        </is>
      </c>
      <c r="D160" t="inlineStr">
        <is>
          <t>Virtus Health</t>
        </is>
      </c>
      <c r="E160" t="inlineStr">
        <is>
          <t>Clinical Nurse Specialist</t>
        </is>
      </c>
      <c r="F160" s="1" t="n">
        <v>44744</v>
      </c>
      <c r="H160" t="inlineStr">
        <is>
          <t>MIVFN2023</t>
        </is>
      </c>
      <c r="I160" t="inlineStr">
        <is>
          <t>VIC</t>
        </is>
      </c>
      <c r="J160" t="inlineStr">
        <is>
          <t>Full Time</t>
        </is>
      </c>
      <c r="K160" s="23" t="n">
        <v>44744</v>
      </c>
      <c r="L160" s="23" t="n">
        <v>44744</v>
      </c>
      <c r="O160" t="n">
        <v>38</v>
      </c>
    </row>
    <row r="161">
      <c r="A161" t="n">
        <v>1334</v>
      </c>
      <c r="B161" s="1" t="n"/>
      <c r="C161" t="inlineStr">
        <is>
          <t>VIC-TAS</t>
        </is>
      </c>
      <c r="D161" t="inlineStr">
        <is>
          <t>Virtus Health</t>
        </is>
      </c>
      <c r="E161" t="inlineStr">
        <is>
          <t>Revenue and Billing Team Leader</t>
        </is>
      </c>
      <c r="F161" s="1" t="n">
        <v>44744</v>
      </c>
      <c r="H161" t="inlineStr">
        <is>
          <t>MIVFS2022</t>
        </is>
      </c>
      <c r="I161" t="inlineStr">
        <is>
          <t>VIC</t>
        </is>
      </c>
      <c r="J161" t="inlineStr">
        <is>
          <t>Full Time</t>
        </is>
      </c>
      <c r="K161" s="23" t="n">
        <v>44744</v>
      </c>
      <c r="L161" s="23" t="n">
        <v>44744</v>
      </c>
      <c r="O161" t="n">
        <v>38</v>
      </c>
    </row>
    <row r="162">
      <c r="A162" t="n">
        <v>1338</v>
      </c>
      <c r="B162" s="1" t="n"/>
      <c r="C162" t="inlineStr">
        <is>
          <t>VIC-TAS</t>
        </is>
      </c>
      <c r="D162" t="inlineStr">
        <is>
          <t>Virtus Health</t>
        </is>
      </c>
      <c r="E162" t="inlineStr">
        <is>
          <t>Registered Nurse</t>
        </is>
      </c>
      <c r="F162" s="1" t="n">
        <v>44744</v>
      </c>
      <c r="H162" t="inlineStr">
        <is>
          <t>MIVFN2023</t>
        </is>
      </c>
      <c r="I162" t="inlineStr">
        <is>
          <t>VIC</t>
        </is>
      </c>
      <c r="J162" t="inlineStr">
        <is>
          <t>Part Time</t>
        </is>
      </c>
      <c r="K162" s="23" t="n">
        <v>44744</v>
      </c>
      <c r="L162" s="23" t="n">
        <v>44744</v>
      </c>
      <c r="O162" t="n">
        <v>26.6</v>
      </c>
    </row>
    <row r="163">
      <c r="A163" t="n">
        <v>1441</v>
      </c>
      <c r="C163" t="inlineStr">
        <is>
          <t>VIC-TAS</t>
        </is>
      </c>
      <c r="D163" t="inlineStr">
        <is>
          <t>Virtus Health</t>
        </is>
      </c>
      <c r="E163" t="inlineStr">
        <is>
          <t>Enrolled Nurse</t>
        </is>
      </c>
      <c r="F163" t="inlineStr">
        <is>
          <t>11/25/2021</t>
        </is>
      </c>
      <c r="H163" t="inlineStr">
        <is>
          <t>MIVFN2023</t>
        </is>
      </c>
      <c r="I163" t="inlineStr">
        <is>
          <t>VIC</t>
        </is>
      </c>
      <c r="J163" t="inlineStr">
        <is>
          <t>Casual</t>
        </is>
      </c>
      <c r="K163" s="23" t="inlineStr">
        <is>
          <t>11/25/2021</t>
        </is>
      </c>
      <c r="L163" s="23" t="inlineStr">
        <is>
          <t>11/25/2021</t>
        </is>
      </c>
      <c r="O163" t="n">
        <v>38</v>
      </c>
    </row>
    <row r="164">
      <c r="A164" t="n">
        <v>1445</v>
      </c>
      <c r="C164" t="inlineStr">
        <is>
          <t>VIC-TAS</t>
        </is>
      </c>
      <c r="D164" t="inlineStr">
        <is>
          <t>Virtus Health</t>
        </is>
      </c>
      <c r="E164" t="inlineStr">
        <is>
          <t>Administration Team Leader</t>
        </is>
      </c>
      <c r="F164" t="inlineStr">
        <is>
          <t>2/21/2022</t>
        </is>
      </c>
      <c r="H164" t="inlineStr">
        <is>
          <t>MIVFS2022</t>
        </is>
      </c>
      <c r="I164" t="inlineStr">
        <is>
          <t>VIC</t>
        </is>
      </c>
      <c r="J164" t="inlineStr">
        <is>
          <t>Full Time</t>
        </is>
      </c>
      <c r="K164" s="23" t="inlineStr">
        <is>
          <t>2/21/2022</t>
        </is>
      </c>
      <c r="L164" s="23" t="inlineStr">
        <is>
          <t>2/21/2022</t>
        </is>
      </c>
      <c r="O164" t="n">
        <v>38</v>
      </c>
    </row>
    <row r="165">
      <c r="A165" t="n">
        <v>1449</v>
      </c>
      <c r="C165" t="inlineStr">
        <is>
          <t>VIC-TAS</t>
        </is>
      </c>
      <c r="D165" t="inlineStr">
        <is>
          <t>Virtus Health</t>
        </is>
      </c>
      <c r="E165" t="inlineStr">
        <is>
          <t>Genetic Counsellor</t>
        </is>
      </c>
      <c r="F165" t="inlineStr">
        <is>
          <t>3/21/2022</t>
        </is>
      </c>
      <c r="H165" t="inlineStr">
        <is>
          <t>MIVFC2021</t>
        </is>
      </c>
      <c r="I165" t="inlineStr">
        <is>
          <t>VIC</t>
        </is>
      </c>
      <c r="J165" t="inlineStr">
        <is>
          <t>Part Time</t>
        </is>
      </c>
      <c r="K165" s="23" t="inlineStr">
        <is>
          <t>3/21/2022</t>
        </is>
      </c>
      <c r="L165" s="23" t="inlineStr">
        <is>
          <t>3/21/2022</t>
        </is>
      </c>
      <c r="O165" t="n">
        <v>22.8</v>
      </c>
    </row>
    <row r="166">
      <c r="A166" t="n">
        <v>1456</v>
      </c>
      <c r="C166" t="inlineStr">
        <is>
          <t>VIC-TAS</t>
        </is>
      </c>
      <c r="D166" t="inlineStr">
        <is>
          <t>Virtus Health</t>
        </is>
      </c>
      <c r="E166" t="inlineStr">
        <is>
          <t>Registered Nurse</t>
        </is>
      </c>
      <c r="F166" t="inlineStr">
        <is>
          <t>3/30/2022</t>
        </is>
      </c>
      <c r="H166" t="inlineStr">
        <is>
          <t>MIVFN2023</t>
        </is>
      </c>
      <c r="I166" t="inlineStr">
        <is>
          <t>VIC</t>
        </is>
      </c>
      <c r="J166" t="inlineStr">
        <is>
          <t>Part Time</t>
        </is>
      </c>
      <c r="K166" s="23" t="inlineStr">
        <is>
          <t>3/30/2022</t>
        </is>
      </c>
      <c r="L166" s="23" t="inlineStr">
        <is>
          <t>3/30/2022</t>
        </is>
      </c>
      <c r="O166" t="n">
        <v>26.6</v>
      </c>
    </row>
    <row r="167">
      <c r="A167" t="n">
        <v>1457</v>
      </c>
      <c r="B167" s="1" t="n"/>
      <c r="C167" t="inlineStr">
        <is>
          <t>VIC-TAS</t>
        </is>
      </c>
      <c r="D167" t="inlineStr">
        <is>
          <t>Virtus Health</t>
        </is>
      </c>
      <c r="E167" t="inlineStr">
        <is>
          <t>New Patient Care Consultant</t>
        </is>
      </c>
      <c r="F167" s="1" t="n">
        <v>44655</v>
      </c>
      <c r="H167" t="inlineStr">
        <is>
          <t>MIVFS2022</t>
        </is>
      </c>
      <c r="I167" t="inlineStr">
        <is>
          <t>VIC</t>
        </is>
      </c>
      <c r="J167" t="inlineStr">
        <is>
          <t>Part Time</t>
        </is>
      </c>
      <c r="K167" s="23" t="n">
        <v>44655</v>
      </c>
      <c r="L167" s="23" t="n">
        <v>44655</v>
      </c>
      <c r="O167" t="n">
        <v>15.2</v>
      </c>
    </row>
    <row r="168">
      <c r="A168" t="n">
        <v>1458</v>
      </c>
      <c r="C168" t="inlineStr">
        <is>
          <t>VIC-TAS</t>
        </is>
      </c>
      <c r="D168" t="inlineStr">
        <is>
          <t>Virtus Health</t>
        </is>
      </c>
      <c r="E168" t="inlineStr">
        <is>
          <t>Registered Nurse</t>
        </is>
      </c>
      <c r="F168" t="inlineStr">
        <is>
          <t>3/30/2022</t>
        </is>
      </c>
      <c r="H168" t="inlineStr">
        <is>
          <t>MIVFN2023</t>
        </is>
      </c>
      <c r="I168" t="inlineStr">
        <is>
          <t>VIC</t>
        </is>
      </c>
      <c r="J168" t="inlineStr">
        <is>
          <t>Part Time</t>
        </is>
      </c>
      <c r="K168" s="23" t="inlineStr">
        <is>
          <t>3/30/2022</t>
        </is>
      </c>
      <c r="L168" s="23" t="inlineStr">
        <is>
          <t>3/30/2022</t>
        </is>
      </c>
      <c r="O168" t="n">
        <v>30.4</v>
      </c>
    </row>
    <row r="169">
      <c r="A169" t="n">
        <v>1459</v>
      </c>
      <c r="C169" t="inlineStr">
        <is>
          <t>VIC-TAS</t>
        </is>
      </c>
      <c r="D169" t="inlineStr">
        <is>
          <t>Virtus Health</t>
        </is>
      </c>
      <c r="E169" t="inlineStr">
        <is>
          <t>Registered Nurse</t>
        </is>
      </c>
      <c r="F169" t="inlineStr">
        <is>
          <t>3/28/2022</t>
        </is>
      </c>
      <c r="H169" t="inlineStr">
        <is>
          <t>MIVFN2023</t>
        </is>
      </c>
      <c r="I169" t="inlineStr">
        <is>
          <t>VIC</t>
        </is>
      </c>
      <c r="J169" t="inlineStr">
        <is>
          <t>Casual</t>
        </is>
      </c>
      <c r="K169" s="23" t="inlineStr">
        <is>
          <t>3/28/2022</t>
        </is>
      </c>
      <c r="L169" s="23" t="inlineStr">
        <is>
          <t>3/28/2022</t>
        </is>
      </c>
      <c r="O169" t="n">
        <v>38</v>
      </c>
    </row>
    <row r="170">
      <c r="A170" t="n">
        <v>1464</v>
      </c>
      <c r="B170" s="1" t="n"/>
      <c r="C170" t="inlineStr">
        <is>
          <t>VIC-TAS</t>
        </is>
      </c>
      <c r="D170" t="inlineStr">
        <is>
          <t>Virtus Health</t>
        </is>
      </c>
      <c r="E170" t="inlineStr">
        <is>
          <t>Registered Nurse</t>
        </is>
      </c>
      <c r="F170" s="1" t="n">
        <v>44597</v>
      </c>
      <c r="H170" t="inlineStr">
        <is>
          <t>MIVFN2023</t>
        </is>
      </c>
      <c r="I170" t="inlineStr">
        <is>
          <t>VIC</t>
        </is>
      </c>
      <c r="J170" t="inlineStr">
        <is>
          <t>Part Time</t>
        </is>
      </c>
      <c r="K170" s="23" t="n">
        <v>44597</v>
      </c>
      <c r="L170" s="23" t="n">
        <v>44597</v>
      </c>
      <c r="O170" t="n">
        <v>30.4</v>
      </c>
    </row>
    <row r="171">
      <c r="A171" t="n">
        <v>1468</v>
      </c>
      <c r="B171" s="1" t="n"/>
      <c r="C171" t="inlineStr">
        <is>
          <t>VIC-TAS</t>
        </is>
      </c>
      <c r="D171" t="inlineStr">
        <is>
          <t>Virtus Health</t>
        </is>
      </c>
      <c r="E171" t="inlineStr">
        <is>
          <t>Embryologist</t>
        </is>
      </c>
      <c r="F171" s="1" t="n">
        <v>44809</v>
      </c>
      <c r="H171" t="inlineStr">
        <is>
          <t>MIVFS2022</t>
        </is>
      </c>
      <c r="I171" t="inlineStr">
        <is>
          <t>VIC</t>
        </is>
      </c>
      <c r="J171" t="inlineStr">
        <is>
          <t>Full Time</t>
        </is>
      </c>
      <c r="K171" s="23" t="n">
        <v>44809</v>
      </c>
      <c r="L171" s="23" t="n">
        <v>44809</v>
      </c>
      <c r="O171" t="n">
        <v>38</v>
      </c>
    </row>
    <row r="172">
      <c r="A172" t="n">
        <v>1469</v>
      </c>
      <c r="B172" s="1" t="n"/>
      <c r="C172" t="inlineStr">
        <is>
          <t>VIC-TAS</t>
        </is>
      </c>
      <c r="D172" t="inlineStr">
        <is>
          <t>Virtus Health</t>
        </is>
      </c>
      <c r="E172" t="inlineStr">
        <is>
          <t>Embryologist</t>
        </is>
      </c>
      <c r="F172" s="1" t="n">
        <v>44809</v>
      </c>
      <c r="H172" t="inlineStr">
        <is>
          <t>MIVFS2022</t>
        </is>
      </c>
      <c r="I172" t="inlineStr">
        <is>
          <t>VIC</t>
        </is>
      </c>
      <c r="J172" t="inlineStr">
        <is>
          <t>Full Time</t>
        </is>
      </c>
      <c r="K172" s="23" t="n">
        <v>44809</v>
      </c>
      <c r="L172" s="23" t="n">
        <v>44809</v>
      </c>
      <c r="O172" t="n">
        <v>38</v>
      </c>
    </row>
    <row r="173">
      <c r="A173" t="n">
        <v>1472</v>
      </c>
      <c r="C173" t="inlineStr">
        <is>
          <t>VIC-TAS</t>
        </is>
      </c>
      <c r="D173" t="inlineStr">
        <is>
          <t>Virtus Health</t>
        </is>
      </c>
      <c r="E173" t="inlineStr">
        <is>
          <t>Courier</t>
        </is>
      </c>
      <c r="F173" t="inlineStr">
        <is>
          <t>5/16/2022</t>
        </is>
      </c>
      <c r="H173" t="inlineStr">
        <is>
          <t>IVFS2023</t>
        </is>
      </c>
      <c r="I173" t="inlineStr">
        <is>
          <t>VIC</t>
        </is>
      </c>
      <c r="J173" t="inlineStr">
        <is>
          <t>Part Time</t>
        </is>
      </c>
      <c r="K173" s="23" t="inlineStr">
        <is>
          <t>5/16/2022</t>
        </is>
      </c>
      <c r="L173" s="23" t="inlineStr">
        <is>
          <t>5/16/2022</t>
        </is>
      </c>
      <c r="O173" t="n">
        <v>30</v>
      </c>
    </row>
    <row r="174">
      <c r="A174" t="n">
        <v>19009</v>
      </c>
      <c r="B174" s="1" t="n"/>
      <c r="C174" t="inlineStr">
        <is>
          <t>NSW-QLD</t>
        </is>
      </c>
      <c r="D174" t="inlineStr">
        <is>
          <t>Virtus Health</t>
        </is>
      </c>
      <c r="E174" t="inlineStr">
        <is>
          <t xml:space="preserve">Senior Technology Operations Manager </t>
        </is>
      </c>
      <c r="F174" t="inlineStr">
        <is>
          <t>2/13/2000</t>
        </is>
      </c>
      <c r="H174" t="inlineStr">
        <is>
          <t>VIC</t>
        </is>
      </c>
      <c r="I174" t="inlineStr">
        <is>
          <t>VIC</t>
        </is>
      </c>
      <c r="J174" t="inlineStr">
        <is>
          <t>Full Time</t>
        </is>
      </c>
      <c r="K174" s="23" t="inlineStr">
        <is>
          <t>2/13/2000</t>
        </is>
      </c>
      <c r="L174" s="23" t="n">
        <v>41976</v>
      </c>
      <c r="O174" t="n">
        <v>38</v>
      </c>
    </row>
    <row r="175">
      <c r="A175" t="n">
        <v>19010</v>
      </c>
      <c r="C175" t="inlineStr">
        <is>
          <t>NSW-QLD</t>
        </is>
      </c>
      <c r="D175" t="inlineStr">
        <is>
          <t>Virtus Health</t>
        </is>
      </c>
      <c r="E175" t="inlineStr">
        <is>
          <t>System Administrator</t>
        </is>
      </c>
      <c r="F175" t="inlineStr">
        <is>
          <t>3/24/2014</t>
        </is>
      </c>
      <c r="H175" t="inlineStr">
        <is>
          <t>VIC</t>
        </is>
      </c>
      <c r="I175" t="inlineStr">
        <is>
          <t>VIC</t>
        </is>
      </c>
      <c r="J175" t="inlineStr">
        <is>
          <t>Full Time</t>
        </is>
      </c>
      <c r="K175" s="23" t="inlineStr">
        <is>
          <t>3/24/2014</t>
        </is>
      </c>
      <c r="L175" s="23" t="inlineStr">
        <is>
          <t>3/24/2014</t>
        </is>
      </c>
      <c r="O175" t="n">
        <v>38</v>
      </c>
    </row>
    <row r="176">
      <c r="A176" t="n">
        <v>19050</v>
      </c>
      <c r="C176" t="inlineStr">
        <is>
          <t>NSW-QLD</t>
        </is>
      </c>
      <c r="D176" t="inlineStr">
        <is>
          <t>Virtus Health</t>
        </is>
      </c>
      <c r="E176" t="inlineStr">
        <is>
          <t>Senior Data Analyst</t>
        </is>
      </c>
      <c r="F176" t="inlineStr">
        <is>
          <t>1/24/2022</t>
        </is>
      </c>
      <c r="H176" t="inlineStr">
        <is>
          <t>VIC</t>
        </is>
      </c>
      <c r="I176" t="inlineStr">
        <is>
          <t>VIC</t>
        </is>
      </c>
      <c r="J176" t="inlineStr">
        <is>
          <t>Full Time</t>
        </is>
      </c>
      <c r="K176" s="23" t="inlineStr">
        <is>
          <t>1/24/2022</t>
        </is>
      </c>
      <c r="L176" s="23" t="inlineStr">
        <is>
          <t>1/24/2022</t>
        </is>
      </c>
      <c r="O176" t="n">
        <v>30.4</v>
      </c>
    </row>
    <row r="177">
      <c r="A177" t="n">
        <v>19055</v>
      </c>
      <c r="C177" t="inlineStr">
        <is>
          <t>NSW-QLD</t>
        </is>
      </c>
      <c r="D177" t="inlineStr">
        <is>
          <t>Virtus Health</t>
        </is>
      </c>
      <c r="E177" t="inlineStr">
        <is>
          <t>Data And Application Quality Assurance Manager</t>
        </is>
      </c>
      <c r="F177" t="inlineStr">
        <is>
          <t>2/21/2022</t>
        </is>
      </c>
      <c r="H177" t="inlineStr">
        <is>
          <t>VIC</t>
        </is>
      </c>
      <c r="I177" t="inlineStr">
        <is>
          <t>VIC</t>
        </is>
      </c>
      <c r="J177" t="inlineStr">
        <is>
          <t>Full Time</t>
        </is>
      </c>
      <c r="K177" s="23" t="inlineStr">
        <is>
          <t>2/21/2022</t>
        </is>
      </c>
      <c r="L177" s="23" t="inlineStr">
        <is>
          <t>2/21/2022</t>
        </is>
      </c>
      <c r="O177" t="n">
        <v>38</v>
      </c>
    </row>
    <row r="178">
      <c r="A178" t="n">
        <v>19801</v>
      </c>
      <c r="B178" s="1" t="n"/>
      <c r="C178" t="inlineStr">
        <is>
          <t>NSW-QLD</t>
        </is>
      </c>
      <c r="D178" t="inlineStr">
        <is>
          <t>Virtus Health</t>
        </is>
      </c>
      <c r="E178" t="inlineStr">
        <is>
          <t>Embryologist</t>
        </is>
      </c>
      <c r="F178" s="1" t="n">
        <v>40180</v>
      </c>
      <c r="H178" t="inlineStr">
        <is>
          <t>IVFT2024</t>
        </is>
      </c>
      <c r="I178" t="inlineStr">
        <is>
          <t>NSW</t>
        </is>
      </c>
      <c r="J178" t="inlineStr">
        <is>
          <t>Full Time</t>
        </is>
      </c>
      <c r="K178" s="23" t="n">
        <v>40180</v>
      </c>
      <c r="L178" s="23" t="n">
        <v>40180</v>
      </c>
      <c r="O178" t="n">
        <v>38</v>
      </c>
    </row>
    <row r="179">
      <c r="A179" t="n">
        <v>19802</v>
      </c>
      <c r="B179" s="1" t="n"/>
      <c r="C179" t="inlineStr">
        <is>
          <t>NSW-QLD</t>
        </is>
      </c>
      <c r="D179" t="inlineStr">
        <is>
          <t>Virtus Health</t>
        </is>
      </c>
      <c r="E179" t="inlineStr">
        <is>
          <t>Nurse Unit Manager</t>
        </is>
      </c>
      <c r="F179" s="1" t="n">
        <v>37804</v>
      </c>
      <c r="H179" t="inlineStr">
        <is>
          <t>IVFN2021</t>
        </is>
      </c>
      <c r="I179" t="inlineStr">
        <is>
          <t>NSW</t>
        </is>
      </c>
      <c r="J179" t="inlineStr">
        <is>
          <t>Full Time</t>
        </is>
      </c>
      <c r="K179" s="23" t="n">
        <v>37804</v>
      </c>
      <c r="L179" s="23" t="n">
        <v>37804</v>
      </c>
      <c r="O179" t="n">
        <v>38</v>
      </c>
    </row>
    <row r="180">
      <c r="A180" t="n">
        <v>19808</v>
      </c>
      <c r="C180" t="inlineStr">
        <is>
          <t>NSW-QLD</t>
        </is>
      </c>
      <c r="D180" t="inlineStr">
        <is>
          <t>Virtus Health</t>
        </is>
      </c>
      <c r="E180" t="inlineStr">
        <is>
          <t>Counsellor</t>
        </is>
      </c>
      <c r="F180" t="inlineStr">
        <is>
          <t>4/19/2004</t>
        </is>
      </c>
      <c r="H180" t="inlineStr">
        <is>
          <t>IVFC2022</t>
        </is>
      </c>
      <c r="I180" t="inlineStr">
        <is>
          <t>NSW</t>
        </is>
      </c>
      <c r="J180" t="inlineStr">
        <is>
          <t>Part Time</t>
        </is>
      </c>
      <c r="K180" s="23" t="inlineStr">
        <is>
          <t>4/19/2004</t>
        </is>
      </c>
      <c r="L180" s="23" t="inlineStr">
        <is>
          <t>4/19/2004</t>
        </is>
      </c>
      <c r="O180" t="n">
        <v>28.5</v>
      </c>
    </row>
    <row r="181">
      <c r="A181" t="n">
        <v>19810</v>
      </c>
      <c r="C181" t="inlineStr">
        <is>
          <t>NSW-QLD</t>
        </is>
      </c>
      <c r="D181" t="inlineStr">
        <is>
          <t>Virtus Health</t>
        </is>
      </c>
      <c r="E181" t="inlineStr">
        <is>
          <t>Laboratory Supervisor</t>
        </is>
      </c>
      <c r="F181" t="inlineStr">
        <is>
          <t>9/25/2006</t>
        </is>
      </c>
      <c r="H181" t="inlineStr">
        <is>
          <t>NSW</t>
        </is>
      </c>
      <c r="I181" t="inlineStr">
        <is>
          <t>NSW</t>
        </is>
      </c>
      <c r="J181" t="inlineStr">
        <is>
          <t>Part Time</t>
        </is>
      </c>
      <c r="K181" s="23" t="inlineStr">
        <is>
          <t>9/25/2006</t>
        </is>
      </c>
      <c r="L181" s="23" t="inlineStr">
        <is>
          <t>9/25/2006</t>
        </is>
      </c>
      <c r="O181" t="n">
        <v>30</v>
      </c>
    </row>
    <row r="182">
      <c r="A182" t="n">
        <v>19811</v>
      </c>
      <c r="B182" s="1" t="n"/>
      <c r="C182" t="inlineStr">
        <is>
          <t>NSW-QLD</t>
        </is>
      </c>
      <c r="D182" t="inlineStr">
        <is>
          <t>Virtus Health</t>
        </is>
      </c>
      <c r="E182" t="inlineStr">
        <is>
          <t>Administration Manager</t>
        </is>
      </c>
      <c r="F182" s="1" t="n">
        <v>40249</v>
      </c>
      <c r="H182" t="inlineStr">
        <is>
          <t>IVFS2023</t>
        </is>
      </c>
      <c r="I182" t="inlineStr">
        <is>
          <t>NSW</t>
        </is>
      </c>
      <c r="J182" t="inlineStr">
        <is>
          <t>Full Time</t>
        </is>
      </c>
      <c r="K182" s="23" t="n">
        <v>40249</v>
      </c>
      <c r="L182" s="23" t="n">
        <v>40249</v>
      </c>
      <c r="O182" t="n">
        <v>38</v>
      </c>
    </row>
    <row r="183">
      <c r="A183" t="n">
        <v>19813</v>
      </c>
      <c r="C183" t="inlineStr">
        <is>
          <t>NSW-QLD</t>
        </is>
      </c>
      <c r="D183" t="inlineStr">
        <is>
          <t>Virtus Health</t>
        </is>
      </c>
      <c r="E183" t="inlineStr">
        <is>
          <t>Senior Embryologist</t>
        </is>
      </c>
      <c r="F183" t="inlineStr">
        <is>
          <t>1/13/2009</t>
        </is>
      </c>
      <c r="G183" s="1" t="n">
        <v>45483</v>
      </c>
      <c r="H183" t="inlineStr">
        <is>
          <t>IVFT2024</t>
        </is>
      </c>
      <c r="I183" t="inlineStr">
        <is>
          <t>NSW</t>
        </is>
      </c>
      <c r="J183" t="inlineStr">
        <is>
          <t>Part Time</t>
        </is>
      </c>
      <c r="K183" s="23" t="inlineStr">
        <is>
          <t>1/13/2009</t>
        </is>
      </c>
      <c r="L183" s="23" t="inlineStr">
        <is>
          <t>1/13/2009</t>
        </is>
      </c>
      <c r="O183" t="n">
        <v>8</v>
      </c>
    </row>
    <row r="184">
      <c r="A184" t="n">
        <v>19813</v>
      </c>
      <c r="C184" t="inlineStr">
        <is>
          <t>NSW-QLD</t>
        </is>
      </c>
      <c r="D184" t="inlineStr">
        <is>
          <t>Virtus Health</t>
        </is>
      </c>
      <c r="E184" t="inlineStr">
        <is>
          <t>Senior Embryologist</t>
        </is>
      </c>
      <c r="F184" s="1" t="n">
        <v>45514</v>
      </c>
      <c r="H184" t="inlineStr">
        <is>
          <t>IVFT2024</t>
        </is>
      </c>
      <c r="I184" t="inlineStr">
        <is>
          <t>NSW</t>
        </is>
      </c>
      <c r="J184" t="inlineStr">
        <is>
          <t>Part Time</t>
        </is>
      </c>
      <c r="K184" s="23" t="inlineStr">
        <is>
          <t>1/13/2009</t>
        </is>
      </c>
      <c r="L184" s="23" t="inlineStr">
        <is>
          <t>1/13/2009</t>
        </is>
      </c>
      <c r="O184" t="n">
        <v>34.825</v>
      </c>
    </row>
    <row r="185">
      <c r="A185" t="n">
        <v>20016</v>
      </c>
      <c r="B185" s="1" t="n"/>
      <c r="C185" t="inlineStr">
        <is>
          <t>NSW-QLD</t>
        </is>
      </c>
      <c r="D185" t="inlineStr">
        <is>
          <t>Virtus Health</t>
        </is>
      </c>
      <c r="E185" t="inlineStr">
        <is>
          <t>Senior Scientist</t>
        </is>
      </c>
      <c r="F185" s="1" t="n">
        <v>39846</v>
      </c>
      <c r="G185" s="1" t="n">
        <v>44986</v>
      </c>
      <c r="H185" t="inlineStr">
        <is>
          <t>IVFT2024</t>
        </is>
      </c>
      <c r="I185" t="inlineStr">
        <is>
          <t>NSW</t>
        </is>
      </c>
      <c r="J185" t="inlineStr">
        <is>
          <t>Part Time</t>
        </is>
      </c>
      <c r="K185" s="23" t="n">
        <v>39846</v>
      </c>
      <c r="L185" s="23" t="n">
        <v>39846</v>
      </c>
      <c r="O185" t="n">
        <v>18.75</v>
      </c>
    </row>
    <row r="186">
      <c r="A186" t="n">
        <v>20016</v>
      </c>
      <c r="B186" s="1" t="n"/>
      <c r="C186" t="inlineStr">
        <is>
          <t>NSW-QLD</t>
        </is>
      </c>
      <c r="D186" t="inlineStr">
        <is>
          <t>Virtus Health</t>
        </is>
      </c>
      <c r="E186" t="inlineStr">
        <is>
          <t>Senior Scientist</t>
        </is>
      </c>
      <c r="F186" s="1" t="n">
        <v>45017</v>
      </c>
      <c r="H186" t="inlineStr">
        <is>
          <t>IVFT2024</t>
        </is>
      </c>
      <c r="I186" t="inlineStr">
        <is>
          <t>NSW</t>
        </is>
      </c>
      <c r="J186" t="inlineStr">
        <is>
          <t>Part Time</t>
        </is>
      </c>
      <c r="K186" s="23" t="n">
        <v>39846</v>
      </c>
      <c r="L186" s="23" t="n">
        <v>39846</v>
      </c>
      <c r="O186" t="n">
        <v>24.5</v>
      </c>
    </row>
    <row r="187">
      <c r="A187" t="n">
        <v>20021</v>
      </c>
      <c r="C187" t="inlineStr">
        <is>
          <t>NSW-QLD</t>
        </is>
      </c>
      <c r="D187" t="inlineStr">
        <is>
          <t>Virtus Health</t>
        </is>
      </c>
      <c r="E187" t="inlineStr">
        <is>
          <t>Laboratory Supervisor</t>
        </is>
      </c>
      <c r="F187" t="inlineStr">
        <is>
          <t>3/23/2008</t>
        </is>
      </c>
      <c r="H187" t="inlineStr">
        <is>
          <t>NSW</t>
        </is>
      </c>
      <c r="I187" t="inlineStr">
        <is>
          <t>NSW</t>
        </is>
      </c>
      <c r="J187" t="inlineStr">
        <is>
          <t>Full Time</t>
        </is>
      </c>
      <c r="K187" s="23" t="inlineStr">
        <is>
          <t>3/23/2008</t>
        </is>
      </c>
      <c r="L187" s="23" t="inlineStr">
        <is>
          <t>3/23/2008</t>
        </is>
      </c>
      <c r="O187" t="n">
        <v>38</v>
      </c>
    </row>
    <row r="188">
      <c r="A188" t="n">
        <v>20033</v>
      </c>
      <c r="B188" s="1" t="n"/>
      <c r="C188" t="inlineStr">
        <is>
          <t>NSW-QLD</t>
        </is>
      </c>
      <c r="D188" t="inlineStr">
        <is>
          <t>Virtus Health</t>
        </is>
      </c>
      <c r="E188" t="inlineStr">
        <is>
          <t>Administration</t>
        </is>
      </c>
      <c r="F188" s="1" t="n">
        <v>39697</v>
      </c>
      <c r="H188" t="inlineStr">
        <is>
          <t>IVFS2023</t>
        </is>
      </c>
      <c r="I188" t="inlineStr">
        <is>
          <t>NSW</t>
        </is>
      </c>
      <c r="J188" t="inlineStr">
        <is>
          <t>Full Time</t>
        </is>
      </c>
      <c r="K188" s="23" t="n">
        <v>39697</v>
      </c>
      <c r="L188" s="23" t="n">
        <v>39697</v>
      </c>
      <c r="O188" t="n">
        <v>38</v>
      </c>
    </row>
    <row r="189">
      <c r="A189" t="n">
        <v>20038</v>
      </c>
      <c r="C189" t="inlineStr">
        <is>
          <t>NSW-QLD</t>
        </is>
      </c>
      <c r="D189" t="inlineStr">
        <is>
          <t>Virtus Health</t>
        </is>
      </c>
      <c r="E189" t="inlineStr">
        <is>
          <t>Patient Support Officer</t>
        </is>
      </c>
      <c r="F189" t="inlineStr">
        <is>
          <t>6/16/2004</t>
        </is>
      </c>
      <c r="H189" t="inlineStr">
        <is>
          <t>IVFS2023</t>
        </is>
      </c>
      <c r="I189" t="inlineStr">
        <is>
          <t>NSW</t>
        </is>
      </c>
      <c r="J189" t="inlineStr">
        <is>
          <t>Part Time</t>
        </is>
      </c>
      <c r="K189" s="23" t="inlineStr">
        <is>
          <t>6/16/2004</t>
        </is>
      </c>
      <c r="L189" s="23" t="inlineStr">
        <is>
          <t>6/16/2004</t>
        </is>
      </c>
      <c r="O189" t="n">
        <v>19.5</v>
      </c>
    </row>
    <row r="190">
      <c r="A190" t="n">
        <v>20056</v>
      </c>
      <c r="B190" s="1" t="n"/>
      <c r="C190" t="inlineStr">
        <is>
          <t>NSW-QLD</t>
        </is>
      </c>
      <c r="D190" t="inlineStr">
        <is>
          <t>Virtus Health</t>
        </is>
      </c>
      <c r="E190" t="inlineStr">
        <is>
          <t>Permanent Administration Team Leader</t>
        </is>
      </c>
      <c r="F190" s="1" t="n">
        <v>38872</v>
      </c>
      <c r="G190" s="1" t="n">
        <v>44658</v>
      </c>
      <c r="H190" t="inlineStr">
        <is>
          <t>IVFS2023</t>
        </is>
      </c>
      <c r="I190" t="inlineStr">
        <is>
          <t>NSW</t>
        </is>
      </c>
      <c r="J190" t="inlineStr">
        <is>
          <t>Part Time</t>
        </is>
      </c>
      <c r="K190" s="23" t="n">
        <v>38872</v>
      </c>
      <c r="L190" s="23" t="n">
        <v>38872</v>
      </c>
      <c r="O190" t="n">
        <v>18</v>
      </c>
    </row>
    <row r="191">
      <c r="A191" t="n">
        <v>20056</v>
      </c>
      <c r="B191" s="1" t="n"/>
      <c r="C191" t="inlineStr">
        <is>
          <t>NSW-QLD</t>
        </is>
      </c>
      <c r="D191" t="inlineStr">
        <is>
          <t>Virtus Health</t>
        </is>
      </c>
      <c r="E191" t="inlineStr">
        <is>
          <t>Permanent Administration Team Leader</t>
        </is>
      </c>
      <c r="F191" s="1" t="n">
        <v>44688</v>
      </c>
      <c r="H191" t="inlineStr">
        <is>
          <t>IVFS2023</t>
        </is>
      </c>
      <c r="I191" t="inlineStr">
        <is>
          <t>NSW</t>
        </is>
      </c>
      <c r="J191" t="inlineStr">
        <is>
          <t>Part Time</t>
        </is>
      </c>
      <c r="K191" s="23" t="n">
        <v>38872</v>
      </c>
      <c r="L191" s="23" t="n">
        <v>38872</v>
      </c>
      <c r="O191" t="n">
        <v>27</v>
      </c>
    </row>
    <row r="192">
      <c r="A192" t="n">
        <v>20059</v>
      </c>
      <c r="C192" t="inlineStr">
        <is>
          <t>NSW-QLD</t>
        </is>
      </c>
      <c r="D192" t="inlineStr">
        <is>
          <t>Virtus Health</t>
        </is>
      </c>
      <c r="E192" t="inlineStr">
        <is>
          <t>Embryologist</t>
        </is>
      </c>
      <c r="F192" t="inlineStr">
        <is>
          <t>7/29/1996</t>
        </is>
      </c>
      <c r="H192" t="inlineStr">
        <is>
          <t>IVFT2024</t>
        </is>
      </c>
      <c r="I192" t="inlineStr">
        <is>
          <t>NSW</t>
        </is>
      </c>
      <c r="J192" t="inlineStr">
        <is>
          <t>Part Time</t>
        </is>
      </c>
      <c r="K192" s="23" t="inlineStr">
        <is>
          <t>7/29/1996</t>
        </is>
      </c>
      <c r="L192" s="23" t="inlineStr">
        <is>
          <t>7/29/1996</t>
        </is>
      </c>
      <c r="O192" t="n">
        <v>31</v>
      </c>
    </row>
    <row r="193">
      <c r="A193" t="n">
        <v>20063</v>
      </c>
      <c r="B193" s="1" t="n"/>
      <c r="C193" t="inlineStr">
        <is>
          <t>NSW-QLD</t>
        </is>
      </c>
      <c r="D193" t="inlineStr">
        <is>
          <t>Virtus Health</t>
        </is>
      </c>
      <c r="E193" t="inlineStr">
        <is>
          <t>Administration</t>
        </is>
      </c>
      <c r="F193" s="1" t="n">
        <v>37384</v>
      </c>
      <c r="H193" t="inlineStr">
        <is>
          <t>IVFS2023</t>
        </is>
      </c>
      <c r="I193" t="inlineStr">
        <is>
          <t>NSW</t>
        </is>
      </c>
      <c r="J193" t="inlineStr">
        <is>
          <t>Part Time</t>
        </is>
      </c>
      <c r="K193" s="23" t="n">
        <v>37384</v>
      </c>
      <c r="L193" s="23" t="n">
        <v>37384</v>
      </c>
      <c r="O193" t="n">
        <v>9.5</v>
      </c>
    </row>
    <row r="194">
      <c r="A194" t="n">
        <v>20075</v>
      </c>
      <c r="C194" t="inlineStr">
        <is>
          <t>NSW-QLD</t>
        </is>
      </c>
      <c r="D194" t="inlineStr">
        <is>
          <t>Virtus Health</t>
        </is>
      </c>
      <c r="E194" t="inlineStr">
        <is>
          <t>Administration</t>
        </is>
      </c>
      <c r="F194" t="inlineStr">
        <is>
          <t>5/17/2007</t>
        </is>
      </c>
      <c r="H194" t="inlineStr">
        <is>
          <t>IVFS2023</t>
        </is>
      </c>
      <c r="I194" t="inlineStr">
        <is>
          <t>NSW</t>
        </is>
      </c>
      <c r="J194" t="inlineStr">
        <is>
          <t>Part Time</t>
        </is>
      </c>
      <c r="K194" s="23" t="inlineStr">
        <is>
          <t>5/17/2007</t>
        </is>
      </c>
      <c r="L194" s="23" t="inlineStr">
        <is>
          <t>5/17/2007</t>
        </is>
      </c>
      <c r="O194" t="n">
        <v>25</v>
      </c>
    </row>
    <row r="195">
      <c r="A195" t="n">
        <v>20077</v>
      </c>
      <c r="C195" t="inlineStr">
        <is>
          <t>NSW-QLD</t>
        </is>
      </c>
      <c r="D195" t="inlineStr">
        <is>
          <t>Virtus Health</t>
        </is>
      </c>
      <c r="E195" t="inlineStr">
        <is>
          <t>Doctor</t>
        </is>
      </c>
      <c r="F195" t="inlineStr">
        <is>
          <t>11/17/2005</t>
        </is>
      </c>
      <c r="H195" t="inlineStr">
        <is>
          <t>NSW</t>
        </is>
      </c>
      <c r="I195" t="inlineStr">
        <is>
          <t>NSW</t>
        </is>
      </c>
      <c r="J195" t="inlineStr">
        <is>
          <t>Casual</t>
        </is>
      </c>
      <c r="K195" s="23" t="inlineStr">
        <is>
          <t>11/17/2005</t>
        </is>
      </c>
      <c r="L195" s="23" t="inlineStr">
        <is>
          <t>11/17/2005</t>
        </is>
      </c>
      <c r="O195" t="n">
        <v>38</v>
      </c>
    </row>
    <row r="196">
      <c r="A196" t="n">
        <v>20080</v>
      </c>
      <c r="B196" s="1" t="n"/>
      <c r="C196" t="inlineStr">
        <is>
          <t>NSW-QLD</t>
        </is>
      </c>
      <c r="D196" t="inlineStr">
        <is>
          <t>Virtus Health</t>
        </is>
      </c>
      <c r="E196" t="inlineStr">
        <is>
          <t>Administration</t>
        </is>
      </c>
      <c r="F196" s="1" t="n">
        <v>38698</v>
      </c>
      <c r="G196" s="1" t="n">
        <v>45544</v>
      </c>
      <c r="H196" t="inlineStr">
        <is>
          <t>IVFS2023</t>
        </is>
      </c>
      <c r="I196" t="inlineStr">
        <is>
          <t>NSW</t>
        </is>
      </c>
      <c r="J196" t="inlineStr">
        <is>
          <t>Part Time</t>
        </is>
      </c>
      <c r="K196" s="23" t="n">
        <v>38698</v>
      </c>
      <c r="L196" s="23" t="n">
        <v>38698</v>
      </c>
      <c r="O196" t="n">
        <v>25.5</v>
      </c>
    </row>
    <row r="197">
      <c r="A197" t="n">
        <v>20080</v>
      </c>
      <c r="B197" s="1" t="n"/>
      <c r="C197" t="inlineStr">
        <is>
          <t>NSW-QLD</t>
        </is>
      </c>
      <c r="D197" t="inlineStr">
        <is>
          <t>Virtus Health</t>
        </is>
      </c>
      <c r="E197" t="inlineStr">
        <is>
          <t>Administration</t>
        </is>
      </c>
      <c r="F197" s="1" t="n">
        <v>45574</v>
      </c>
      <c r="H197" t="inlineStr">
        <is>
          <t>IVFS2023</t>
        </is>
      </c>
      <c r="I197" t="inlineStr">
        <is>
          <t>NSW</t>
        </is>
      </c>
      <c r="J197" t="inlineStr">
        <is>
          <t>Part Time</t>
        </is>
      </c>
      <c r="K197" s="23" t="n">
        <v>38698</v>
      </c>
      <c r="L197" s="23" t="n">
        <v>38698</v>
      </c>
      <c r="O197" t="n">
        <v>27.5</v>
      </c>
    </row>
    <row r="198">
      <c r="A198" t="n">
        <v>20081</v>
      </c>
      <c r="C198" t="inlineStr">
        <is>
          <t>NSW-QLD</t>
        </is>
      </c>
      <c r="D198" t="inlineStr">
        <is>
          <t>Virtus Health</t>
        </is>
      </c>
      <c r="E198" t="inlineStr">
        <is>
          <t>Laboratory Supervisor</t>
        </is>
      </c>
      <c r="F198" t="inlineStr">
        <is>
          <t>10/16/2007</t>
        </is>
      </c>
      <c r="H198" t="inlineStr">
        <is>
          <t>NSW</t>
        </is>
      </c>
      <c r="I198" t="inlineStr">
        <is>
          <t>NSW</t>
        </is>
      </c>
      <c r="J198" t="inlineStr">
        <is>
          <t>Part Time</t>
        </is>
      </c>
      <c r="K198" s="23" t="inlineStr">
        <is>
          <t>10/16/2007</t>
        </is>
      </c>
      <c r="L198" s="23" t="inlineStr">
        <is>
          <t>10/16/2007</t>
        </is>
      </c>
      <c r="O198" t="n">
        <v>38</v>
      </c>
    </row>
    <row r="199">
      <c r="A199" t="n">
        <v>20082</v>
      </c>
      <c r="B199" s="1" t="n"/>
      <c r="C199" t="inlineStr">
        <is>
          <t>NSW-QLD</t>
        </is>
      </c>
      <c r="D199" t="inlineStr">
        <is>
          <t>Virtus Health</t>
        </is>
      </c>
      <c r="E199" t="inlineStr">
        <is>
          <t>Embryology Supervisor</t>
        </is>
      </c>
      <c r="F199" s="1" t="n">
        <v>36473</v>
      </c>
      <c r="H199" t="inlineStr">
        <is>
          <t>NSW</t>
        </is>
      </c>
      <c r="I199" t="inlineStr">
        <is>
          <t>NSW</t>
        </is>
      </c>
      <c r="J199" t="inlineStr">
        <is>
          <t>Full Time</t>
        </is>
      </c>
      <c r="K199" s="23" t="n">
        <v>36473</v>
      </c>
      <c r="L199" s="23" t="n">
        <v>36473</v>
      </c>
      <c r="O199" t="n">
        <v>38</v>
      </c>
    </row>
    <row r="200">
      <c r="A200" t="n">
        <v>20091</v>
      </c>
      <c r="B200" s="1" t="n"/>
      <c r="C200" t="inlineStr">
        <is>
          <t>NSW-QLD</t>
        </is>
      </c>
      <c r="D200" t="inlineStr">
        <is>
          <t>Virtus Health</t>
        </is>
      </c>
      <c r="E200" t="inlineStr">
        <is>
          <t>Accounts Receivable Team Lead</t>
        </is>
      </c>
      <c r="F200" s="1" t="n">
        <v>38777</v>
      </c>
      <c r="H200" t="inlineStr">
        <is>
          <t>IVFS2023</t>
        </is>
      </c>
      <c r="I200" t="inlineStr">
        <is>
          <t>NSW</t>
        </is>
      </c>
      <c r="J200" t="inlineStr">
        <is>
          <t>Part Time</t>
        </is>
      </c>
      <c r="K200" s="23" t="n">
        <v>38777</v>
      </c>
      <c r="L200" s="23" t="n">
        <v>38777</v>
      </c>
      <c r="O200" t="n">
        <v>15</v>
      </c>
    </row>
    <row r="201">
      <c r="A201" t="n">
        <v>20109</v>
      </c>
      <c r="C201" t="inlineStr">
        <is>
          <t>NSW-QLD</t>
        </is>
      </c>
      <c r="D201" t="inlineStr">
        <is>
          <t>Virtus Health</t>
        </is>
      </c>
      <c r="E201" t="inlineStr">
        <is>
          <t>Laboratory Supervisor</t>
        </is>
      </c>
      <c r="F201" t="inlineStr">
        <is>
          <t>5/23/2005</t>
        </is>
      </c>
      <c r="G201" t="inlineStr">
        <is>
          <t>12/16/2020</t>
        </is>
      </c>
      <c r="H201" t="inlineStr">
        <is>
          <t>IVFT2024</t>
        </is>
      </c>
      <c r="I201" t="inlineStr">
        <is>
          <t>NSW</t>
        </is>
      </c>
      <c r="J201" t="inlineStr">
        <is>
          <t>Part Time</t>
        </is>
      </c>
      <c r="K201" s="23" t="inlineStr">
        <is>
          <t>5/23/2005</t>
        </is>
      </c>
      <c r="L201" s="23" t="inlineStr">
        <is>
          <t>5/23/2005</t>
        </is>
      </c>
      <c r="O201" t="n">
        <v>23.5</v>
      </c>
    </row>
    <row r="202">
      <c r="A202" t="n">
        <v>20109</v>
      </c>
      <c r="C202" t="inlineStr">
        <is>
          <t>NSW-QLD</t>
        </is>
      </c>
      <c r="D202" t="inlineStr">
        <is>
          <t>Virtus Health</t>
        </is>
      </c>
      <c r="E202" t="inlineStr">
        <is>
          <t>Laboratory Supervisor</t>
        </is>
      </c>
      <c r="F202" t="inlineStr">
        <is>
          <t>12/17/2020</t>
        </is>
      </c>
      <c r="H202" t="inlineStr">
        <is>
          <t>IVFT2024</t>
        </is>
      </c>
      <c r="I202" t="inlineStr">
        <is>
          <t>NSW</t>
        </is>
      </c>
      <c r="J202" t="inlineStr">
        <is>
          <t>Part Time</t>
        </is>
      </c>
      <c r="K202" s="23" t="inlineStr">
        <is>
          <t>5/23/2005</t>
        </is>
      </c>
      <c r="L202" s="23" t="inlineStr">
        <is>
          <t>5/23/2005</t>
        </is>
      </c>
      <c r="O202" t="n">
        <v>31</v>
      </c>
    </row>
    <row r="203">
      <c r="A203" t="n">
        <v>20111</v>
      </c>
      <c r="C203" t="inlineStr">
        <is>
          <t>NSW-QLD</t>
        </is>
      </c>
      <c r="D203" t="inlineStr">
        <is>
          <t>Virtus Health</t>
        </is>
      </c>
      <c r="E203" t="inlineStr">
        <is>
          <t>Accounts Receivable Team Lead</t>
        </is>
      </c>
      <c r="F203" t="inlineStr">
        <is>
          <t>6/20/2002</t>
        </is>
      </c>
      <c r="H203" t="inlineStr">
        <is>
          <t>IVFS2023</t>
        </is>
      </c>
      <c r="I203" t="inlineStr">
        <is>
          <t>NSW</t>
        </is>
      </c>
      <c r="J203" t="inlineStr">
        <is>
          <t>Part Time</t>
        </is>
      </c>
      <c r="K203" s="23" t="inlineStr">
        <is>
          <t>6/20/2002</t>
        </is>
      </c>
      <c r="L203" s="23" t="inlineStr">
        <is>
          <t>6/20/2002</t>
        </is>
      </c>
      <c r="O203" t="n">
        <v>28</v>
      </c>
    </row>
    <row r="204">
      <c r="A204" t="n">
        <v>20123</v>
      </c>
      <c r="C204" t="inlineStr">
        <is>
          <t>NSW-QLD</t>
        </is>
      </c>
      <c r="D204" t="inlineStr">
        <is>
          <t>Virtus Health</t>
        </is>
      </c>
      <c r="E204" t="inlineStr">
        <is>
          <t>Administration</t>
        </is>
      </c>
      <c r="F204" s="1" t="n">
        <v>39085</v>
      </c>
      <c r="H204" t="inlineStr">
        <is>
          <t>IVFS2023</t>
        </is>
      </c>
      <c r="I204" t="inlineStr">
        <is>
          <t>NSW</t>
        </is>
      </c>
      <c r="J204" t="inlineStr">
        <is>
          <t>Part Time</t>
        </is>
      </c>
      <c r="K204" s="23" t="n">
        <v>39085</v>
      </c>
      <c r="L204" s="23" t="n">
        <v>39085</v>
      </c>
      <c r="O204" t="n">
        <v>38</v>
      </c>
    </row>
    <row r="205">
      <c r="A205" t="n">
        <v>20145</v>
      </c>
      <c r="B205" s="1" t="n"/>
      <c r="C205" t="inlineStr">
        <is>
          <t>NSW-QLD</t>
        </is>
      </c>
      <c r="D205" t="inlineStr">
        <is>
          <t>Virtus Health</t>
        </is>
      </c>
      <c r="E205" t="inlineStr">
        <is>
          <t>Clinical Nurse Specialist</t>
        </is>
      </c>
      <c r="F205" s="1" t="n">
        <v>39908</v>
      </c>
      <c r="H205" t="inlineStr">
        <is>
          <t>IVFN2021</t>
        </is>
      </c>
      <c r="I205" t="inlineStr">
        <is>
          <t>NSW</t>
        </is>
      </c>
      <c r="J205" t="inlineStr">
        <is>
          <t>Part Time</t>
        </is>
      </c>
      <c r="K205" s="23" t="n">
        <v>39908</v>
      </c>
      <c r="L205" s="23" t="n">
        <v>39908</v>
      </c>
      <c r="O205" t="n">
        <v>38</v>
      </c>
    </row>
    <row r="206">
      <c r="A206" t="n">
        <v>20146</v>
      </c>
      <c r="B206" s="1" t="n"/>
      <c r="C206" t="inlineStr">
        <is>
          <t>NSW-QLD</t>
        </is>
      </c>
      <c r="D206" t="inlineStr">
        <is>
          <t>Virtus Health</t>
        </is>
      </c>
      <c r="E206" t="inlineStr">
        <is>
          <t>Embryologist</t>
        </is>
      </c>
      <c r="F206" s="1" t="n">
        <v>38117</v>
      </c>
      <c r="H206" t="inlineStr">
        <is>
          <t>NSW</t>
        </is>
      </c>
      <c r="I206" t="inlineStr">
        <is>
          <t>NSW</t>
        </is>
      </c>
      <c r="J206" t="inlineStr">
        <is>
          <t>Full Time</t>
        </is>
      </c>
      <c r="K206" s="23" t="n">
        <v>38117</v>
      </c>
      <c r="L206" s="23" t="n">
        <v>38117</v>
      </c>
      <c r="O206" t="n">
        <v>38</v>
      </c>
    </row>
    <row r="207">
      <c r="A207" t="n">
        <v>20152</v>
      </c>
      <c r="C207" t="inlineStr">
        <is>
          <t>NSW-QLD</t>
        </is>
      </c>
      <c r="D207" t="inlineStr">
        <is>
          <t>Virtus Health</t>
        </is>
      </c>
      <c r="E207" t="inlineStr">
        <is>
          <t>Counselling Manager</t>
        </is>
      </c>
      <c r="F207" t="inlineStr">
        <is>
          <t>3/25/2008</t>
        </is>
      </c>
      <c r="G207" s="1" t="n">
        <v>45331</v>
      </c>
      <c r="H207" t="inlineStr">
        <is>
          <t>NSW</t>
        </is>
      </c>
      <c r="I207" t="inlineStr">
        <is>
          <t>NSW</t>
        </is>
      </c>
      <c r="J207" t="inlineStr">
        <is>
          <t>Part Time</t>
        </is>
      </c>
      <c r="K207" s="23" t="inlineStr">
        <is>
          <t>3/25/2008</t>
        </is>
      </c>
      <c r="L207" s="23" t="inlineStr">
        <is>
          <t>3/25/2008</t>
        </is>
      </c>
      <c r="O207" t="n">
        <v>22.8</v>
      </c>
    </row>
    <row r="208">
      <c r="A208" t="n">
        <v>20152</v>
      </c>
      <c r="C208" t="inlineStr">
        <is>
          <t>NSW-QLD</t>
        </is>
      </c>
      <c r="D208" t="inlineStr">
        <is>
          <t>Virtus Health</t>
        </is>
      </c>
      <c r="E208" t="inlineStr">
        <is>
          <t>Counselling Manager</t>
        </is>
      </c>
      <c r="F208" s="1" t="n">
        <v>45360</v>
      </c>
      <c r="H208" t="inlineStr">
        <is>
          <t>NSW</t>
        </is>
      </c>
      <c r="I208" t="inlineStr">
        <is>
          <t>NSW</t>
        </is>
      </c>
      <c r="J208" t="inlineStr">
        <is>
          <t>Part Time</t>
        </is>
      </c>
      <c r="K208" s="23" t="inlineStr">
        <is>
          <t>3/25/2008</t>
        </is>
      </c>
      <c r="L208" s="23" t="inlineStr">
        <is>
          <t>3/25/2008</t>
        </is>
      </c>
      <c r="O208" t="n">
        <v>25.5</v>
      </c>
    </row>
    <row r="209">
      <c r="A209" t="n">
        <v>20156</v>
      </c>
      <c r="B209" s="1" t="n"/>
      <c r="C209" t="inlineStr">
        <is>
          <t>NSW-QLD</t>
        </is>
      </c>
      <c r="D209" t="inlineStr">
        <is>
          <t>Virtus Health</t>
        </is>
      </c>
      <c r="E209" t="inlineStr">
        <is>
          <t>Registered Nurse</t>
        </is>
      </c>
      <c r="F209" s="1" t="n">
        <v>37534</v>
      </c>
      <c r="H209" t="inlineStr">
        <is>
          <t>IVFN2021</t>
        </is>
      </c>
      <c r="I209" t="inlineStr">
        <is>
          <t>NSW</t>
        </is>
      </c>
      <c r="J209" t="inlineStr">
        <is>
          <t>Full Time</t>
        </is>
      </c>
      <c r="K209" s="23" t="n">
        <v>37534</v>
      </c>
      <c r="L209" s="23" t="n">
        <v>37534</v>
      </c>
      <c r="O209" t="n">
        <v>38</v>
      </c>
    </row>
    <row r="210">
      <c r="A210" t="n">
        <v>20158</v>
      </c>
      <c r="C210" t="inlineStr">
        <is>
          <t>NSW-QLD</t>
        </is>
      </c>
      <c r="D210" t="inlineStr">
        <is>
          <t>Virtus Health</t>
        </is>
      </c>
      <c r="E210" t="inlineStr">
        <is>
          <t>Executive Assistant</t>
        </is>
      </c>
      <c r="F210" t="inlineStr">
        <is>
          <t>7/21/2008</t>
        </is>
      </c>
      <c r="H210" t="inlineStr">
        <is>
          <t>NSW</t>
        </is>
      </c>
      <c r="I210" t="inlineStr">
        <is>
          <t>NSW</t>
        </is>
      </c>
      <c r="J210" t="inlineStr">
        <is>
          <t>Full Time</t>
        </is>
      </c>
      <c r="K210" s="23" t="inlineStr">
        <is>
          <t>7/21/2008</t>
        </is>
      </c>
      <c r="L210" s="23" t="inlineStr">
        <is>
          <t>7/21/2008</t>
        </is>
      </c>
      <c r="O210" t="n">
        <v>28.5</v>
      </c>
    </row>
    <row r="211">
      <c r="A211" t="n">
        <v>20161</v>
      </c>
      <c r="C211" t="inlineStr">
        <is>
          <t>NSW-QLD</t>
        </is>
      </c>
      <c r="D211" t="inlineStr">
        <is>
          <t>Virtus Health</t>
        </is>
      </c>
      <c r="E211" t="inlineStr">
        <is>
          <t>Clinical Nurse Specialist</t>
        </is>
      </c>
      <c r="F211" t="inlineStr">
        <is>
          <t>11/28/2005</t>
        </is>
      </c>
      <c r="G211" s="1" t="n">
        <v>44630</v>
      </c>
      <c r="H211" t="inlineStr">
        <is>
          <t>IVFN2021</t>
        </is>
      </c>
      <c r="I211" t="inlineStr">
        <is>
          <t>NSW</t>
        </is>
      </c>
      <c r="J211" t="inlineStr">
        <is>
          <t>Full Time</t>
        </is>
      </c>
      <c r="K211" s="23" t="inlineStr">
        <is>
          <t>11/28/2005</t>
        </is>
      </c>
      <c r="L211" s="23" t="inlineStr">
        <is>
          <t>11/28/2005</t>
        </is>
      </c>
      <c r="O211" t="n">
        <v>24</v>
      </c>
    </row>
    <row r="212">
      <c r="A212" t="n">
        <v>20161</v>
      </c>
      <c r="C212" t="inlineStr">
        <is>
          <t>NSW-QLD</t>
        </is>
      </c>
      <c r="D212" t="inlineStr">
        <is>
          <t>Virtus Health</t>
        </is>
      </c>
      <c r="E212" t="inlineStr">
        <is>
          <t>Clinical Nurse Specialist</t>
        </is>
      </c>
      <c r="F212" s="1" t="n">
        <v>44661</v>
      </c>
      <c r="H212" t="inlineStr">
        <is>
          <t>IVFN2021</t>
        </is>
      </c>
      <c r="I212" t="inlineStr">
        <is>
          <t>NSW</t>
        </is>
      </c>
      <c r="J212" t="inlineStr">
        <is>
          <t>Full Time</t>
        </is>
      </c>
      <c r="K212" s="23" t="inlineStr">
        <is>
          <t>11/28/2005</t>
        </is>
      </c>
      <c r="L212" s="23" t="inlineStr">
        <is>
          <t>11/28/2005</t>
        </is>
      </c>
      <c r="O212" t="n">
        <v>28.5</v>
      </c>
    </row>
    <row r="213">
      <c r="A213" t="n">
        <v>20169</v>
      </c>
      <c r="C213" t="inlineStr">
        <is>
          <t>NSW-QLD</t>
        </is>
      </c>
      <c r="D213" t="inlineStr">
        <is>
          <t>Virtus Health</t>
        </is>
      </c>
      <c r="E213" t="inlineStr">
        <is>
          <t>Territory Administration Manager</t>
        </is>
      </c>
      <c r="F213" t="inlineStr">
        <is>
          <t>2/25/2009</t>
        </is>
      </c>
      <c r="H213" t="inlineStr">
        <is>
          <t>IVFS2023</t>
        </is>
      </c>
      <c r="I213" t="inlineStr">
        <is>
          <t>NSW</t>
        </is>
      </c>
      <c r="J213" t="inlineStr">
        <is>
          <t>Full Time</t>
        </is>
      </c>
      <c r="K213" s="23" t="inlineStr">
        <is>
          <t>2/25/2009</t>
        </is>
      </c>
      <c r="L213" s="23" t="inlineStr">
        <is>
          <t>2/25/2009</t>
        </is>
      </c>
      <c r="O213" t="n">
        <v>38</v>
      </c>
    </row>
    <row r="214">
      <c r="A214" t="n">
        <v>20171</v>
      </c>
      <c r="C214" t="inlineStr">
        <is>
          <t>NSW-QLD</t>
        </is>
      </c>
      <c r="D214" t="inlineStr">
        <is>
          <t>Virtus Health</t>
        </is>
      </c>
      <c r="E214" t="inlineStr">
        <is>
          <t>Embryologist</t>
        </is>
      </c>
      <c r="F214" t="inlineStr">
        <is>
          <t>7/20/2000</t>
        </is>
      </c>
      <c r="H214" t="inlineStr">
        <is>
          <t>IVFT2024</t>
        </is>
      </c>
      <c r="I214" t="inlineStr">
        <is>
          <t>NSW</t>
        </is>
      </c>
      <c r="J214" t="inlineStr">
        <is>
          <t>Part Time</t>
        </is>
      </c>
      <c r="K214" s="23" t="inlineStr">
        <is>
          <t>7/20/2000</t>
        </is>
      </c>
      <c r="L214" s="23" t="inlineStr">
        <is>
          <t>7/20/2000</t>
        </is>
      </c>
      <c r="O214" t="n">
        <v>25.5</v>
      </c>
    </row>
    <row r="215">
      <c r="A215" t="n">
        <v>20172</v>
      </c>
      <c r="B215" s="1" t="n"/>
      <c r="C215" t="inlineStr">
        <is>
          <t>NSW-QLD</t>
        </is>
      </c>
      <c r="D215" t="inlineStr">
        <is>
          <t>Virtus Health</t>
        </is>
      </c>
      <c r="E215" t="inlineStr">
        <is>
          <t>Clinical Nurse Specialist</t>
        </is>
      </c>
      <c r="F215" s="1" t="n">
        <v>38172</v>
      </c>
      <c r="H215" t="inlineStr">
        <is>
          <t>IVFN2021</t>
        </is>
      </c>
      <c r="I215" t="inlineStr">
        <is>
          <t>NSW</t>
        </is>
      </c>
      <c r="J215" t="inlineStr">
        <is>
          <t>Part Time</t>
        </is>
      </c>
      <c r="K215" s="23" t="n">
        <v>38172</v>
      </c>
      <c r="L215" s="23" t="n">
        <v>38172</v>
      </c>
      <c r="O215" t="n">
        <v>28.5</v>
      </c>
    </row>
    <row r="216">
      <c r="A216" t="n">
        <v>20173</v>
      </c>
      <c r="C216" t="inlineStr">
        <is>
          <t>NSW-QLD</t>
        </is>
      </c>
      <c r="D216" t="inlineStr">
        <is>
          <t>Virtus Health</t>
        </is>
      </c>
      <c r="E216" t="inlineStr">
        <is>
          <t>Administration Manager</t>
        </is>
      </c>
      <c r="F216" t="inlineStr">
        <is>
          <t>1/16/2006</t>
        </is>
      </c>
      <c r="H216" t="inlineStr">
        <is>
          <t>IVFS2023</t>
        </is>
      </c>
      <c r="I216" t="inlineStr">
        <is>
          <t>NSW</t>
        </is>
      </c>
      <c r="J216" t="inlineStr">
        <is>
          <t>Full Time</t>
        </is>
      </c>
      <c r="K216" s="23" t="inlineStr">
        <is>
          <t>1/16/2006</t>
        </is>
      </c>
      <c r="L216" s="23" t="inlineStr">
        <is>
          <t>1/16/2006</t>
        </is>
      </c>
      <c r="O216" t="n">
        <v>38</v>
      </c>
    </row>
    <row r="217">
      <c r="A217" t="n">
        <v>20175</v>
      </c>
      <c r="B217" s="1" t="n"/>
      <c r="C217" t="inlineStr">
        <is>
          <t>NSW-QLD</t>
        </is>
      </c>
      <c r="D217" t="inlineStr">
        <is>
          <t>Virtus Health</t>
        </is>
      </c>
      <c r="E217" t="inlineStr">
        <is>
          <t>Registered Nurse</t>
        </is>
      </c>
      <c r="F217" s="1" t="n">
        <v>39667</v>
      </c>
      <c r="H217" t="inlineStr">
        <is>
          <t>IVFN2021</t>
        </is>
      </c>
      <c r="I217" t="inlineStr">
        <is>
          <t>NSW</t>
        </is>
      </c>
      <c r="J217" t="inlineStr">
        <is>
          <t>Part Time</t>
        </is>
      </c>
      <c r="K217" s="23" t="n">
        <v>39667</v>
      </c>
      <c r="L217" s="23" t="n">
        <v>39667</v>
      </c>
      <c r="O217" t="n">
        <v>21</v>
      </c>
    </row>
    <row r="218">
      <c r="A218" t="n">
        <v>20176</v>
      </c>
      <c r="B218" s="1" t="n"/>
      <c r="C218" t="inlineStr">
        <is>
          <t>NSW-QLD</t>
        </is>
      </c>
      <c r="D218" t="inlineStr">
        <is>
          <t>Virtus Health</t>
        </is>
      </c>
      <c r="E218" t="inlineStr">
        <is>
          <t>Registered Nurse</t>
        </is>
      </c>
      <c r="F218" s="1" t="n">
        <v>39880</v>
      </c>
      <c r="H218" t="inlineStr">
        <is>
          <t>IVFN2021</t>
        </is>
      </c>
      <c r="I218" t="inlineStr">
        <is>
          <t>QLD</t>
        </is>
      </c>
      <c r="J218" t="inlineStr">
        <is>
          <t>Part Time</t>
        </is>
      </c>
      <c r="K218" s="23" t="n">
        <v>39880</v>
      </c>
      <c r="L218" s="23" t="n">
        <v>39880</v>
      </c>
      <c r="O218" t="n">
        <v>38</v>
      </c>
    </row>
    <row r="219">
      <c r="A219" t="n">
        <v>20182</v>
      </c>
      <c r="C219" t="inlineStr">
        <is>
          <t>NSW-QLD</t>
        </is>
      </c>
      <c r="D219" t="inlineStr">
        <is>
          <t>Virtus Health</t>
        </is>
      </c>
      <c r="E219" t="inlineStr">
        <is>
          <t>Embryologist</t>
        </is>
      </c>
      <c r="F219" t="inlineStr">
        <is>
          <t>10/31/2009</t>
        </is>
      </c>
      <c r="H219" t="inlineStr">
        <is>
          <t>IVFT2024</t>
        </is>
      </c>
      <c r="I219" t="inlineStr">
        <is>
          <t>NSW</t>
        </is>
      </c>
      <c r="J219" t="inlineStr">
        <is>
          <t>Full Time</t>
        </is>
      </c>
      <c r="K219" s="23" t="inlineStr">
        <is>
          <t>10/31/2009</t>
        </is>
      </c>
      <c r="L219" s="23" t="inlineStr">
        <is>
          <t>10/31/2009</t>
        </is>
      </c>
      <c r="O219" t="n">
        <v>38</v>
      </c>
    </row>
    <row r="220">
      <c r="A220" t="n">
        <v>20186</v>
      </c>
      <c r="B220" s="1" t="n"/>
      <c r="C220" t="inlineStr">
        <is>
          <t>NSW-QLD</t>
        </is>
      </c>
      <c r="D220" t="inlineStr">
        <is>
          <t>Virtus Health</t>
        </is>
      </c>
      <c r="E220" t="inlineStr">
        <is>
          <t>Counsellor</t>
        </is>
      </c>
      <c r="F220" s="1" t="n">
        <v>39915</v>
      </c>
      <c r="H220" t="inlineStr">
        <is>
          <t>IVFC2022</t>
        </is>
      </c>
      <c r="I220" t="inlineStr">
        <is>
          <t>NSW</t>
        </is>
      </c>
      <c r="J220" t="inlineStr">
        <is>
          <t>Part Time</t>
        </is>
      </c>
      <c r="K220" s="23" t="n">
        <v>39915</v>
      </c>
      <c r="L220" s="23" t="n">
        <v>39915</v>
      </c>
      <c r="O220" t="n">
        <v>16</v>
      </c>
    </row>
    <row r="221">
      <c r="A221" t="n">
        <v>20190</v>
      </c>
      <c r="C221" t="inlineStr">
        <is>
          <t>NSW-QLD</t>
        </is>
      </c>
      <c r="D221" t="inlineStr">
        <is>
          <t>Virtus Health</t>
        </is>
      </c>
      <c r="E221" t="inlineStr">
        <is>
          <t>Medical Secretary</t>
        </is>
      </c>
      <c r="F221" t="inlineStr">
        <is>
          <t>11/24/2009</t>
        </is>
      </c>
      <c r="H221" t="inlineStr">
        <is>
          <t>IVFS2023</t>
        </is>
      </c>
      <c r="I221" t="inlineStr">
        <is>
          <t>NSW</t>
        </is>
      </c>
      <c r="J221" t="inlineStr">
        <is>
          <t>Full Time</t>
        </is>
      </c>
      <c r="K221" s="23" t="inlineStr">
        <is>
          <t>11/24/2009</t>
        </is>
      </c>
      <c r="L221" s="23" t="inlineStr">
        <is>
          <t>11/24/2009</t>
        </is>
      </c>
      <c r="O221" t="n">
        <v>38</v>
      </c>
    </row>
    <row r="222">
      <c r="A222" t="n">
        <v>20192</v>
      </c>
      <c r="C222" t="inlineStr">
        <is>
          <t>NSW-QLD</t>
        </is>
      </c>
      <c r="D222" t="inlineStr">
        <is>
          <t>Virtus Health</t>
        </is>
      </c>
      <c r="E222" t="inlineStr">
        <is>
          <t>Medical Secretary/Team Leader</t>
        </is>
      </c>
      <c r="F222" t="inlineStr">
        <is>
          <t>9/13/2004</t>
        </is>
      </c>
      <c r="H222" t="inlineStr">
        <is>
          <t>IVFS2023</t>
        </is>
      </c>
      <c r="I222" t="inlineStr">
        <is>
          <t>NSW</t>
        </is>
      </c>
      <c r="J222" t="inlineStr">
        <is>
          <t>Full Time</t>
        </is>
      </c>
      <c r="K222" s="23" t="inlineStr">
        <is>
          <t>9/13/2004</t>
        </is>
      </c>
      <c r="L222" s="23" t="inlineStr">
        <is>
          <t>9/13/2004</t>
        </is>
      </c>
      <c r="O222" t="n">
        <v>38</v>
      </c>
    </row>
    <row r="223">
      <c r="A223" t="n">
        <v>20216</v>
      </c>
      <c r="C223" t="inlineStr">
        <is>
          <t>NSW-QLD</t>
        </is>
      </c>
      <c r="D223" t="inlineStr">
        <is>
          <t>Virtus Health</t>
        </is>
      </c>
      <c r="E223" t="inlineStr">
        <is>
          <t>Financial Accountant</t>
        </is>
      </c>
      <c r="F223" t="inlineStr">
        <is>
          <t>6/21/2010</t>
        </is>
      </c>
      <c r="H223" t="inlineStr">
        <is>
          <t>NSW</t>
        </is>
      </c>
      <c r="I223" t="inlineStr">
        <is>
          <t>NSW</t>
        </is>
      </c>
      <c r="J223" t="inlineStr">
        <is>
          <t>Full Time</t>
        </is>
      </c>
      <c r="K223" s="23" t="inlineStr">
        <is>
          <t>6/21/2010</t>
        </is>
      </c>
      <c r="L223" s="23" t="inlineStr">
        <is>
          <t>6/21/2010</t>
        </is>
      </c>
      <c r="O223" t="n">
        <v>38</v>
      </c>
    </row>
    <row r="224">
      <c r="A224" t="n">
        <v>20236</v>
      </c>
      <c r="B224" s="1" t="n"/>
      <c r="C224" t="inlineStr">
        <is>
          <t>NSW-QLD</t>
        </is>
      </c>
      <c r="D224" t="inlineStr">
        <is>
          <t>Virtus Health</t>
        </is>
      </c>
      <c r="E224" t="inlineStr">
        <is>
          <t>Counsellor</t>
        </is>
      </c>
      <c r="F224" s="1" t="n">
        <v>40579</v>
      </c>
      <c r="H224" t="inlineStr">
        <is>
          <t>IVFC2022</t>
        </is>
      </c>
      <c r="I224" t="inlineStr">
        <is>
          <t>NSW</t>
        </is>
      </c>
      <c r="J224" t="inlineStr">
        <is>
          <t>Part Time</t>
        </is>
      </c>
      <c r="K224" s="23" t="n">
        <v>40579</v>
      </c>
      <c r="L224" s="23" t="n">
        <v>40579</v>
      </c>
      <c r="O224" t="n">
        <v>20</v>
      </c>
    </row>
    <row r="225">
      <c r="A225" t="n">
        <v>20242</v>
      </c>
      <c r="C225" t="inlineStr">
        <is>
          <t>NSW-QLD</t>
        </is>
      </c>
      <c r="D225" t="inlineStr">
        <is>
          <t>Virtus Health</t>
        </is>
      </c>
      <c r="E225" t="inlineStr">
        <is>
          <t>Embryologist</t>
        </is>
      </c>
      <c r="F225" t="inlineStr">
        <is>
          <t>4/19/2011</t>
        </is>
      </c>
      <c r="H225" t="inlineStr">
        <is>
          <t>IVFT2024</t>
        </is>
      </c>
      <c r="I225" t="inlineStr">
        <is>
          <t>NSW</t>
        </is>
      </c>
      <c r="J225" t="inlineStr">
        <is>
          <t>Full Time</t>
        </is>
      </c>
      <c r="K225" s="23" t="inlineStr">
        <is>
          <t>4/19/2011</t>
        </is>
      </c>
      <c r="L225" s="23" t="inlineStr">
        <is>
          <t>4/19/2011</t>
        </is>
      </c>
      <c r="O225" t="n">
        <v>38</v>
      </c>
    </row>
    <row r="226">
      <c r="A226" t="n">
        <v>20248</v>
      </c>
      <c r="B226" s="1" t="n"/>
      <c r="C226" t="inlineStr">
        <is>
          <t>NSW-QLD</t>
        </is>
      </c>
      <c r="D226" t="inlineStr">
        <is>
          <t>Virtus Health</t>
        </is>
      </c>
      <c r="E226" t="inlineStr">
        <is>
          <t>Patient Support Officer</t>
        </is>
      </c>
      <c r="F226" s="1" t="n">
        <v>40884</v>
      </c>
      <c r="H226" t="inlineStr">
        <is>
          <t>IVFS2023</t>
        </is>
      </c>
      <c r="I226" t="inlineStr">
        <is>
          <t>NSW</t>
        </is>
      </c>
      <c r="J226" t="inlineStr">
        <is>
          <t>Part Time</t>
        </is>
      </c>
      <c r="K226" s="23" t="n">
        <v>40884</v>
      </c>
      <c r="L226" s="23" t="n">
        <v>40884</v>
      </c>
      <c r="O226" t="n">
        <v>38</v>
      </c>
    </row>
    <row r="227">
      <c r="A227" t="n">
        <v>20250</v>
      </c>
      <c r="C227" t="inlineStr">
        <is>
          <t>NSW-QLD</t>
        </is>
      </c>
      <c r="D227" t="inlineStr">
        <is>
          <t>Virtus Health</t>
        </is>
      </c>
      <c r="E227" t="inlineStr">
        <is>
          <t>Natinal Accounts Receivable Manager</t>
        </is>
      </c>
      <c r="F227" s="1" t="n">
        <v>40551</v>
      </c>
      <c r="H227" t="inlineStr">
        <is>
          <t>NSW</t>
        </is>
      </c>
      <c r="I227" t="inlineStr">
        <is>
          <t>NSW</t>
        </is>
      </c>
      <c r="J227" t="inlineStr">
        <is>
          <t>Full Time</t>
        </is>
      </c>
      <c r="K227" s="23" t="n">
        <v>40551</v>
      </c>
      <c r="L227" s="23" t="n">
        <v>40551</v>
      </c>
      <c r="O227" t="n">
        <v>38</v>
      </c>
    </row>
    <row r="228">
      <c r="A228" t="n">
        <v>20263</v>
      </c>
      <c r="B228" s="1" t="n"/>
      <c r="C228" t="inlineStr">
        <is>
          <t>NSW-QLD</t>
        </is>
      </c>
      <c r="D228" t="inlineStr">
        <is>
          <t>Virtus Health</t>
        </is>
      </c>
      <c r="E228" t="inlineStr">
        <is>
          <t>Fertility Laboratory Director</t>
        </is>
      </c>
      <c r="F228" s="1" t="n">
        <v>40735</v>
      </c>
      <c r="H228" t="inlineStr">
        <is>
          <t>NSW</t>
        </is>
      </c>
      <c r="I228" t="inlineStr">
        <is>
          <t>NSW</t>
        </is>
      </c>
      <c r="J228" t="inlineStr">
        <is>
          <t>Full Time</t>
        </is>
      </c>
      <c r="K228" s="23" t="n">
        <v>40735</v>
      </c>
      <c r="L228" s="23" t="n">
        <v>40735</v>
      </c>
      <c r="O228" t="n">
        <v>25.6</v>
      </c>
    </row>
    <row r="229">
      <c r="A229" t="n">
        <v>20274</v>
      </c>
      <c r="C229" t="inlineStr">
        <is>
          <t>NSW-QLD</t>
        </is>
      </c>
      <c r="D229" t="inlineStr">
        <is>
          <t>Virtus Health</t>
        </is>
      </c>
      <c r="E229" t="inlineStr">
        <is>
          <t>Administration</t>
        </is>
      </c>
      <c r="F229" t="inlineStr">
        <is>
          <t>2/15/2012</t>
        </is>
      </c>
      <c r="H229" t="inlineStr">
        <is>
          <t>IVFS2023</t>
        </is>
      </c>
      <c r="I229" t="inlineStr">
        <is>
          <t>NSW</t>
        </is>
      </c>
      <c r="J229" t="inlineStr">
        <is>
          <t>Part Time</t>
        </is>
      </c>
      <c r="K229" s="23" t="inlineStr">
        <is>
          <t>2/15/2012</t>
        </is>
      </c>
      <c r="L229" s="23" t="inlineStr">
        <is>
          <t>2/15/2012</t>
        </is>
      </c>
      <c r="O229" t="n">
        <v>38</v>
      </c>
    </row>
    <row r="230">
      <c r="A230" t="n">
        <v>20276</v>
      </c>
      <c r="B230" s="1" t="n"/>
      <c r="C230" t="inlineStr">
        <is>
          <t>NSW-QLD</t>
        </is>
      </c>
      <c r="D230" t="inlineStr">
        <is>
          <t>Virtus Health</t>
        </is>
      </c>
      <c r="E230" t="inlineStr">
        <is>
          <t>Counsellor</t>
        </is>
      </c>
      <c r="F230" s="1" t="n">
        <v>41124</v>
      </c>
      <c r="H230" t="inlineStr">
        <is>
          <t>IVFC2022</t>
        </is>
      </c>
      <c r="I230" t="inlineStr">
        <is>
          <t>NSW</t>
        </is>
      </c>
      <c r="J230" t="inlineStr">
        <is>
          <t>Part Time</t>
        </is>
      </c>
      <c r="K230" s="23" t="n">
        <v>41124</v>
      </c>
      <c r="L230" s="23" t="n">
        <v>41124</v>
      </c>
      <c r="O230" t="n">
        <v>22.5</v>
      </c>
    </row>
    <row r="231">
      <c r="A231" t="n">
        <v>20281</v>
      </c>
      <c r="B231" s="1" t="n"/>
      <c r="C231" t="inlineStr">
        <is>
          <t>NSW-QLD</t>
        </is>
      </c>
      <c r="D231" t="inlineStr">
        <is>
          <t>Virtus Health</t>
        </is>
      </c>
      <c r="E231" t="inlineStr">
        <is>
          <t>Donor Coordinator</t>
        </is>
      </c>
      <c r="F231" s="1" t="n">
        <v>40911</v>
      </c>
      <c r="H231" t="inlineStr">
        <is>
          <t>IVFN2021</t>
        </is>
      </c>
      <c r="I231" t="inlineStr">
        <is>
          <t>NSW</t>
        </is>
      </c>
      <c r="J231" t="inlineStr">
        <is>
          <t>Part Time</t>
        </is>
      </c>
      <c r="K231" s="23" t="n">
        <v>40911</v>
      </c>
      <c r="L231" s="23" t="n">
        <v>40911</v>
      </c>
      <c r="O231" t="n">
        <v>22</v>
      </c>
    </row>
    <row r="232">
      <c r="A232" t="n">
        <v>20288</v>
      </c>
      <c r="C232" t="inlineStr">
        <is>
          <t>NSW-QLD</t>
        </is>
      </c>
      <c r="D232" t="inlineStr">
        <is>
          <t>Virtus Health</t>
        </is>
      </c>
      <c r="E232" t="inlineStr">
        <is>
          <t>Embryologist</t>
        </is>
      </c>
      <c r="F232" t="inlineStr">
        <is>
          <t>5/14/2012</t>
        </is>
      </c>
      <c r="H232" t="inlineStr">
        <is>
          <t>IVFT2024</t>
        </is>
      </c>
      <c r="I232" t="inlineStr">
        <is>
          <t>NSW</t>
        </is>
      </c>
      <c r="J232" t="inlineStr">
        <is>
          <t>Part Time</t>
        </is>
      </c>
      <c r="K232" s="23" t="inlineStr">
        <is>
          <t>5/14/2012</t>
        </is>
      </c>
      <c r="L232" s="23" t="inlineStr">
        <is>
          <t>5/14/2012</t>
        </is>
      </c>
      <c r="O232" t="n">
        <v>22.25</v>
      </c>
    </row>
    <row r="233">
      <c r="A233" t="n">
        <v>20292</v>
      </c>
      <c r="B233" s="1" t="n"/>
      <c r="C233" t="inlineStr">
        <is>
          <t>NSW-QLD</t>
        </is>
      </c>
      <c r="D233" t="inlineStr">
        <is>
          <t>Virtus Health</t>
        </is>
      </c>
      <c r="E233" t="inlineStr">
        <is>
          <t>Embryologist</t>
        </is>
      </c>
      <c r="F233" s="1" t="n">
        <v>41005</v>
      </c>
      <c r="H233" t="inlineStr">
        <is>
          <t>IVFT2024</t>
        </is>
      </c>
      <c r="I233" t="inlineStr">
        <is>
          <t>NSW</t>
        </is>
      </c>
      <c r="J233" t="inlineStr">
        <is>
          <t>Part Time</t>
        </is>
      </c>
      <c r="K233" s="23" t="n">
        <v>41005</v>
      </c>
      <c r="L233" s="23" t="n">
        <v>41005</v>
      </c>
      <c r="O233" t="n">
        <v>27.75</v>
      </c>
    </row>
    <row r="234">
      <c r="A234" t="n">
        <v>20297</v>
      </c>
      <c r="C234" t="inlineStr">
        <is>
          <t>NSW-QLD</t>
        </is>
      </c>
      <c r="D234" t="inlineStr">
        <is>
          <t>Virtus Health</t>
        </is>
      </c>
      <c r="E234" t="inlineStr">
        <is>
          <t>Clinical Product Owner</t>
        </is>
      </c>
      <c r="F234" t="inlineStr">
        <is>
          <t>7/31/2012</t>
        </is>
      </c>
      <c r="H234" t="inlineStr">
        <is>
          <t>NSW</t>
        </is>
      </c>
      <c r="I234" t="inlineStr">
        <is>
          <t>NSW</t>
        </is>
      </c>
      <c r="J234" t="inlineStr">
        <is>
          <t>Full Time</t>
        </is>
      </c>
      <c r="K234" s="23" t="inlineStr">
        <is>
          <t>7/31/2012</t>
        </is>
      </c>
      <c r="L234" s="23" t="inlineStr">
        <is>
          <t>7/31/2012</t>
        </is>
      </c>
      <c r="O234" t="n">
        <v>38</v>
      </c>
    </row>
    <row r="235">
      <c r="A235" t="n">
        <v>20308</v>
      </c>
      <c r="B235" s="1" t="n"/>
      <c r="C235" t="inlineStr">
        <is>
          <t>NSW-QLD</t>
        </is>
      </c>
      <c r="D235" t="inlineStr">
        <is>
          <t>Virtus Health</t>
        </is>
      </c>
      <c r="E235" t="inlineStr">
        <is>
          <t>Embryologist</t>
        </is>
      </c>
      <c r="F235" s="1" t="n">
        <v>40917</v>
      </c>
      <c r="H235" t="inlineStr">
        <is>
          <t>IVFT2024</t>
        </is>
      </c>
      <c r="I235" t="inlineStr">
        <is>
          <t>NSW</t>
        </is>
      </c>
      <c r="J235" t="inlineStr">
        <is>
          <t>Full Time</t>
        </is>
      </c>
      <c r="K235" s="23" t="n">
        <v>40917</v>
      </c>
      <c r="L235" s="23" t="n">
        <v>40917</v>
      </c>
      <c r="O235" t="n">
        <v>38</v>
      </c>
    </row>
    <row r="236">
      <c r="A236" t="n">
        <v>20318</v>
      </c>
      <c r="C236" t="inlineStr">
        <is>
          <t>NSW-QLD</t>
        </is>
      </c>
      <c r="D236" t="inlineStr">
        <is>
          <t>Virtus Health</t>
        </is>
      </c>
      <c r="E236" t="inlineStr">
        <is>
          <t>Administration Manager</t>
        </is>
      </c>
      <c r="F236" t="inlineStr">
        <is>
          <t>10/22/2012</t>
        </is>
      </c>
      <c r="H236" t="inlineStr">
        <is>
          <t>IVFS2023</t>
        </is>
      </c>
      <c r="I236" t="inlineStr">
        <is>
          <t>NSW</t>
        </is>
      </c>
      <c r="J236" t="inlineStr">
        <is>
          <t>Part Time</t>
        </is>
      </c>
      <c r="K236" s="23" t="inlineStr">
        <is>
          <t>10/22/2012</t>
        </is>
      </c>
      <c r="L236" s="23" t="inlineStr">
        <is>
          <t>10/22/2012</t>
        </is>
      </c>
      <c r="O236" t="n">
        <v>27.5</v>
      </c>
    </row>
    <row r="237">
      <c r="A237" t="n">
        <v>20322</v>
      </c>
      <c r="B237" s="1" t="n"/>
      <c r="C237" t="inlineStr">
        <is>
          <t>NSW-QLD</t>
        </is>
      </c>
      <c r="D237" t="inlineStr">
        <is>
          <t>Virtus Health</t>
        </is>
      </c>
      <c r="E237" t="inlineStr">
        <is>
          <t>Embryologist</t>
        </is>
      </c>
      <c r="F237" s="1" t="n">
        <v>40980</v>
      </c>
      <c r="H237" t="inlineStr">
        <is>
          <t>IVFT2024</t>
        </is>
      </c>
      <c r="I237" t="inlineStr">
        <is>
          <t>NSW</t>
        </is>
      </c>
      <c r="J237" t="inlineStr">
        <is>
          <t>Full Time</t>
        </is>
      </c>
      <c r="K237" s="23" t="n">
        <v>40980</v>
      </c>
      <c r="L237" s="23" t="n">
        <v>40980</v>
      </c>
      <c r="O237" t="n">
        <v>38</v>
      </c>
    </row>
    <row r="238">
      <c r="A238" t="n">
        <v>20324</v>
      </c>
      <c r="B238" s="1" t="n"/>
      <c r="C238" t="inlineStr">
        <is>
          <t>NSW-QLD</t>
        </is>
      </c>
      <c r="D238" t="inlineStr">
        <is>
          <t>Virtus Health</t>
        </is>
      </c>
      <c r="E238" t="inlineStr">
        <is>
          <t>Enrolled Nurse</t>
        </is>
      </c>
      <c r="F238" s="1" t="n">
        <v>41334</v>
      </c>
      <c r="H238" t="inlineStr">
        <is>
          <t>IVFN2021</t>
        </is>
      </c>
      <c r="I238" t="inlineStr">
        <is>
          <t>NSW</t>
        </is>
      </c>
      <c r="J238" t="inlineStr">
        <is>
          <t>Part Time</t>
        </is>
      </c>
      <c r="K238" s="23" t="n">
        <v>41334</v>
      </c>
      <c r="L238" s="23" t="n">
        <v>41334</v>
      </c>
      <c r="O238" t="n">
        <v>36</v>
      </c>
    </row>
    <row r="239">
      <c r="A239" t="n">
        <v>20327</v>
      </c>
      <c r="C239" t="inlineStr">
        <is>
          <t>NSW-QLD</t>
        </is>
      </c>
      <c r="D239" t="inlineStr">
        <is>
          <t>Virtus Health</t>
        </is>
      </c>
      <c r="E239" t="inlineStr">
        <is>
          <t>Medical Secretary</t>
        </is>
      </c>
      <c r="F239" t="inlineStr">
        <is>
          <t>1/15/2013</t>
        </is>
      </c>
      <c r="H239" t="inlineStr">
        <is>
          <t>IVFS2023</t>
        </is>
      </c>
      <c r="I239" t="inlineStr">
        <is>
          <t>NSW</t>
        </is>
      </c>
      <c r="J239" t="inlineStr">
        <is>
          <t>Part Time</t>
        </is>
      </c>
      <c r="K239" s="23" t="inlineStr">
        <is>
          <t>1/15/2013</t>
        </is>
      </c>
      <c r="L239" s="23" t="inlineStr">
        <is>
          <t>1/15/2013</t>
        </is>
      </c>
      <c r="O239" t="n">
        <v>28.5</v>
      </c>
    </row>
    <row r="240">
      <c r="A240" t="n">
        <v>20330</v>
      </c>
      <c r="B240" s="1" t="n"/>
      <c r="C240" t="inlineStr">
        <is>
          <t>NSW-QLD</t>
        </is>
      </c>
      <c r="D240" t="inlineStr">
        <is>
          <t>Virtus Health</t>
        </is>
      </c>
      <c r="E240" t="inlineStr">
        <is>
          <t>Administration Manager</t>
        </is>
      </c>
      <c r="F240" s="1" t="n">
        <v>41397</v>
      </c>
      <c r="H240" t="inlineStr">
        <is>
          <t>IVFS2023</t>
        </is>
      </c>
      <c r="I240" t="inlineStr">
        <is>
          <t>NSW</t>
        </is>
      </c>
      <c r="J240" t="inlineStr">
        <is>
          <t>Full Time</t>
        </is>
      </c>
      <c r="K240" s="23" t="n">
        <v>41397</v>
      </c>
      <c r="L240" s="23" t="n">
        <v>41397</v>
      </c>
      <c r="O240" t="n">
        <v>38</v>
      </c>
    </row>
    <row r="241">
      <c r="A241" t="n">
        <v>20341</v>
      </c>
      <c r="B241" s="1" t="n"/>
      <c r="C241" t="inlineStr">
        <is>
          <t>NSW-QLD</t>
        </is>
      </c>
      <c r="D241" t="inlineStr">
        <is>
          <t>Virtus Health</t>
        </is>
      </c>
      <c r="E241" t="inlineStr">
        <is>
          <t>Business Development Manager - Regional and ACT</t>
        </is>
      </c>
      <c r="F241" s="1" t="n">
        <v>41581</v>
      </c>
      <c r="H241" t="inlineStr">
        <is>
          <t>NSW</t>
        </is>
      </c>
      <c r="I241" t="inlineStr">
        <is>
          <t>NSW</t>
        </is>
      </c>
      <c r="J241" t="inlineStr">
        <is>
          <t>Full Time</t>
        </is>
      </c>
      <c r="K241" s="23" t="n">
        <v>41581</v>
      </c>
      <c r="L241" s="23" t="n">
        <v>41581</v>
      </c>
      <c r="O241" t="n">
        <v>38</v>
      </c>
    </row>
    <row r="242">
      <c r="A242" t="n">
        <v>20350</v>
      </c>
      <c r="C242" t="inlineStr">
        <is>
          <t>NSW-QLD</t>
        </is>
      </c>
      <c r="D242" t="inlineStr">
        <is>
          <t>Virtus Health</t>
        </is>
      </c>
      <c r="E242" t="inlineStr">
        <is>
          <t>Administration Team Leader</t>
        </is>
      </c>
      <c r="F242" t="inlineStr">
        <is>
          <t>7/15/2013</t>
        </is>
      </c>
      <c r="H242" t="inlineStr">
        <is>
          <t>IVFS2023</t>
        </is>
      </c>
      <c r="I242" t="inlineStr">
        <is>
          <t>NSW</t>
        </is>
      </c>
      <c r="J242" t="inlineStr">
        <is>
          <t>Full Time</t>
        </is>
      </c>
      <c r="K242" s="23" t="inlineStr">
        <is>
          <t>7/15/2013</t>
        </is>
      </c>
      <c r="L242" s="23" t="inlineStr">
        <is>
          <t>7/15/2013</t>
        </is>
      </c>
      <c r="O242" t="n">
        <v>38</v>
      </c>
    </row>
    <row r="243">
      <c r="A243" t="n">
        <v>20365</v>
      </c>
      <c r="C243" t="inlineStr">
        <is>
          <t>NSW-QLD</t>
        </is>
      </c>
      <c r="D243" t="inlineStr">
        <is>
          <t>Virtus Health</t>
        </is>
      </c>
      <c r="E243" t="inlineStr">
        <is>
          <t>Administration</t>
        </is>
      </c>
      <c r="F243" t="inlineStr">
        <is>
          <t>10/15/2013</t>
        </is>
      </c>
      <c r="H243" t="inlineStr">
        <is>
          <t>IVFS2023</t>
        </is>
      </c>
      <c r="I243" t="inlineStr">
        <is>
          <t>NSW</t>
        </is>
      </c>
      <c r="J243" t="inlineStr">
        <is>
          <t>Casual</t>
        </is>
      </c>
      <c r="K243" s="23" t="inlineStr">
        <is>
          <t>10/15/2013</t>
        </is>
      </c>
      <c r="L243" s="23" t="inlineStr">
        <is>
          <t>10/15/2013</t>
        </is>
      </c>
      <c r="O243" t="n">
        <v>38</v>
      </c>
    </row>
    <row r="244">
      <c r="A244" t="n">
        <v>20367</v>
      </c>
      <c r="C244" t="inlineStr">
        <is>
          <t>NSW-QLD</t>
        </is>
      </c>
      <c r="D244" t="inlineStr">
        <is>
          <t>Virtus Health</t>
        </is>
      </c>
      <c r="E244" t="inlineStr">
        <is>
          <t>Embryologist</t>
        </is>
      </c>
      <c r="F244" t="inlineStr">
        <is>
          <t>10/28/2013</t>
        </is>
      </c>
      <c r="H244" t="inlineStr">
        <is>
          <t>IVFT2024</t>
        </is>
      </c>
      <c r="I244" t="inlineStr">
        <is>
          <t>NSW</t>
        </is>
      </c>
      <c r="J244" t="inlineStr">
        <is>
          <t>Full Time</t>
        </is>
      </c>
      <c r="K244" s="23" t="inlineStr">
        <is>
          <t>10/28/2013</t>
        </is>
      </c>
      <c r="L244" s="23" t="inlineStr">
        <is>
          <t>10/28/2013</t>
        </is>
      </c>
      <c r="O244" t="n">
        <v>38</v>
      </c>
    </row>
    <row r="245">
      <c r="A245" t="n">
        <v>20374</v>
      </c>
      <c r="C245" t="inlineStr">
        <is>
          <t>NSW-QLD</t>
        </is>
      </c>
      <c r="D245" t="inlineStr">
        <is>
          <t>Virtus Health</t>
        </is>
      </c>
      <c r="E245" t="inlineStr">
        <is>
          <t>Clinical Nurse Specialist</t>
        </is>
      </c>
      <c r="F245" t="inlineStr">
        <is>
          <t>12/30/2013</t>
        </is>
      </c>
      <c r="H245" t="inlineStr">
        <is>
          <t>IVFN2021</t>
        </is>
      </c>
      <c r="I245" t="inlineStr">
        <is>
          <t>NSW</t>
        </is>
      </c>
      <c r="J245" t="inlineStr">
        <is>
          <t>Part Time</t>
        </is>
      </c>
      <c r="K245" s="23" t="inlineStr">
        <is>
          <t>12/30/2013</t>
        </is>
      </c>
      <c r="L245" s="23" t="inlineStr">
        <is>
          <t>12/30/2013</t>
        </is>
      </c>
      <c r="O245" t="n">
        <v>15.2</v>
      </c>
    </row>
    <row r="246">
      <c r="A246" t="n">
        <v>20399</v>
      </c>
      <c r="C246" t="inlineStr">
        <is>
          <t>NSW-QLD</t>
        </is>
      </c>
      <c r="D246" t="inlineStr">
        <is>
          <t>Virtus Health</t>
        </is>
      </c>
      <c r="E246" t="inlineStr">
        <is>
          <t>Nurse Unit Manager</t>
        </is>
      </c>
      <c r="F246" t="inlineStr">
        <is>
          <t>7/21/2014</t>
        </is>
      </c>
      <c r="H246" t="inlineStr">
        <is>
          <t>IVFN2021</t>
        </is>
      </c>
      <c r="I246" t="inlineStr">
        <is>
          <t>NSW</t>
        </is>
      </c>
      <c r="J246" t="inlineStr">
        <is>
          <t>Full Time</t>
        </is>
      </c>
      <c r="K246" s="23" t="inlineStr">
        <is>
          <t>7/21/2014</t>
        </is>
      </c>
      <c r="L246" s="23" t="inlineStr">
        <is>
          <t>7/21/2014</t>
        </is>
      </c>
      <c r="O246" t="n">
        <v>38</v>
      </c>
    </row>
    <row r="247">
      <c r="A247" t="n">
        <v>20404</v>
      </c>
      <c r="B247" s="1" t="n"/>
      <c r="C247" t="inlineStr">
        <is>
          <t>NSW-QLD</t>
        </is>
      </c>
      <c r="D247" t="inlineStr">
        <is>
          <t>Virtus Health</t>
        </is>
      </c>
      <c r="E247" t="inlineStr">
        <is>
          <t>Andrologist</t>
        </is>
      </c>
      <c r="F247" s="1" t="n">
        <v>41951</v>
      </c>
      <c r="H247" t="inlineStr">
        <is>
          <t>IVFT2024</t>
        </is>
      </c>
      <c r="I247" t="inlineStr">
        <is>
          <t>NSW</t>
        </is>
      </c>
      <c r="J247" t="inlineStr">
        <is>
          <t>Full Time</t>
        </is>
      </c>
      <c r="K247" s="23" t="n">
        <v>41951</v>
      </c>
      <c r="L247" s="23" t="n">
        <v>41951</v>
      </c>
      <c r="O247" t="n">
        <v>38</v>
      </c>
    </row>
    <row r="248">
      <c r="A248" t="n">
        <v>20413</v>
      </c>
      <c r="B248" s="1" t="n"/>
      <c r="C248" t="inlineStr">
        <is>
          <t>NSW-QLD</t>
        </is>
      </c>
      <c r="D248" t="inlineStr">
        <is>
          <t>Virtus Health</t>
        </is>
      </c>
      <c r="E248" t="inlineStr">
        <is>
          <t>Nurse Unit Manager</t>
        </is>
      </c>
      <c r="F248" s="1" t="n">
        <v>41891</v>
      </c>
      <c r="H248" t="inlineStr">
        <is>
          <t>IVFN2021</t>
        </is>
      </c>
      <c r="I248" t="inlineStr">
        <is>
          <t>NSW</t>
        </is>
      </c>
      <c r="J248" t="inlineStr">
        <is>
          <t>Full Time</t>
        </is>
      </c>
      <c r="K248" s="23" t="n">
        <v>41891</v>
      </c>
      <c r="L248" s="23" t="n">
        <v>41891</v>
      </c>
      <c r="O248" t="n">
        <v>38</v>
      </c>
    </row>
    <row r="249">
      <c r="A249" t="n">
        <v>20428</v>
      </c>
      <c r="B249" s="1" t="n"/>
      <c r="C249" t="inlineStr">
        <is>
          <t>NSW-QLD</t>
        </is>
      </c>
      <c r="D249" t="inlineStr">
        <is>
          <t>Virtus Health</t>
        </is>
      </c>
      <c r="E249" t="inlineStr">
        <is>
          <t>Nurse Unit Manager</t>
        </is>
      </c>
      <c r="F249" s="1" t="n">
        <v>42038</v>
      </c>
      <c r="H249" t="inlineStr">
        <is>
          <t>IVFN2021</t>
        </is>
      </c>
      <c r="I249" t="inlineStr">
        <is>
          <t>NSW</t>
        </is>
      </c>
      <c r="J249" t="inlineStr">
        <is>
          <t>Full Time</t>
        </is>
      </c>
      <c r="K249" s="23" t="n">
        <v>42038</v>
      </c>
      <c r="L249" s="23" t="n">
        <v>42038</v>
      </c>
      <c r="O249" t="n">
        <v>38</v>
      </c>
    </row>
    <row r="250">
      <c r="A250" t="n">
        <v>20430</v>
      </c>
      <c r="C250" t="inlineStr">
        <is>
          <t>NSW-QLD</t>
        </is>
      </c>
      <c r="D250" t="inlineStr">
        <is>
          <t>Virtus Health</t>
        </is>
      </c>
      <c r="E250" t="inlineStr">
        <is>
          <t>Administration</t>
        </is>
      </c>
      <c r="F250" t="inlineStr">
        <is>
          <t>3/17/2015</t>
        </is>
      </c>
      <c r="H250" t="inlineStr">
        <is>
          <t>IVFS2023</t>
        </is>
      </c>
      <c r="I250" t="inlineStr">
        <is>
          <t>NSW</t>
        </is>
      </c>
      <c r="J250" t="inlineStr">
        <is>
          <t>Part Time</t>
        </is>
      </c>
      <c r="K250" s="23" t="inlineStr">
        <is>
          <t>3/17/2015</t>
        </is>
      </c>
      <c r="L250" s="23" t="inlineStr">
        <is>
          <t>3/17/2015</t>
        </is>
      </c>
      <c r="O250" t="n">
        <v>38</v>
      </c>
    </row>
    <row r="251">
      <c r="A251" t="n">
        <v>20439</v>
      </c>
      <c r="B251" s="1" t="n"/>
      <c r="C251" t="inlineStr">
        <is>
          <t>NSW-QLD</t>
        </is>
      </c>
      <c r="D251" t="inlineStr">
        <is>
          <t>Virtus Health</t>
        </is>
      </c>
      <c r="E251" t="inlineStr">
        <is>
          <t>Nurse Coordinator</t>
        </is>
      </c>
      <c r="F251" s="1" t="n">
        <v>42313</v>
      </c>
      <c r="H251" t="inlineStr">
        <is>
          <t>IVFN2021</t>
        </is>
      </c>
      <c r="I251" t="inlineStr">
        <is>
          <t>NSW</t>
        </is>
      </c>
      <c r="J251" t="inlineStr">
        <is>
          <t>Part Time</t>
        </is>
      </c>
      <c r="K251" s="23" t="n">
        <v>42313</v>
      </c>
      <c r="L251" s="23" t="n">
        <v>42313</v>
      </c>
      <c r="O251" t="n">
        <v>38</v>
      </c>
    </row>
    <row r="252">
      <c r="A252" t="n">
        <v>20444</v>
      </c>
      <c r="C252" t="inlineStr">
        <is>
          <t>NSW-QLD</t>
        </is>
      </c>
      <c r="D252" t="inlineStr">
        <is>
          <t>Virtus Health</t>
        </is>
      </c>
      <c r="E252" t="inlineStr">
        <is>
          <t>Patient Accounts Officer</t>
        </is>
      </c>
      <c r="F252" t="inlineStr">
        <is>
          <t>5/18/2015</t>
        </is>
      </c>
      <c r="H252" t="inlineStr">
        <is>
          <t>IVFS2023</t>
        </is>
      </c>
      <c r="I252" t="inlineStr">
        <is>
          <t>NSW</t>
        </is>
      </c>
      <c r="J252" t="inlineStr">
        <is>
          <t>Part Time</t>
        </is>
      </c>
      <c r="K252" s="23" t="inlineStr">
        <is>
          <t>5/18/2015</t>
        </is>
      </c>
      <c r="L252" s="23" t="inlineStr">
        <is>
          <t>5/18/2015</t>
        </is>
      </c>
      <c r="O252" t="n">
        <v>38</v>
      </c>
    </row>
    <row r="253">
      <c r="A253" t="n">
        <v>20467</v>
      </c>
      <c r="C253" t="inlineStr">
        <is>
          <t>NSW-QLD</t>
        </is>
      </c>
      <c r="D253" t="inlineStr">
        <is>
          <t>Virtus Health</t>
        </is>
      </c>
      <c r="E253" t="inlineStr">
        <is>
          <t>Laboratory Supervisor</t>
        </is>
      </c>
      <c r="F253" t="inlineStr">
        <is>
          <t>8/31/2015</t>
        </is>
      </c>
      <c r="H253" t="inlineStr">
        <is>
          <t>NSW</t>
        </is>
      </c>
      <c r="I253" t="inlineStr">
        <is>
          <t>NSW</t>
        </is>
      </c>
      <c r="J253" t="inlineStr">
        <is>
          <t>Full Time</t>
        </is>
      </c>
      <c r="K253" s="23" t="inlineStr">
        <is>
          <t>8/31/2015</t>
        </is>
      </c>
      <c r="L253" s="23" t="inlineStr">
        <is>
          <t>8/31/2015</t>
        </is>
      </c>
      <c r="O253" t="n">
        <v>38</v>
      </c>
    </row>
    <row r="254">
      <c r="A254" t="n">
        <v>20468</v>
      </c>
      <c r="B254" s="1" t="n"/>
      <c r="C254" t="inlineStr">
        <is>
          <t>NSW-QLD</t>
        </is>
      </c>
      <c r="D254" t="inlineStr">
        <is>
          <t>Virtus Health</t>
        </is>
      </c>
      <c r="E254" t="inlineStr">
        <is>
          <t>Administration</t>
        </is>
      </c>
      <c r="F254" s="1" t="n">
        <v>42194</v>
      </c>
      <c r="H254" t="inlineStr">
        <is>
          <t>IVFS2023</t>
        </is>
      </c>
      <c r="I254" t="inlineStr">
        <is>
          <t>NSW</t>
        </is>
      </c>
      <c r="J254" t="inlineStr">
        <is>
          <t>Part Time</t>
        </is>
      </c>
      <c r="K254" s="23" t="n">
        <v>42194</v>
      </c>
      <c r="L254" s="23" t="n">
        <v>42194</v>
      </c>
      <c r="O254" t="n">
        <v>19</v>
      </c>
    </row>
    <row r="255">
      <c r="A255" t="n">
        <v>20474</v>
      </c>
      <c r="B255" s="1" t="n"/>
      <c r="C255" t="inlineStr">
        <is>
          <t>NSW-QLD</t>
        </is>
      </c>
      <c r="D255" t="inlineStr">
        <is>
          <t>Virtus Health</t>
        </is>
      </c>
      <c r="E255" t="inlineStr">
        <is>
          <t>Medical Secretary</t>
        </is>
      </c>
      <c r="F255" s="1" t="n">
        <v>42165</v>
      </c>
      <c r="H255" t="inlineStr">
        <is>
          <t>IVFS2023</t>
        </is>
      </c>
      <c r="I255" t="inlineStr">
        <is>
          <t>NSW</t>
        </is>
      </c>
      <c r="J255" t="inlineStr">
        <is>
          <t>Full Time</t>
        </is>
      </c>
      <c r="K255" s="23" t="n">
        <v>42165</v>
      </c>
      <c r="L255" s="23" t="n">
        <v>42165</v>
      </c>
      <c r="O255" t="n">
        <v>38</v>
      </c>
    </row>
    <row r="256">
      <c r="A256" t="n">
        <v>20496</v>
      </c>
      <c r="B256" s="1" t="n"/>
      <c r="C256" t="inlineStr">
        <is>
          <t>NSW-QLD</t>
        </is>
      </c>
      <c r="D256" t="inlineStr">
        <is>
          <t>Virtus Health</t>
        </is>
      </c>
      <c r="E256" t="inlineStr">
        <is>
          <t>Clinical Nurse Specialist</t>
        </is>
      </c>
      <c r="F256" s="1" t="n">
        <v>42675</v>
      </c>
      <c r="H256" t="inlineStr">
        <is>
          <t>IVFN2021</t>
        </is>
      </c>
      <c r="I256" t="inlineStr">
        <is>
          <t>NSW</t>
        </is>
      </c>
      <c r="J256" t="inlineStr">
        <is>
          <t>Part Time</t>
        </is>
      </c>
      <c r="K256" s="23" t="n">
        <v>42675</v>
      </c>
      <c r="L256" s="23" t="n">
        <v>42675</v>
      </c>
      <c r="O256" t="n">
        <v>32</v>
      </c>
    </row>
    <row r="257">
      <c r="A257" t="n">
        <v>20498</v>
      </c>
      <c r="C257" t="inlineStr">
        <is>
          <t>NSW-QLD</t>
        </is>
      </c>
      <c r="D257" t="inlineStr">
        <is>
          <t>Virtus Health</t>
        </is>
      </c>
      <c r="E257" t="inlineStr">
        <is>
          <t>Administration</t>
        </is>
      </c>
      <c r="F257" t="inlineStr">
        <is>
          <t>1/18/2016</t>
        </is>
      </c>
      <c r="H257" t="inlineStr">
        <is>
          <t>IVFS2023</t>
        </is>
      </c>
      <c r="I257" t="inlineStr">
        <is>
          <t>NSW</t>
        </is>
      </c>
      <c r="J257" t="inlineStr">
        <is>
          <t>Full Time</t>
        </is>
      </c>
      <c r="K257" s="23" t="inlineStr">
        <is>
          <t>1/18/2016</t>
        </is>
      </c>
      <c r="L257" s="23" t="inlineStr">
        <is>
          <t>1/18/2016</t>
        </is>
      </c>
      <c r="O257" t="n">
        <v>28</v>
      </c>
    </row>
    <row r="258">
      <c r="A258" t="n">
        <v>20513</v>
      </c>
      <c r="B258" s="1" t="n"/>
      <c r="C258" t="inlineStr">
        <is>
          <t>NSW-QLD</t>
        </is>
      </c>
      <c r="D258" t="inlineStr">
        <is>
          <t>Virtus Health</t>
        </is>
      </c>
      <c r="E258" t="inlineStr">
        <is>
          <t>Administration</t>
        </is>
      </c>
      <c r="F258" s="1" t="n">
        <v>42584</v>
      </c>
      <c r="H258" t="inlineStr">
        <is>
          <t>IVFS2023</t>
        </is>
      </c>
      <c r="I258" t="inlineStr">
        <is>
          <t>NSW</t>
        </is>
      </c>
      <c r="J258" t="inlineStr">
        <is>
          <t>Part Time</t>
        </is>
      </c>
      <c r="K258" s="23" t="n">
        <v>42584</v>
      </c>
      <c r="L258" s="23" t="n">
        <v>42584</v>
      </c>
      <c r="O258" t="n">
        <v>38</v>
      </c>
    </row>
    <row r="259">
      <c r="A259" t="n">
        <v>20517</v>
      </c>
      <c r="B259" s="1" t="n"/>
      <c r="C259" t="inlineStr">
        <is>
          <t>NSW-QLD</t>
        </is>
      </c>
      <c r="D259" t="inlineStr">
        <is>
          <t>Virtus Health</t>
        </is>
      </c>
      <c r="E259" t="inlineStr">
        <is>
          <t>Registered Nurse</t>
        </is>
      </c>
      <c r="F259" s="1" t="n">
        <v>42616</v>
      </c>
      <c r="H259" t="inlineStr">
        <is>
          <t>IVFN2021</t>
        </is>
      </c>
      <c r="I259" t="inlineStr">
        <is>
          <t>NSW</t>
        </is>
      </c>
      <c r="J259" t="inlineStr">
        <is>
          <t>Full Time</t>
        </is>
      </c>
      <c r="K259" s="23" t="n">
        <v>42616</v>
      </c>
      <c r="L259" s="23" t="n">
        <v>42616</v>
      </c>
      <c r="O259" t="n">
        <v>34</v>
      </c>
    </row>
    <row r="260">
      <c r="A260" t="n">
        <v>20521</v>
      </c>
      <c r="C260" t="inlineStr">
        <is>
          <t>NSW-QLD</t>
        </is>
      </c>
      <c r="D260" t="inlineStr">
        <is>
          <t>Virtus Health</t>
        </is>
      </c>
      <c r="E260" t="inlineStr">
        <is>
          <t>Administration</t>
        </is>
      </c>
      <c r="F260" t="inlineStr">
        <is>
          <t>3/22/2016</t>
        </is>
      </c>
      <c r="H260" t="inlineStr">
        <is>
          <t>IVFS2023</t>
        </is>
      </c>
      <c r="I260" t="inlineStr">
        <is>
          <t>NSW</t>
        </is>
      </c>
      <c r="J260" t="inlineStr">
        <is>
          <t>Full Time</t>
        </is>
      </c>
      <c r="K260" s="23" t="inlineStr">
        <is>
          <t>3/22/2016</t>
        </is>
      </c>
      <c r="L260" s="23" t="inlineStr">
        <is>
          <t>3/22/2016</t>
        </is>
      </c>
      <c r="O260" t="n">
        <v>38</v>
      </c>
    </row>
    <row r="261">
      <c r="A261" t="n">
        <v>20522</v>
      </c>
      <c r="C261" t="inlineStr">
        <is>
          <t>NSW-QLD</t>
        </is>
      </c>
      <c r="D261" t="inlineStr">
        <is>
          <t>Virtus Health</t>
        </is>
      </c>
      <c r="E261" t="inlineStr">
        <is>
          <t>Medical Secretary</t>
        </is>
      </c>
      <c r="F261" t="inlineStr">
        <is>
          <t>3/21/2016</t>
        </is>
      </c>
      <c r="H261" t="inlineStr">
        <is>
          <t>IVFS2023</t>
        </is>
      </c>
      <c r="I261" t="inlineStr">
        <is>
          <t>NSW</t>
        </is>
      </c>
      <c r="J261" t="inlineStr">
        <is>
          <t>Full Time</t>
        </is>
      </c>
      <c r="K261" s="23" t="inlineStr">
        <is>
          <t>3/21/2016</t>
        </is>
      </c>
      <c r="L261" s="23" t="inlineStr">
        <is>
          <t>3/21/2016</t>
        </is>
      </c>
      <c r="O261" t="n">
        <v>38</v>
      </c>
    </row>
    <row r="262">
      <c r="A262" t="n">
        <v>20535</v>
      </c>
      <c r="B262" s="1" t="n"/>
      <c r="C262" t="inlineStr">
        <is>
          <t>NSW-QLD</t>
        </is>
      </c>
      <c r="D262" t="inlineStr">
        <is>
          <t>Virtus Health</t>
        </is>
      </c>
      <c r="E262" t="inlineStr">
        <is>
          <t>Andrologist</t>
        </is>
      </c>
      <c r="F262" s="1" t="n">
        <v>42528</v>
      </c>
      <c r="H262" t="inlineStr">
        <is>
          <t>IVFT2024</t>
        </is>
      </c>
      <c r="I262" t="inlineStr">
        <is>
          <t>NSW</t>
        </is>
      </c>
      <c r="J262" t="inlineStr">
        <is>
          <t>Part Time</t>
        </is>
      </c>
      <c r="K262" s="23" t="n">
        <v>42528</v>
      </c>
      <c r="L262" s="23" t="n">
        <v>42528</v>
      </c>
      <c r="O262" t="n">
        <v>38</v>
      </c>
    </row>
    <row r="263">
      <c r="A263" t="n">
        <v>20538</v>
      </c>
      <c r="C263" t="inlineStr">
        <is>
          <t>NSW-QLD</t>
        </is>
      </c>
      <c r="D263" t="inlineStr">
        <is>
          <t>Virtus Health</t>
        </is>
      </c>
      <c r="E263" t="inlineStr">
        <is>
          <t>Senior Embryologist</t>
        </is>
      </c>
      <c r="F263" t="inlineStr">
        <is>
          <t>7/20/2016</t>
        </is>
      </c>
      <c r="H263" t="inlineStr">
        <is>
          <t>IVFT2024</t>
        </is>
      </c>
      <c r="I263" t="inlineStr">
        <is>
          <t>NSW</t>
        </is>
      </c>
      <c r="J263" t="inlineStr">
        <is>
          <t>Part Time</t>
        </is>
      </c>
      <c r="K263" s="23" t="inlineStr">
        <is>
          <t>7/20/2016</t>
        </is>
      </c>
      <c r="L263" s="23" t="inlineStr">
        <is>
          <t>7/20/2016</t>
        </is>
      </c>
      <c r="O263" t="n">
        <v>23.75</v>
      </c>
    </row>
    <row r="264">
      <c r="A264" t="n">
        <v>20548</v>
      </c>
      <c r="C264" t="inlineStr">
        <is>
          <t>NSW-QLD</t>
        </is>
      </c>
      <c r="D264" t="inlineStr">
        <is>
          <t>Virtus Health</t>
        </is>
      </c>
      <c r="E264" t="inlineStr">
        <is>
          <t>Nurse Unit Manager</t>
        </is>
      </c>
      <c r="F264" t="inlineStr">
        <is>
          <t>9/26/2016</t>
        </is>
      </c>
      <c r="H264" t="inlineStr">
        <is>
          <t>IVFN2021</t>
        </is>
      </c>
      <c r="I264" t="inlineStr">
        <is>
          <t>NSW</t>
        </is>
      </c>
      <c r="J264" t="inlineStr">
        <is>
          <t>Part Time</t>
        </is>
      </c>
      <c r="K264" s="23" t="inlineStr">
        <is>
          <t>9/26/2016</t>
        </is>
      </c>
      <c r="L264" s="23" t="inlineStr">
        <is>
          <t>9/26/2016</t>
        </is>
      </c>
      <c r="O264" t="n">
        <v>38</v>
      </c>
    </row>
    <row r="265">
      <c r="A265" t="n">
        <v>20549</v>
      </c>
      <c r="B265" s="1" t="n"/>
      <c r="C265" t="inlineStr">
        <is>
          <t>NSW-QLD</t>
        </is>
      </c>
      <c r="D265" t="inlineStr">
        <is>
          <t>Virtus Health</t>
        </is>
      </c>
      <c r="E265" t="inlineStr">
        <is>
          <t>Senior Scientist</t>
        </is>
      </c>
      <c r="F265" s="1" t="n">
        <v>42470</v>
      </c>
      <c r="H265" t="inlineStr">
        <is>
          <t>IVFT2024</t>
        </is>
      </c>
      <c r="I265" t="inlineStr">
        <is>
          <t>NSW</t>
        </is>
      </c>
      <c r="J265" t="inlineStr">
        <is>
          <t>Full Time</t>
        </is>
      </c>
      <c r="K265" s="23" t="n">
        <v>42470</v>
      </c>
      <c r="L265" s="23" t="n">
        <v>42470</v>
      </c>
      <c r="O265" t="n">
        <v>38</v>
      </c>
    </row>
    <row r="266">
      <c r="A266" t="n">
        <v>20551</v>
      </c>
      <c r="C266" t="inlineStr">
        <is>
          <t>NSW-QLD</t>
        </is>
      </c>
      <c r="D266" t="inlineStr">
        <is>
          <t>Virtus Health</t>
        </is>
      </c>
      <c r="E266" t="inlineStr">
        <is>
          <t>Registered Nurse</t>
        </is>
      </c>
      <c r="F266" t="inlineStr">
        <is>
          <t>10/17/2016</t>
        </is>
      </c>
      <c r="H266" t="inlineStr">
        <is>
          <t>IVFN2021</t>
        </is>
      </c>
      <c r="I266" t="inlineStr">
        <is>
          <t>NSW</t>
        </is>
      </c>
      <c r="J266" t="inlineStr">
        <is>
          <t>Part Time</t>
        </is>
      </c>
      <c r="K266" s="23" t="inlineStr">
        <is>
          <t>10/17/2016</t>
        </is>
      </c>
      <c r="L266" s="23" t="inlineStr">
        <is>
          <t>10/17/2016</t>
        </is>
      </c>
      <c r="O266" t="n">
        <v>38</v>
      </c>
    </row>
    <row r="267">
      <c r="A267" t="n">
        <v>20556</v>
      </c>
      <c r="B267" s="1" t="n"/>
      <c r="C267" t="inlineStr">
        <is>
          <t>NSW-QLD</t>
        </is>
      </c>
      <c r="D267" t="inlineStr">
        <is>
          <t>Virtus Health</t>
        </is>
      </c>
      <c r="E267" t="inlineStr">
        <is>
          <t>Nurse Unit Manager</t>
        </is>
      </c>
      <c r="F267" s="1" t="n">
        <v>42979</v>
      </c>
      <c r="H267" t="inlineStr">
        <is>
          <t>IVFN2021</t>
        </is>
      </c>
      <c r="I267" t="inlineStr">
        <is>
          <t>NSW</t>
        </is>
      </c>
      <c r="J267" t="inlineStr">
        <is>
          <t>Part Time</t>
        </is>
      </c>
      <c r="K267" s="23" t="n">
        <v>42979</v>
      </c>
      <c r="L267" s="23" t="n">
        <v>42979</v>
      </c>
      <c r="O267" t="n">
        <v>30</v>
      </c>
    </row>
    <row r="268">
      <c r="A268" t="n">
        <v>20569</v>
      </c>
      <c r="C268" t="inlineStr">
        <is>
          <t>NSW-QLD</t>
        </is>
      </c>
      <c r="D268" t="inlineStr">
        <is>
          <t>Virtus Health</t>
        </is>
      </c>
      <c r="E268" t="inlineStr">
        <is>
          <t>Nurse Unit Manager</t>
        </is>
      </c>
      <c r="F268" t="inlineStr">
        <is>
          <t>6/14/2017</t>
        </is>
      </c>
      <c r="H268" t="inlineStr">
        <is>
          <t>IVFN2021</t>
        </is>
      </c>
      <c r="I268" t="inlineStr">
        <is>
          <t>NSW</t>
        </is>
      </c>
      <c r="J268" t="inlineStr">
        <is>
          <t>Full Time</t>
        </is>
      </c>
      <c r="K268" s="23" t="inlineStr">
        <is>
          <t>6/14/2017</t>
        </is>
      </c>
      <c r="L268" s="23" t="inlineStr">
        <is>
          <t>6/14/2017</t>
        </is>
      </c>
      <c r="O268" t="n">
        <v>38</v>
      </c>
    </row>
    <row r="269">
      <c r="A269" t="n">
        <v>20571</v>
      </c>
      <c r="B269" s="1" t="n"/>
      <c r="C269" t="inlineStr">
        <is>
          <t>NSW-QLD</t>
        </is>
      </c>
      <c r="D269" t="inlineStr">
        <is>
          <t>Virtus Health</t>
        </is>
      </c>
      <c r="E269" t="inlineStr">
        <is>
          <t>Registered Nurse</t>
        </is>
      </c>
      <c r="F269" s="1" t="n">
        <v>42741</v>
      </c>
      <c r="H269" t="inlineStr">
        <is>
          <t>IVFN2021</t>
        </is>
      </c>
      <c r="I269" t="inlineStr">
        <is>
          <t>NSW</t>
        </is>
      </c>
      <c r="J269" t="inlineStr">
        <is>
          <t>Part Time</t>
        </is>
      </c>
      <c r="K269" s="23" t="n">
        <v>42741</v>
      </c>
      <c r="L269" s="23" t="n">
        <v>42741</v>
      </c>
      <c r="O269" t="n">
        <v>34.2</v>
      </c>
    </row>
    <row r="270">
      <c r="A270" t="n">
        <v>20575</v>
      </c>
      <c r="C270" t="inlineStr">
        <is>
          <t>NSW-QLD</t>
        </is>
      </c>
      <c r="D270" t="inlineStr">
        <is>
          <t>Virtus Health</t>
        </is>
      </c>
      <c r="E270" t="inlineStr">
        <is>
          <t>Administration</t>
        </is>
      </c>
      <c r="F270" t="inlineStr">
        <is>
          <t>6/13/2017</t>
        </is>
      </c>
      <c r="H270" t="inlineStr">
        <is>
          <t>IVFS2023</t>
        </is>
      </c>
      <c r="I270" t="inlineStr">
        <is>
          <t>NSW</t>
        </is>
      </c>
      <c r="J270" t="inlineStr">
        <is>
          <t>Full Time</t>
        </is>
      </c>
      <c r="K270" s="23" t="inlineStr">
        <is>
          <t>6/13/2017</t>
        </is>
      </c>
      <c r="L270" s="23" t="inlineStr">
        <is>
          <t>6/13/2017</t>
        </is>
      </c>
      <c r="O270" t="n">
        <v>33</v>
      </c>
    </row>
    <row r="271">
      <c r="A271" t="n">
        <v>20583</v>
      </c>
      <c r="B271" s="1" t="n"/>
      <c r="C271" t="inlineStr">
        <is>
          <t>NSW-QLD</t>
        </is>
      </c>
      <c r="D271" t="inlineStr">
        <is>
          <t>Virtus Health</t>
        </is>
      </c>
      <c r="E271" t="inlineStr">
        <is>
          <t>Accounts</t>
        </is>
      </c>
      <c r="F271" s="1" t="n">
        <v>42802</v>
      </c>
      <c r="H271" t="inlineStr">
        <is>
          <t>NSW</t>
        </is>
      </c>
      <c r="I271" t="inlineStr">
        <is>
          <t>NSW</t>
        </is>
      </c>
      <c r="J271" t="inlineStr">
        <is>
          <t>Part Time</t>
        </is>
      </c>
      <c r="K271" s="23" t="n">
        <v>42802</v>
      </c>
      <c r="L271" s="23" t="n">
        <v>42802</v>
      </c>
      <c r="O271" t="n">
        <v>28.8</v>
      </c>
    </row>
    <row r="272">
      <c r="A272" t="n">
        <v>20593</v>
      </c>
      <c r="C272" t="inlineStr">
        <is>
          <t>NSW-QLD</t>
        </is>
      </c>
      <c r="D272" t="inlineStr">
        <is>
          <t>Virtus Health</t>
        </is>
      </c>
      <c r="E272" t="inlineStr">
        <is>
          <t>Acting Donor Team Leader</t>
        </is>
      </c>
      <c r="F272" t="inlineStr">
        <is>
          <t>10/16/2017</t>
        </is>
      </c>
      <c r="H272" t="inlineStr">
        <is>
          <t>IVFS2023</t>
        </is>
      </c>
      <c r="I272" t="inlineStr">
        <is>
          <t>QLD</t>
        </is>
      </c>
      <c r="J272" t="inlineStr">
        <is>
          <t>Full Time</t>
        </is>
      </c>
      <c r="K272" s="23" t="inlineStr">
        <is>
          <t>10/16/2017</t>
        </is>
      </c>
      <c r="L272" s="23" t="inlineStr">
        <is>
          <t>10/16/2017</t>
        </is>
      </c>
      <c r="O272" t="n">
        <v>38</v>
      </c>
    </row>
    <row r="273">
      <c r="A273" t="n">
        <v>20595</v>
      </c>
      <c r="C273" t="inlineStr">
        <is>
          <t>NSW-QLD</t>
        </is>
      </c>
      <c r="D273" t="inlineStr">
        <is>
          <t>Virtus Health</t>
        </is>
      </c>
      <c r="E273" t="inlineStr">
        <is>
          <t>Facilities and Projects manager</t>
        </is>
      </c>
      <c r="F273" t="inlineStr">
        <is>
          <t>11/13/2017</t>
        </is>
      </c>
      <c r="H273" t="inlineStr">
        <is>
          <t>NSW</t>
        </is>
      </c>
      <c r="I273" t="inlineStr">
        <is>
          <t>NSW</t>
        </is>
      </c>
      <c r="J273" t="inlineStr">
        <is>
          <t>Part Time</t>
        </is>
      </c>
      <c r="K273" s="23" t="inlineStr">
        <is>
          <t>11/13/2017</t>
        </is>
      </c>
      <c r="L273" s="23" t="inlineStr">
        <is>
          <t>11/13/2017</t>
        </is>
      </c>
      <c r="O273" t="n">
        <v>38</v>
      </c>
    </row>
    <row r="274">
      <c r="A274" t="n">
        <v>20599</v>
      </c>
      <c r="C274" t="inlineStr">
        <is>
          <t>NSW-QLD</t>
        </is>
      </c>
      <c r="D274" t="inlineStr">
        <is>
          <t>Virtus Health</t>
        </is>
      </c>
      <c r="E274" t="inlineStr">
        <is>
          <t>General Manager Projects, Facility Operations IVFA</t>
        </is>
      </c>
      <c r="F274" t="inlineStr">
        <is>
          <t>11/13/2017</t>
        </is>
      </c>
      <c r="H274" t="inlineStr">
        <is>
          <t>NSW</t>
        </is>
      </c>
      <c r="I274" t="inlineStr">
        <is>
          <t>NSW</t>
        </is>
      </c>
      <c r="J274" t="inlineStr">
        <is>
          <t>Full Time</t>
        </is>
      </c>
      <c r="K274" s="23" t="inlineStr">
        <is>
          <t>11/13/2017</t>
        </is>
      </c>
      <c r="L274" s="23" t="inlineStr">
        <is>
          <t>11/13/2017</t>
        </is>
      </c>
      <c r="O274" t="n">
        <v>38</v>
      </c>
    </row>
    <row r="275">
      <c r="A275" t="n">
        <v>20603</v>
      </c>
      <c r="B275" s="1" t="n"/>
      <c r="C275" t="inlineStr">
        <is>
          <t>NSW-QLD</t>
        </is>
      </c>
      <c r="D275" t="inlineStr">
        <is>
          <t>Virtus Health</t>
        </is>
      </c>
      <c r="E275" t="inlineStr">
        <is>
          <t>Nurse Coordinator</t>
        </is>
      </c>
      <c r="F275" s="1" t="n">
        <v>43313</v>
      </c>
      <c r="H275" t="inlineStr">
        <is>
          <t>IVFN2021</t>
        </is>
      </c>
      <c r="I275" t="inlineStr">
        <is>
          <t>NSW</t>
        </is>
      </c>
      <c r="J275" t="inlineStr">
        <is>
          <t>Part Time</t>
        </is>
      </c>
      <c r="K275" s="23" t="n">
        <v>43313</v>
      </c>
      <c r="L275" s="23" t="n">
        <v>43313</v>
      </c>
      <c r="O275" t="n">
        <v>38</v>
      </c>
    </row>
    <row r="276">
      <c r="A276" t="n">
        <v>20612</v>
      </c>
      <c r="B276" s="1" t="n"/>
      <c r="C276" t="inlineStr">
        <is>
          <t>NSW-QLD</t>
        </is>
      </c>
      <c r="D276" t="inlineStr">
        <is>
          <t>Virtus Health</t>
        </is>
      </c>
      <c r="E276" t="inlineStr">
        <is>
          <t>Director of Nursing</t>
        </is>
      </c>
      <c r="F276" s="1" t="n">
        <v>43347</v>
      </c>
      <c r="H276" t="inlineStr">
        <is>
          <t>NSW</t>
        </is>
      </c>
      <c r="I276" t="inlineStr">
        <is>
          <t>NSW</t>
        </is>
      </c>
      <c r="J276" t="inlineStr">
        <is>
          <t>Full Time</t>
        </is>
      </c>
      <c r="K276" s="23" t="n">
        <v>43347</v>
      </c>
      <c r="L276" s="23" t="n">
        <v>43347</v>
      </c>
      <c r="O276" t="n">
        <v>38</v>
      </c>
    </row>
    <row r="277">
      <c r="A277" t="n">
        <v>20616</v>
      </c>
      <c r="C277" t="inlineStr">
        <is>
          <t>NSW-QLD</t>
        </is>
      </c>
      <c r="D277" t="inlineStr">
        <is>
          <t>Virtus Health</t>
        </is>
      </c>
      <c r="E277" t="inlineStr">
        <is>
          <t>Embryologist</t>
        </is>
      </c>
      <c r="F277" t="inlineStr">
        <is>
          <t>4/16/2018</t>
        </is>
      </c>
      <c r="H277" t="inlineStr">
        <is>
          <t>IVFT2024</t>
        </is>
      </c>
      <c r="I277" t="inlineStr">
        <is>
          <t>NSW</t>
        </is>
      </c>
      <c r="J277" t="inlineStr">
        <is>
          <t>Full Time</t>
        </is>
      </c>
      <c r="K277" s="23" t="inlineStr">
        <is>
          <t>4/16/2018</t>
        </is>
      </c>
      <c r="L277" s="23" t="inlineStr">
        <is>
          <t>4/16/2018</t>
        </is>
      </c>
      <c r="O277" t="n">
        <v>28.5</v>
      </c>
    </row>
    <row r="278">
      <c r="A278" t="n">
        <v>20618</v>
      </c>
      <c r="C278" t="inlineStr">
        <is>
          <t>NSW-QLD</t>
        </is>
      </c>
      <c r="D278" t="inlineStr">
        <is>
          <t>Virtus Health</t>
        </is>
      </c>
      <c r="E278" t="inlineStr">
        <is>
          <t>Embryologist</t>
        </is>
      </c>
      <c r="F278" t="inlineStr">
        <is>
          <t>4/30/2018</t>
        </is>
      </c>
      <c r="H278" t="inlineStr">
        <is>
          <t>IVFT2024</t>
        </is>
      </c>
      <c r="I278" t="inlineStr">
        <is>
          <t>NSW</t>
        </is>
      </c>
      <c r="J278" t="inlineStr">
        <is>
          <t>Full Time</t>
        </is>
      </c>
      <c r="K278" s="23" t="inlineStr">
        <is>
          <t>4/30/2018</t>
        </is>
      </c>
      <c r="L278" s="23" t="inlineStr">
        <is>
          <t>4/30/2018</t>
        </is>
      </c>
      <c r="O278" t="n">
        <v>24</v>
      </c>
    </row>
    <row r="279">
      <c r="A279" t="n">
        <v>20633</v>
      </c>
      <c r="B279" s="1" t="n"/>
      <c r="C279" t="inlineStr">
        <is>
          <t>NSW-QLD</t>
        </is>
      </c>
      <c r="D279" t="inlineStr">
        <is>
          <t>Virtus Health</t>
        </is>
      </c>
      <c r="E279" t="inlineStr">
        <is>
          <t>Head of Strategic Projects</t>
        </is>
      </c>
      <c r="F279" s="1" t="n">
        <v>43196</v>
      </c>
      <c r="H279" t="inlineStr">
        <is>
          <t>NSW</t>
        </is>
      </c>
      <c r="I279" t="inlineStr">
        <is>
          <t>NSW</t>
        </is>
      </c>
      <c r="J279" t="inlineStr">
        <is>
          <t>Full Time</t>
        </is>
      </c>
      <c r="K279" s="23" t="n">
        <v>43196</v>
      </c>
      <c r="L279" s="23" t="n">
        <v>43196</v>
      </c>
      <c r="O279" t="n">
        <v>28.5</v>
      </c>
    </row>
    <row r="280">
      <c r="A280" t="n">
        <v>20636</v>
      </c>
      <c r="C280" t="inlineStr">
        <is>
          <t>NSW-QLD</t>
        </is>
      </c>
      <c r="D280" t="inlineStr">
        <is>
          <t>Virtus Health</t>
        </is>
      </c>
      <c r="E280" t="inlineStr">
        <is>
          <t>Business Analyst</t>
        </is>
      </c>
      <c r="F280" t="inlineStr">
        <is>
          <t>6/18/2018</t>
        </is>
      </c>
      <c r="H280" t="inlineStr">
        <is>
          <t>VIC</t>
        </is>
      </c>
      <c r="I280" t="inlineStr">
        <is>
          <t>VIC</t>
        </is>
      </c>
      <c r="J280" t="inlineStr">
        <is>
          <t>Full Time</t>
        </is>
      </c>
      <c r="K280" s="23" t="inlineStr">
        <is>
          <t>6/18/2018</t>
        </is>
      </c>
      <c r="L280" s="23" t="inlineStr">
        <is>
          <t>6/18/2018</t>
        </is>
      </c>
      <c r="O280" t="n">
        <v>16</v>
      </c>
    </row>
    <row r="281">
      <c r="A281" t="n">
        <v>20643</v>
      </c>
      <c r="B281" s="1" t="n"/>
      <c r="C281" t="inlineStr">
        <is>
          <t>NSW-QLD</t>
        </is>
      </c>
      <c r="D281" t="inlineStr">
        <is>
          <t>Virtus Health</t>
        </is>
      </c>
      <c r="E281" t="inlineStr">
        <is>
          <t>Registered Nurse</t>
        </is>
      </c>
      <c r="F281" s="1" t="n">
        <v>43411</v>
      </c>
      <c r="H281" t="inlineStr">
        <is>
          <t>IVFN2021</t>
        </is>
      </c>
      <c r="I281" t="inlineStr">
        <is>
          <t>NSW</t>
        </is>
      </c>
      <c r="J281" t="inlineStr">
        <is>
          <t>Part Time</t>
        </is>
      </c>
      <c r="K281" s="23" t="n">
        <v>43411</v>
      </c>
      <c r="L281" s="23" t="n">
        <v>43411</v>
      </c>
      <c r="O281" t="n">
        <v>38</v>
      </c>
    </row>
    <row r="282">
      <c r="A282" t="n">
        <v>20661</v>
      </c>
      <c r="B282" s="1" t="n"/>
      <c r="C282" t="inlineStr">
        <is>
          <t>NSW-QLD</t>
        </is>
      </c>
      <c r="D282" t="inlineStr">
        <is>
          <t>Virtus Health</t>
        </is>
      </c>
      <c r="E282" t="inlineStr">
        <is>
          <t>Registered Nurse</t>
        </is>
      </c>
      <c r="F282" s="1" t="n">
        <v>43771</v>
      </c>
      <c r="H282" t="inlineStr">
        <is>
          <t>IVFN2021</t>
        </is>
      </c>
      <c r="I282" t="inlineStr">
        <is>
          <t>NSW</t>
        </is>
      </c>
      <c r="J282" t="inlineStr">
        <is>
          <t>Part Time</t>
        </is>
      </c>
      <c r="K282" s="23" t="n">
        <v>43771</v>
      </c>
      <c r="L282" s="23" t="n">
        <v>43771</v>
      </c>
      <c r="O282" t="n">
        <v>38</v>
      </c>
    </row>
    <row r="283">
      <c r="A283" t="n">
        <v>20666</v>
      </c>
      <c r="B283" s="1" t="n"/>
      <c r="C283" t="inlineStr">
        <is>
          <t>NSW-QLD</t>
        </is>
      </c>
      <c r="D283" t="inlineStr">
        <is>
          <t>Virtus Health</t>
        </is>
      </c>
      <c r="E283" t="inlineStr">
        <is>
          <t>Nurse Coordinator</t>
        </is>
      </c>
      <c r="F283" t="inlineStr">
        <is>
          <t>3/13/2019</t>
        </is>
      </c>
      <c r="H283" t="inlineStr">
        <is>
          <t>IVFN2021</t>
        </is>
      </c>
      <c r="I283" t="inlineStr">
        <is>
          <t>NSW</t>
        </is>
      </c>
      <c r="J283" t="inlineStr">
        <is>
          <t>Full Time</t>
        </is>
      </c>
      <c r="K283" s="23" t="inlineStr">
        <is>
          <t>3/13/2019</t>
        </is>
      </c>
      <c r="L283" s="23" t="inlineStr">
        <is>
          <t>3/13/2019</t>
        </is>
      </c>
      <c r="O283" t="n">
        <v>38</v>
      </c>
    </row>
    <row r="284">
      <c r="A284" t="n">
        <v>20667</v>
      </c>
      <c r="B284" s="1" t="n"/>
      <c r="C284" t="inlineStr">
        <is>
          <t>NSW-QLD</t>
        </is>
      </c>
      <c r="D284" t="inlineStr">
        <is>
          <t>Virtus Health</t>
        </is>
      </c>
      <c r="E284" t="inlineStr">
        <is>
          <t>Administration Team Leader</t>
        </is>
      </c>
      <c r="F284" t="inlineStr">
        <is>
          <t>3/13/2019</t>
        </is>
      </c>
      <c r="H284" t="inlineStr">
        <is>
          <t>IVFS2023</t>
        </is>
      </c>
      <c r="I284" t="inlineStr">
        <is>
          <t>NSW</t>
        </is>
      </c>
      <c r="J284" t="inlineStr">
        <is>
          <t>Part Time</t>
        </is>
      </c>
      <c r="K284" s="23" t="inlineStr">
        <is>
          <t>3/13/2019</t>
        </is>
      </c>
      <c r="L284" s="23" t="inlineStr">
        <is>
          <t>3/13/2019</t>
        </is>
      </c>
      <c r="O284" t="n">
        <v>38</v>
      </c>
    </row>
    <row r="285">
      <c r="A285" t="n">
        <v>20678</v>
      </c>
      <c r="C285" t="inlineStr">
        <is>
          <t>NSW-QLD</t>
        </is>
      </c>
      <c r="D285" t="inlineStr">
        <is>
          <t>Virtus Health</t>
        </is>
      </c>
      <c r="E285" t="inlineStr">
        <is>
          <t>Genetic Counsellor</t>
        </is>
      </c>
      <c r="F285" t="inlineStr">
        <is>
          <t>4/15/2019</t>
        </is>
      </c>
      <c r="H285" t="inlineStr">
        <is>
          <t>NSW</t>
        </is>
      </c>
      <c r="I285" t="inlineStr">
        <is>
          <t>NSW</t>
        </is>
      </c>
      <c r="J285" t="inlineStr">
        <is>
          <t>Part Time</t>
        </is>
      </c>
      <c r="K285" s="23" t="inlineStr">
        <is>
          <t>4/15/2019</t>
        </is>
      </c>
      <c r="L285" s="23" t="inlineStr">
        <is>
          <t>4/15/2019</t>
        </is>
      </c>
      <c r="O285" t="n">
        <v>18</v>
      </c>
    </row>
    <row r="286">
      <c r="A286" t="n">
        <v>20686</v>
      </c>
      <c r="C286" t="inlineStr">
        <is>
          <t>NSW-QLD</t>
        </is>
      </c>
      <c r="D286" t="inlineStr">
        <is>
          <t>Virtus Health</t>
        </is>
      </c>
      <c r="E286" t="inlineStr">
        <is>
          <t>Embryologist</t>
        </is>
      </c>
      <c r="F286" s="1" t="n">
        <v>43472</v>
      </c>
      <c r="H286" t="inlineStr">
        <is>
          <t>IVFT2024</t>
        </is>
      </c>
      <c r="I286" t="inlineStr">
        <is>
          <t>NSW</t>
        </is>
      </c>
      <c r="J286" t="inlineStr">
        <is>
          <t>Full Time</t>
        </is>
      </c>
      <c r="K286" s="23" t="n">
        <v>43472</v>
      </c>
      <c r="L286" s="23" t="n">
        <v>43472</v>
      </c>
      <c r="O286" t="n">
        <v>22.5</v>
      </c>
    </row>
    <row r="287">
      <c r="A287" t="n">
        <v>20687</v>
      </c>
      <c r="C287" t="inlineStr">
        <is>
          <t>NSW-QLD</t>
        </is>
      </c>
      <c r="D287" t="inlineStr">
        <is>
          <t>Virtus Health</t>
        </is>
      </c>
      <c r="E287" t="inlineStr">
        <is>
          <t>Embryologist</t>
        </is>
      </c>
      <c r="F287" s="1" t="n">
        <v>43472</v>
      </c>
      <c r="H287" t="inlineStr">
        <is>
          <t>IVFT2024</t>
        </is>
      </c>
      <c r="I287" t="inlineStr">
        <is>
          <t>NSW</t>
        </is>
      </c>
      <c r="J287" t="inlineStr">
        <is>
          <t>Full Time</t>
        </is>
      </c>
      <c r="K287" s="23" t="n">
        <v>43472</v>
      </c>
      <c r="L287" s="23" t="n">
        <v>43472</v>
      </c>
      <c r="O287" t="n">
        <v>38</v>
      </c>
    </row>
    <row r="288">
      <c r="A288" t="n">
        <v>20689</v>
      </c>
      <c r="C288" t="inlineStr">
        <is>
          <t>NSW-QLD</t>
        </is>
      </c>
      <c r="D288" t="inlineStr">
        <is>
          <t>Virtus Health</t>
        </is>
      </c>
      <c r="E288" t="inlineStr">
        <is>
          <t>Medical Secretary</t>
        </is>
      </c>
      <c r="F288" s="1" t="n">
        <v>43472</v>
      </c>
      <c r="H288" t="inlineStr">
        <is>
          <t>IVFS2023</t>
        </is>
      </c>
      <c r="I288" t="inlineStr">
        <is>
          <t>NSW</t>
        </is>
      </c>
      <c r="J288" t="inlineStr">
        <is>
          <t>Part Time</t>
        </is>
      </c>
      <c r="K288" s="23" t="n">
        <v>43472</v>
      </c>
      <c r="L288" s="23" t="n">
        <v>43472</v>
      </c>
      <c r="O288" t="n">
        <v>38</v>
      </c>
    </row>
    <row r="289">
      <c r="A289" t="n">
        <v>20693</v>
      </c>
      <c r="B289" s="1" t="n"/>
      <c r="C289" t="inlineStr">
        <is>
          <t>NSW-QLD</t>
        </is>
      </c>
      <c r="D289" t="inlineStr">
        <is>
          <t>Virtus Health</t>
        </is>
      </c>
      <c r="E289" t="inlineStr">
        <is>
          <t>Nurse Coordinator</t>
        </is>
      </c>
      <c r="F289" s="1" t="n">
        <v>43593</v>
      </c>
      <c r="H289" t="inlineStr">
        <is>
          <t>IVFN2021</t>
        </is>
      </c>
      <c r="I289" t="inlineStr">
        <is>
          <t>NSW</t>
        </is>
      </c>
      <c r="J289" t="inlineStr">
        <is>
          <t>Part Time</t>
        </is>
      </c>
      <c r="K289" s="23" t="n">
        <v>43593</v>
      </c>
      <c r="L289" s="23" t="n">
        <v>43593</v>
      </c>
      <c r="O289" t="n">
        <v>38</v>
      </c>
    </row>
    <row r="290">
      <c r="A290" t="n">
        <v>20696</v>
      </c>
      <c r="C290" t="inlineStr">
        <is>
          <t>NSW-QLD</t>
        </is>
      </c>
      <c r="D290" t="inlineStr">
        <is>
          <t>Virtus Health</t>
        </is>
      </c>
      <c r="E290" t="inlineStr">
        <is>
          <t>PR &amp; Media Specialist</t>
        </is>
      </c>
      <c r="F290" t="inlineStr">
        <is>
          <t>8/26/2019</t>
        </is>
      </c>
      <c r="H290" t="inlineStr">
        <is>
          <t>NSW</t>
        </is>
      </c>
      <c r="I290" t="inlineStr">
        <is>
          <t>NSW</t>
        </is>
      </c>
      <c r="J290" t="inlineStr">
        <is>
          <t>Full Time</t>
        </is>
      </c>
      <c r="K290" s="23" t="inlineStr">
        <is>
          <t>8/26/2019</t>
        </is>
      </c>
      <c r="L290" s="23" t="inlineStr">
        <is>
          <t>8/26/2019</t>
        </is>
      </c>
      <c r="O290" t="n">
        <v>38</v>
      </c>
    </row>
    <row r="291">
      <c r="A291" t="n">
        <v>20713</v>
      </c>
      <c r="B291" s="1" t="n"/>
      <c r="C291" t="inlineStr">
        <is>
          <t>NSW-QLD</t>
        </is>
      </c>
      <c r="D291" t="inlineStr">
        <is>
          <t>Virtus Health</t>
        </is>
      </c>
      <c r="E291" t="inlineStr">
        <is>
          <t>Community Partnerships Manager</t>
        </is>
      </c>
      <c r="F291" t="inlineStr">
        <is>
          <t>1/13/2020</t>
        </is>
      </c>
      <c r="H291" t="inlineStr">
        <is>
          <t>NSW</t>
        </is>
      </c>
      <c r="I291" t="inlineStr">
        <is>
          <t>NSW</t>
        </is>
      </c>
      <c r="J291" t="inlineStr">
        <is>
          <t>Full Time</t>
        </is>
      </c>
      <c r="K291" s="23" t="inlineStr">
        <is>
          <t>1/13/2020</t>
        </is>
      </c>
      <c r="L291" s="23" t="inlineStr">
        <is>
          <t>1/13/2020</t>
        </is>
      </c>
      <c r="O291" t="n">
        <v>21.25</v>
      </c>
    </row>
    <row r="292">
      <c r="A292" t="n">
        <v>20729</v>
      </c>
      <c r="B292" s="1" t="n"/>
      <c r="C292" t="inlineStr">
        <is>
          <t>NSW-QLD</t>
        </is>
      </c>
      <c r="D292" t="inlineStr">
        <is>
          <t>Virtus Health</t>
        </is>
      </c>
      <c r="E292" t="inlineStr">
        <is>
          <t>New Patient Care Consultant</t>
        </is>
      </c>
      <c r="F292" s="1" t="n">
        <v>44077</v>
      </c>
      <c r="H292" t="inlineStr">
        <is>
          <t>IVFS2023</t>
        </is>
      </c>
      <c r="I292" t="inlineStr">
        <is>
          <t>NSW</t>
        </is>
      </c>
      <c r="J292" t="inlineStr">
        <is>
          <t>Part Time</t>
        </is>
      </c>
      <c r="K292" s="23" t="n">
        <v>44077</v>
      </c>
      <c r="L292" s="23" t="n">
        <v>44077</v>
      </c>
      <c r="O292" t="n">
        <v>38</v>
      </c>
    </row>
    <row r="293">
      <c r="A293" t="n">
        <v>20732</v>
      </c>
      <c r="C293" t="inlineStr">
        <is>
          <t>NSW-QLD</t>
        </is>
      </c>
      <c r="D293" t="inlineStr">
        <is>
          <t>Virtus Health</t>
        </is>
      </c>
      <c r="E293" t="inlineStr">
        <is>
          <t>head of ESG and Corporate Communications</t>
        </is>
      </c>
      <c r="F293" t="inlineStr">
        <is>
          <t>4/14/2020</t>
        </is>
      </c>
      <c r="H293" t="inlineStr">
        <is>
          <t>NSW</t>
        </is>
      </c>
      <c r="I293" t="inlineStr">
        <is>
          <t>NSW</t>
        </is>
      </c>
      <c r="J293" t="inlineStr">
        <is>
          <t>Part Time</t>
        </is>
      </c>
      <c r="K293" s="23" t="inlineStr">
        <is>
          <t>4/14/2020</t>
        </is>
      </c>
      <c r="L293" s="23" t="inlineStr">
        <is>
          <t>4/14/2020</t>
        </is>
      </c>
      <c r="O293" t="n">
        <v>38</v>
      </c>
    </row>
    <row r="294">
      <c r="A294" t="n">
        <v>20738</v>
      </c>
      <c r="B294" s="1" t="n"/>
      <c r="C294" t="inlineStr">
        <is>
          <t>NSW-QLD</t>
        </is>
      </c>
      <c r="D294" t="inlineStr">
        <is>
          <t>Virtus Health</t>
        </is>
      </c>
      <c r="E294" t="inlineStr">
        <is>
          <t>Patient Concierge</t>
        </is>
      </c>
      <c r="F294" s="1" t="n">
        <v>43957</v>
      </c>
      <c r="H294" t="inlineStr">
        <is>
          <t>IVFS2023</t>
        </is>
      </c>
      <c r="I294" t="inlineStr">
        <is>
          <t>NSW</t>
        </is>
      </c>
      <c r="J294" t="inlineStr">
        <is>
          <t>Casual</t>
        </is>
      </c>
      <c r="K294" s="23" t="n">
        <v>43957</v>
      </c>
      <c r="L294" s="23" t="n">
        <v>43957</v>
      </c>
      <c r="O294" t="n">
        <v>32</v>
      </c>
    </row>
    <row r="295">
      <c r="A295" t="n">
        <v>20741</v>
      </c>
      <c r="C295" t="inlineStr">
        <is>
          <t>NSW-QLD</t>
        </is>
      </c>
      <c r="D295" t="inlineStr">
        <is>
          <t>Virtus Health</t>
        </is>
      </c>
      <c r="E295" t="inlineStr">
        <is>
          <t>Embryologist</t>
        </is>
      </c>
      <c r="F295" t="inlineStr">
        <is>
          <t>6/15/2020</t>
        </is>
      </c>
      <c r="H295" t="inlineStr">
        <is>
          <t>IVFT2024</t>
        </is>
      </c>
      <c r="I295" t="inlineStr">
        <is>
          <t>NSW</t>
        </is>
      </c>
      <c r="J295" t="inlineStr">
        <is>
          <t>Full Time</t>
        </is>
      </c>
      <c r="K295" s="23" t="inlineStr">
        <is>
          <t>6/15/2020</t>
        </is>
      </c>
      <c r="L295" s="23" t="inlineStr">
        <is>
          <t>6/15/2020</t>
        </is>
      </c>
      <c r="O295" t="n">
        <v>16</v>
      </c>
    </row>
    <row r="296">
      <c r="A296" t="n">
        <v>20746</v>
      </c>
      <c r="C296" t="inlineStr">
        <is>
          <t>NSW-QLD</t>
        </is>
      </c>
      <c r="D296" t="inlineStr">
        <is>
          <t>Virtus Health</t>
        </is>
      </c>
      <c r="E296" t="inlineStr">
        <is>
          <t>Registered Nurse</t>
        </is>
      </c>
      <c r="F296" t="inlineStr">
        <is>
          <t>6/22/2020</t>
        </is>
      </c>
      <c r="H296" t="inlineStr">
        <is>
          <t>IVFN2021</t>
        </is>
      </c>
      <c r="I296" t="inlineStr">
        <is>
          <t>NSW</t>
        </is>
      </c>
      <c r="J296" t="inlineStr">
        <is>
          <t>Part Time</t>
        </is>
      </c>
      <c r="K296" s="23" t="inlineStr">
        <is>
          <t>6/22/2020</t>
        </is>
      </c>
      <c r="L296" s="23" t="inlineStr">
        <is>
          <t>6/22/2020</t>
        </is>
      </c>
      <c r="O296" t="n">
        <v>30.75</v>
      </c>
    </row>
    <row r="297">
      <c r="A297" t="n">
        <v>20749</v>
      </c>
      <c r="C297" t="inlineStr">
        <is>
          <t>NSW-QLD</t>
        </is>
      </c>
      <c r="D297" t="inlineStr">
        <is>
          <t>Virtus Health</t>
        </is>
      </c>
      <c r="E297" t="inlineStr">
        <is>
          <t>Principal Scientist</t>
        </is>
      </c>
      <c r="F297" t="inlineStr">
        <is>
          <t>6/15/2020</t>
        </is>
      </c>
      <c r="H297" t="inlineStr">
        <is>
          <t>TAS</t>
        </is>
      </c>
      <c r="I297" t="inlineStr">
        <is>
          <t>TAS</t>
        </is>
      </c>
      <c r="J297" t="inlineStr">
        <is>
          <t>Full Time</t>
        </is>
      </c>
      <c r="K297" s="23" t="inlineStr">
        <is>
          <t>6/15/2020</t>
        </is>
      </c>
      <c r="L297" s="23" t="inlineStr">
        <is>
          <t>6/15/2020</t>
        </is>
      </c>
      <c r="O297" t="n">
        <v>38</v>
      </c>
    </row>
    <row r="298">
      <c r="A298" t="n">
        <v>20752</v>
      </c>
      <c r="B298" s="1" t="n"/>
      <c r="C298" t="inlineStr">
        <is>
          <t>NSW-QLD</t>
        </is>
      </c>
      <c r="D298" t="inlineStr">
        <is>
          <t>Virtus Health</t>
        </is>
      </c>
      <c r="E298" t="inlineStr">
        <is>
          <t>Director Medical Affairs</t>
        </is>
      </c>
      <c r="F298" s="1" t="n">
        <v>39823</v>
      </c>
      <c r="H298" t="inlineStr">
        <is>
          <t>QLD</t>
        </is>
      </c>
      <c r="I298" t="inlineStr">
        <is>
          <t>QLD</t>
        </is>
      </c>
      <c r="J298" t="inlineStr">
        <is>
          <t>Full Time</t>
        </is>
      </c>
      <c r="K298" s="23" t="n">
        <v>39823</v>
      </c>
      <c r="L298" s="23" t="n">
        <v>39823</v>
      </c>
      <c r="O298" t="n">
        <v>38</v>
      </c>
    </row>
    <row r="299">
      <c r="A299" t="n">
        <v>20755</v>
      </c>
      <c r="B299" s="1" t="n"/>
      <c r="C299" t="inlineStr">
        <is>
          <t>NSW-QLD</t>
        </is>
      </c>
      <c r="D299" t="inlineStr">
        <is>
          <t>Virtus Health</t>
        </is>
      </c>
      <c r="E299" t="inlineStr">
        <is>
          <t>Clinical Nurse Specialist</t>
        </is>
      </c>
      <c r="F299" s="1" t="n">
        <v>43837</v>
      </c>
      <c r="H299" t="inlineStr">
        <is>
          <t>IVFN2021</t>
        </is>
      </c>
      <c r="I299" t="inlineStr">
        <is>
          <t>NSW</t>
        </is>
      </c>
      <c r="J299" t="inlineStr">
        <is>
          <t>Full Time</t>
        </is>
      </c>
      <c r="K299" s="23" t="n">
        <v>43837</v>
      </c>
      <c r="L299" s="23" t="n">
        <v>43837</v>
      </c>
      <c r="O299" t="n">
        <v>38</v>
      </c>
    </row>
    <row r="300">
      <c r="A300" t="n">
        <v>20756</v>
      </c>
      <c r="B300" s="1" t="n"/>
      <c r="C300" t="inlineStr">
        <is>
          <t>NSW-QLD</t>
        </is>
      </c>
      <c r="D300" t="inlineStr">
        <is>
          <t>Virtus Health</t>
        </is>
      </c>
      <c r="E300" t="inlineStr">
        <is>
          <t>Clinical Nurse Specialist</t>
        </is>
      </c>
      <c r="F300" s="1" t="n">
        <v>43989</v>
      </c>
      <c r="H300" t="inlineStr">
        <is>
          <t>IVFN2021</t>
        </is>
      </c>
      <c r="I300" t="inlineStr">
        <is>
          <t>NSW</t>
        </is>
      </c>
      <c r="J300" t="inlineStr">
        <is>
          <t>Full Time</t>
        </is>
      </c>
      <c r="K300" s="23" t="n">
        <v>43989</v>
      </c>
      <c r="L300" s="23" t="n">
        <v>43989</v>
      </c>
      <c r="O300" t="n">
        <v>30.4</v>
      </c>
    </row>
    <row r="301">
      <c r="A301" t="n">
        <v>20760</v>
      </c>
      <c r="B301" s="1" t="n"/>
      <c r="C301" t="inlineStr">
        <is>
          <t>NSW-QLD</t>
        </is>
      </c>
      <c r="D301" t="inlineStr">
        <is>
          <t>Virtus Health</t>
        </is>
      </c>
      <c r="E301" t="inlineStr">
        <is>
          <t>Nurse Unit Manager</t>
        </is>
      </c>
      <c r="F301" s="1" t="n">
        <v>43989</v>
      </c>
      <c r="H301" t="inlineStr">
        <is>
          <t>IVFN2021</t>
        </is>
      </c>
      <c r="I301" t="inlineStr">
        <is>
          <t>ACT</t>
        </is>
      </c>
      <c r="J301" t="inlineStr">
        <is>
          <t>Full Time</t>
        </is>
      </c>
      <c r="K301" s="23" t="n">
        <v>43989</v>
      </c>
      <c r="L301" s="23" t="n">
        <v>43989</v>
      </c>
      <c r="O301" t="n">
        <v>38</v>
      </c>
    </row>
    <row r="302">
      <c r="A302" t="n">
        <v>20762</v>
      </c>
      <c r="C302" t="inlineStr">
        <is>
          <t>NSW-QLD</t>
        </is>
      </c>
      <c r="D302" t="inlineStr">
        <is>
          <t>Virtus Health</t>
        </is>
      </c>
      <c r="E302" t="inlineStr">
        <is>
          <t>Registered Nurse</t>
        </is>
      </c>
      <c r="F302" t="inlineStr">
        <is>
          <t>7/20/2020</t>
        </is>
      </c>
      <c r="H302" t="inlineStr">
        <is>
          <t>IVFN2021</t>
        </is>
      </c>
      <c r="I302" t="inlineStr">
        <is>
          <t>NSW</t>
        </is>
      </c>
      <c r="J302" t="inlineStr">
        <is>
          <t>Part Time</t>
        </is>
      </c>
      <c r="K302" s="23" t="inlineStr">
        <is>
          <t>7/20/2020</t>
        </is>
      </c>
      <c r="L302" s="23" t="inlineStr">
        <is>
          <t>7/20/2020</t>
        </is>
      </c>
      <c r="O302" t="n">
        <v>30.4</v>
      </c>
    </row>
    <row r="303">
      <c r="A303" t="n">
        <v>20765</v>
      </c>
      <c r="C303" t="inlineStr">
        <is>
          <t>NSW-QLD</t>
        </is>
      </c>
      <c r="D303" t="inlineStr">
        <is>
          <t>Virtus Health</t>
        </is>
      </c>
      <c r="E303" t="inlineStr">
        <is>
          <t>Marcomms Specialist</t>
        </is>
      </c>
      <c r="F303" t="inlineStr">
        <is>
          <t>7/20/2020</t>
        </is>
      </c>
      <c r="H303" t="inlineStr">
        <is>
          <t>NSW</t>
        </is>
      </c>
      <c r="I303" t="inlineStr">
        <is>
          <t>NSW</t>
        </is>
      </c>
      <c r="J303" t="inlineStr">
        <is>
          <t>Full Time</t>
        </is>
      </c>
      <c r="K303" s="23" t="inlineStr">
        <is>
          <t>7/20/2020</t>
        </is>
      </c>
      <c r="L303" s="23" t="inlineStr">
        <is>
          <t>7/20/2020</t>
        </is>
      </c>
      <c r="O303" t="n">
        <v>28.5</v>
      </c>
    </row>
    <row r="304">
      <c r="A304" t="n">
        <v>20771</v>
      </c>
      <c r="B304" s="1" t="n"/>
      <c r="C304" t="inlineStr">
        <is>
          <t>NSW-QLD</t>
        </is>
      </c>
      <c r="D304" t="inlineStr">
        <is>
          <t>Virtus Health</t>
        </is>
      </c>
      <c r="E304" t="inlineStr">
        <is>
          <t>Andrologist</t>
        </is>
      </c>
      <c r="F304" s="1" t="n">
        <v>44112</v>
      </c>
      <c r="H304" t="inlineStr">
        <is>
          <t>IVFT2024</t>
        </is>
      </c>
      <c r="I304" t="inlineStr">
        <is>
          <t>NSW</t>
        </is>
      </c>
      <c r="J304" t="inlineStr">
        <is>
          <t>Full Time</t>
        </is>
      </c>
      <c r="K304" s="23" t="n">
        <v>44112</v>
      </c>
      <c r="L304" s="23" t="n">
        <v>44112</v>
      </c>
      <c r="O304" t="n">
        <v>38</v>
      </c>
    </row>
    <row r="305">
      <c r="A305" t="n">
        <v>20773</v>
      </c>
      <c r="B305" s="1" t="n"/>
      <c r="C305" t="inlineStr">
        <is>
          <t>NSW-QLD</t>
        </is>
      </c>
      <c r="D305" t="inlineStr">
        <is>
          <t>Virtus Health</t>
        </is>
      </c>
      <c r="E305" t="inlineStr">
        <is>
          <t>Embryologist</t>
        </is>
      </c>
      <c r="F305" s="1" t="n">
        <v>44112</v>
      </c>
      <c r="H305" t="inlineStr">
        <is>
          <t>IVFT2024</t>
        </is>
      </c>
      <c r="I305" t="inlineStr">
        <is>
          <t>NSW</t>
        </is>
      </c>
      <c r="J305" t="inlineStr">
        <is>
          <t>Full Time</t>
        </is>
      </c>
      <c r="K305" s="23" t="n">
        <v>44112</v>
      </c>
      <c r="L305" s="23" t="n">
        <v>44112</v>
      </c>
      <c r="O305" t="n">
        <v>38</v>
      </c>
    </row>
    <row r="306">
      <c r="A306" t="n">
        <v>20776</v>
      </c>
      <c r="C306" t="inlineStr">
        <is>
          <t>NSW-QLD</t>
        </is>
      </c>
      <c r="D306" t="inlineStr">
        <is>
          <t>Virtus Health</t>
        </is>
      </c>
      <c r="E306" t="inlineStr">
        <is>
          <t>Administration</t>
        </is>
      </c>
      <c r="F306" t="inlineStr">
        <is>
          <t>8/18/2020</t>
        </is>
      </c>
      <c r="H306" t="inlineStr">
        <is>
          <t>IVFS2023</t>
        </is>
      </c>
      <c r="I306" t="inlineStr">
        <is>
          <t>NSW</t>
        </is>
      </c>
      <c r="J306" t="inlineStr">
        <is>
          <t>Part Time</t>
        </is>
      </c>
      <c r="K306" s="23" t="inlineStr">
        <is>
          <t>8/18/2020</t>
        </is>
      </c>
      <c r="L306" s="23" t="inlineStr">
        <is>
          <t>8/18/2020</t>
        </is>
      </c>
      <c r="O306" t="n">
        <v>22</v>
      </c>
    </row>
    <row r="307">
      <c r="A307" t="n">
        <v>20778</v>
      </c>
      <c r="C307" t="inlineStr">
        <is>
          <t>NSW-QLD</t>
        </is>
      </c>
      <c r="D307" t="inlineStr">
        <is>
          <t>Virtus Health</t>
        </is>
      </c>
      <c r="E307" t="inlineStr">
        <is>
          <t>Embryologist</t>
        </is>
      </c>
      <c r="F307" t="inlineStr">
        <is>
          <t>8/17/2020</t>
        </is>
      </c>
      <c r="H307" t="inlineStr">
        <is>
          <t>IVFT2024</t>
        </is>
      </c>
      <c r="I307" t="inlineStr">
        <is>
          <t>NSW</t>
        </is>
      </c>
      <c r="J307" t="inlineStr">
        <is>
          <t>Full Time</t>
        </is>
      </c>
      <c r="K307" s="23" t="inlineStr">
        <is>
          <t>8/17/2020</t>
        </is>
      </c>
      <c r="L307" s="23" t="inlineStr">
        <is>
          <t>8/17/2020</t>
        </is>
      </c>
      <c r="O307" t="n">
        <v>24</v>
      </c>
    </row>
    <row r="308">
      <c r="A308" t="n">
        <v>20779</v>
      </c>
      <c r="C308" t="inlineStr">
        <is>
          <t>NSW-QLD</t>
        </is>
      </c>
      <c r="D308" t="inlineStr">
        <is>
          <t>Virtus Health</t>
        </is>
      </c>
      <c r="E308" t="inlineStr">
        <is>
          <t>Embryologist/Andrologist</t>
        </is>
      </c>
      <c r="F308" t="inlineStr">
        <is>
          <t>8/17/2020</t>
        </is>
      </c>
      <c r="H308" t="inlineStr">
        <is>
          <t>IVFT2024</t>
        </is>
      </c>
      <c r="I308" t="inlineStr">
        <is>
          <t>NSW</t>
        </is>
      </c>
      <c r="J308" t="inlineStr">
        <is>
          <t>Part Time</t>
        </is>
      </c>
      <c r="K308" s="23" t="inlineStr">
        <is>
          <t>8/17/2020</t>
        </is>
      </c>
      <c r="L308" s="23" t="inlineStr">
        <is>
          <t>8/17/2020</t>
        </is>
      </c>
      <c r="O308" t="n">
        <v>38</v>
      </c>
    </row>
    <row r="309">
      <c r="A309" t="n">
        <v>20780</v>
      </c>
      <c r="B309" s="1" t="n"/>
      <c r="C309" t="inlineStr">
        <is>
          <t>NSW-QLD</t>
        </is>
      </c>
      <c r="D309" t="inlineStr">
        <is>
          <t>Virtus Health</t>
        </is>
      </c>
      <c r="E309" t="inlineStr">
        <is>
          <t xml:space="preserve">Patient Care Consultant </t>
        </is>
      </c>
      <c r="F309" s="1" t="n">
        <v>44173</v>
      </c>
      <c r="H309" t="inlineStr">
        <is>
          <t>IVFS2023</t>
        </is>
      </c>
      <c r="I309" t="inlineStr">
        <is>
          <t>NSW</t>
        </is>
      </c>
      <c r="J309" t="inlineStr">
        <is>
          <t>Part Time</t>
        </is>
      </c>
      <c r="K309" s="23" t="n">
        <v>44173</v>
      </c>
      <c r="L309" s="23" t="n">
        <v>44173</v>
      </c>
      <c r="O309" t="n">
        <v>38</v>
      </c>
    </row>
    <row r="310">
      <c r="A310" t="n">
        <v>20782</v>
      </c>
      <c r="C310" t="inlineStr">
        <is>
          <t>NSW-QLD</t>
        </is>
      </c>
      <c r="D310" t="inlineStr">
        <is>
          <t>Virtus Health</t>
        </is>
      </c>
      <c r="E310" t="inlineStr">
        <is>
          <t>Embryologist</t>
        </is>
      </c>
      <c r="F310" t="inlineStr">
        <is>
          <t>8/17/2020</t>
        </is>
      </c>
      <c r="H310" t="inlineStr">
        <is>
          <t>IVFT2024</t>
        </is>
      </c>
      <c r="I310" t="inlineStr">
        <is>
          <t>NSW</t>
        </is>
      </c>
      <c r="J310" t="inlineStr">
        <is>
          <t>Full Time</t>
        </is>
      </c>
      <c r="K310" s="23" t="inlineStr">
        <is>
          <t>8/17/2020</t>
        </is>
      </c>
      <c r="L310" s="23" t="inlineStr">
        <is>
          <t>8/17/2020</t>
        </is>
      </c>
      <c r="O310" t="n">
        <v>38</v>
      </c>
    </row>
    <row r="311">
      <c r="A311" t="n">
        <v>20784</v>
      </c>
      <c r="B311" s="1" t="n"/>
      <c r="C311" t="inlineStr">
        <is>
          <t>NSW-QLD</t>
        </is>
      </c>
      <c r="D311" t="inlineStr">
        <is>
          <t>Virtus Health</t>
        </is>
      </c>
      <c r="E311" t="inlineStr">
        <is>
          <t>Clinical Nurse Specialist</t>
        </is>
      </c>
      <c r="F311" s="1" t="n">
        <v>44021</v>
      </c>
      <c r="H311" t="inlineStr">
        <is>
          <t>IVFN2021</t>
        </is>
      </c>
      <c r="I311" t="inlineStr">
        <is>
          <t>NSW</t>
        </is>
      </c>
      <c r="J311" t="inlineStr">
        <is>
          <t>Full Time</t>
        </is>
      </c>
      <c r="K311" s="23" t="n">
        <v>44021</v>
      </c>
      <c r="L311" s="23" t="n">
        <v>44021</v>
      </c>
      <c r="O311" t="n">
        <v>25.5</v>
      </c>
    </row>
    <row r="312">
      <c r="A312" t="n">
        <v>20790</v>
      </c>
      <c r="C312" t="inlineStr">
        <is>
          <t>NSW-QLD</t>
        </is>
      </c>
      <c r="D312" t="inlineStr">
        <is>
          <t>Virtus Health</t>
        </is>
      </c>
      <c r="E312" t="inlineStr">
        <is>
          <t>Registered Nurse</t>
        </is>
      </c>
      <c r="F312" t="inlineStr">
        <is>
          <t>9/21/2020</t>
        </is>
      </c>
      <c r="H312" t="inlineStr">
        <is>
          <t>IVFN2021</t>
        </is>
      </c>
      <c r="I312" t="inlineStr">
        <is>
          <t>NSW</t>
        </is>
      </c>
      <c r="J312" t="inlineStr">
        <is>
          <t>Full Time</t>
        </is>
      </c>
      <c r="K312" s="23" t="inlineStr">
        <is>
          <t>9/21/2020</t>
        </is>
      </c>
      <c r="L312" s="23" t="inlineStr">
        <is>
          <t>9/21/2020</t>
        </is>
      </c>
      <c r="O312" t="n">
        <v>22.8</v>
      </c>
    </row>
    <row r="313">
      <c r="A313" t="n">
        <v>20793</v>
      </c>
      <c r="C313" t="inlineStr">
        <is>
          <t>NSW-QLD</t>
        </is>
      </c>
      <c r="D313" t="inlineStr">
        <is>
          <t>Virtus Health</t>
        </is>
      </c>
      <c r="E313" t="inlineStr">
        <is>
          <t>Unit Nurse Manager</t>
        </is>
      </c>
      <c r="F313" t="inlineStr">
        <is>
          <t>9/28/2020</t>
        </is>
      </c>
      <c r="H313" t="inlineStr">
        <is>
          <t>IVFN2021</t>
        </is>
      </c>
      <c r="I313" t="inlineStr">
        <is>
          <t>NSW</t>
        </is>
      </c>
      <c r="J313" t="inlineStr">
        <is>
          <t>Full Time</t>
        </is>
      </c>
      <c r="K313" s="23" t="inlineStr">
        <is>
          <t>9/28/2020</t>
        </is>
      </c>
      <c r="L313" s="23" t="inlineStr">
        <is>
          <t>9/28/2020</t>
        </is>
      </c>
      <c r="O313" t="n">
        <v>38</v>
      </c>
    </row>
    <row r="314">
      <c r="A314" t="n">
        <v>20797</v>
      </c>
      <c r="B314" s="1" t="n"/>
      <c r="C314" t="inlineStr">
        <is>
          <t>NSW-QLD</t>
        </is>
      </c>
      <c r="D314" t="inlineStr">
        <is>
          <t>Virtus Health</t>
        </is>
      </c>
      <c r="E314" t="inlineStr">
        <is>
          <t>Clinical Nurse Specialist</t>
        </is>
      </c>
      <c r="F314" s="1" t="n">
        <v>44175</v>
      </c>
      <c r="H314" t="inlineStr">
        <is>
          <t>IVFN2021</t>
        </is>
      </c>
      <c r="I314" t="inlineStr">
        <is>
          <t>NSW</t>
        </is>
      </c>
      <c r="J314" t="inlineStr">
        <is>
          <t>Part Time</t>
        </is>
      </c>
      <c r="K314" s="23" t="n">
        <v>44175</v>
      </c>
      <c r="L314" s="23" t="n">
        <v>44175</v>
      </c>
      <c r="O314" t="n">
        <v>24</v>
      </c>
    </row>
    <row r="315">
      <c r="A315" t="n">
        <v>20798</v>
      </c>
      <c r="B315" s="1" t="n"/>
      <c r="C315" t="inlineStr">
        <is>
          <t>NSW-QLD</t>
        </is>
      </c>
      <c r="D315" t="inlineStr">
        <is>
          <t>Virtus Health</t>
        </is>
      </c>
      <c r="E315" t="inlineStr">
        <is>
          <t>Nurse Unit Manager</t>
        </is>
      </c>
      <c r="F315" s="1" t="n">
        <v>44175</v>
      </c>
      <c r="H315" t="inlineStr">
        <is>
          <t>IVFN2021</t>
        </is>
      </c>
      <c r="I315" t="inlineStr">
        <is>
          <t>NSW</t>
        </is>
      </c>
      <c r="J315" t="inlineStr">
        <is>
          <t>Full Time</t>
        </is>
      </c>
      <c r="K315" s="23" t="n">
        <v>44175</v>
      </c>
      <c r="L315" s="23" t="n">
        <v>44175</v>
      </c>
      <c r="O315" t="n">
        <v>38</v>
      </c>
    </row>
    <row r="316">
      <c r="A316" t="n">
        <v>20802</v>
      </c>
      <c r="C316" t="inlineStr">
        <is>
          <t>NSW-QLD</t>
        </is>
      </c>
      <c r="D316" t="inlineStr">
        <is>
          <t>Virtus Health</t>
        </is>
      </c>
      <c r="E316" t="inlineStr">
        <is>
          <t>Registered Nurse</t>
        </is>
      </c>
      <c r="F316" t="inlineStr">
        <is>
          <t>10/20/2020</t>
        </is>
      </c>
      <c r="H316" t="inlineStr">
        <is>
          <t>IVFN2021</t>
        </is>
      </c>
      <c r="I316" t="inlineStr">
        <is>
          <t>NSW</t>
        </is>
      </c>
      <c r="J316" t="inlineStr">
        <is>
          <t>Part Time</t>
        </is>
      </c>
      <c r="K316" s="23" t="inlineStr">
        <is>
          <t>10/20/2020</t>
        </is>
      </c>
      <c r="L316" s="23" t="inlineStr">
        <is>
          <t>10/20/2020</t>
        </is>
      </c>
      <c r="O316" t="n">
        <v>38</v>
      </c>
    </row>
    <row r="317">
      <c r="A317" t="n">
        <v>20810</v>
      </c>
      <c r="C317" t="inlineStr">
        <is>
          <t>NSW-QLD</t>
        </is>
      </c>
      <c r="D317" t="inlineStr">
        <is>
          <t>Virtus Health</t>
        </is>
      </c>
      <c r="E317" t="inlineStr">
        <is>
          <t>Registered Nurse</t>
        </is>
      </c>
      <c r="F317" t="inlineStr">
        <is>
          <t>11/16/2020</t>
        </is>
      </c>
      <c r="H317" t="inlineStr">
        <is>
          <t>IVFN2021</t>
        </is>
      </c>
      <c r="I317" t="inlineStr">
        <is>
          <t>NSW</t>
        </is>
      </c>
      <c r="J317" t="inlineStr">
        <is>
          <t>Full Time</t>
        </is>
      </c>
      <c r="K317" s="23" t="inlineStr">
        <is>
          <t>11/16/2020</t>
        </is>
      </c>
      <c r="L317" s="23" t="inlineStr">
        <is>
          <t>11/16/2020</t>
        </is>
      </c>
      <c r="O317" t="n">
        <v>28.5</v>
      </c>
    </row>
    <row r="318">
      <c r="A318" t="n">
        <v>20813</v>
      </c>
      <c r="C318" t="inlineStr">
        <is>
          <t>NSW-QLD</t>
        </is>
      </c>
      <c r="D318" t="inlineStr">
        <is>
          <t>Virtus Health</t>
        </is>
      </c>
      <c r="E318" t="inlineStr">
        <is>
          <t>Administration</t>
        </is>
      </c>
      <c r="F318" t="inlineStr">
        <is>
          <t>11/24/2020</t>
        </is>
      </c>
      <c r="H318" t="inlineStr">
        <is>
          <t>IVFS2023</t>
        </is>
      </c>
      <c r="I318" t="inlineStr">
        <is>
          <t>NSW</t>
        </is>
      </c>
      <c r="J318" t="inlineStr">
        <is>
          <t>Full Time</t>
        </is>
      </c>
      <c r="K318" s="23" t="inlineStr">
        <is>
          <t>11/24/2020</t>
        </is>
      </c>
      <c r="L318" s="23" t="inlineStr">
        <is>
          <t>11/24/2020</t>
        </is>
      </c>
      <c r="O318" t="n">
        <v>38</v>
      </c>
    </row>
    <row r="319">
      <c r="A319" t="n">
        <v>20814</v>
      </c>
      <c r="B319" s="1" t="n"/>
      <c r="C319" t="inlineStr">
        <is>
          <t>NSW-QLD</t>
        </is>
      </c>
      <c r="D319" t="inlineStr">
        <is>
          <t>Virtus Health</t>
        </is>
      </c>
      <c r="E319" t="inlineStr">
        <is>
          <t>Administration</t>
        </is>
      </c>
      <c r="F319" s="1" t="n">
        <v>43873</v>
      </c>
      <c r="H319" t="inlineStr">
        <is>
          <t>IVFS2023</t>
        </is>
      </c>
      <c r="I319" t="inlineStr">
        <is>
          <t>NSW</t>
        </is>
      </c>
      <c r="J319" t="inlineStr">
        <is>
          <t>Part Time</t>
        </is>
      </c>
      <c r="K319" s="23" t="n">
        <v>43873</v>
      </c>
      <c r="L319" s="23" t="n">
        <v>43873</v>
      </c>
      <c r="O319" t="n">
        <v>38</v>
      </c>
    </row>
    <row r="320">
      <c r="A320" t="n">
        <v>20817</v>
      </c>
      <c r="B320" s="1" t="n"/>
      <c r="C320" t="inlineStr">
        <is>
          <t>NSW-QLD</t>
        </is>
      </c>
      <c r="D320" t="inlineStr">
        <is>
          <t>Virtus Health</t>
        </is>
      </c>
      <c r="E320" t="inlineStr">
        <is>
          <t>Patient Concierge</t>
        </is>
      </c>
      <c r="F320" s="1" t="n">
        <v>44024</v>
      </c>
      <c r="H320" t="inlineStr">
        <is>
          <t>IVFS2023</t>
        </is>
      </c>
      <c r="I320" t="inlineStr">
        <is>
          <t>NSW</t>
        </is>
      </c>
      <c r="J320" t="inlineStr">
        <is>
          <t>Casual</t>
        </is>
      </c>
      <c r="K320" s="23" t="n">
        <v>44024</v>
      </c>
      <c r="L320" s="23" t="n">
        <v>44024</v>
      </c>
      <c r="O320" t="n">
        <v>38</v>
      </c>
    </row>
    <row r="321">
      <c r="A321" t="n">
        <v>20820</v>
      </c>
      <c r="B321" s="1" t="n"/>
      <c r="C321" t="inlineStr">
        <is>
          <t>NSW-QLD</t>
        </is>
      </c>
      <c r="D321" t="inlineStr">
        <is>
          <t>Virtus Health</t>
        </is>
      </c>
      <c r="E321" t="inlineStr">
        <is>
          <t>Andrologist</t>
        </is>
      </c>
      <c r="F321" s="1" t="n">
        <v>44501</v>
      </c>
      <c r="H321" t="inlineStr">
        <is>
          <t>IVFT2024</t>
        </is>
      </c>
      <c r="I321" t="inlineStr">
        <is>
          <t>NSW</t>
        </is>
      </c>
      <c r="J321" t="inlineStr">
        <is>
          <t>Full Time</t>
        </is>
      </c>
      <c r="K321" s="23" t="n">
        <v>44501</v>
      </c>
      <c r="L321" s="23" t="n">
        <v>44501</v>
      </c>
      <c r="O321" t="n">
        <v>38</v>
      </c>
    </row>
    <row r="322">
      <c r="A322" t="n">
        <v>20824</v>
      </c>
      <c r="C322" t="inlineStr">
        <is>
          <t>NSW-QLD</t>
        </is>
      </c>
      <c r="D322" t="inlineStr">
        <is>
          <t>Virtus Health</t>
        </is>
      </c>
      <c r="E322" t="inlineStr">
        <is>
          <t>Patient Support Officer</t>
        </is>
      </c>
      <c r="F322" t="inlineStr">
        <is>
          <t>1/19/2021</t>
        </is>
      </c>
      <c r="H322" t="inlineStr">
        <is>
          <t>IVFS2023</t>
        </is>
      </c>
      <c r="I322" t="inlineStr">
        <is>
          <t>NSW</t>
        </is>
      </c>
      <c r="J322" t="inlineStr">
        <is>
          <t>Part Time</t>
        </is>
      </c>
      <c r="K322" s="23" t="inlineStr">
        <is>
          <t>1/19/2021</t>
        </is>
      </c>
      <c r="L322" s="23" t="inlineStr">
        <is>
          <t>1/19/2021</t>
        </is>
      </c>
      <c r="O322" t="n">
        <v>20</v>
      </c>
    </row>
    <row r="323">
      <c r="A323" t="n">
        <v>20831</v>
      </c>
      <c r="C323" t="inlineStr">
        <is>
          <t>NSW-QLD</t>
        </is>
      </c>
      <c r="D323" t="inlineStr">
        <is>
          <t>Virtus Health</t>
        </is>
      </c>
      <c r="E323" t="inlineStr">
        <is>
          <t>HR Operations Manager</t>
        </is>
      </c>
      <c r="F323" t="inlineStr">
        <is>
          <t>2/15/2021</t>
        </is>
      </c>
      <c r="H323" t="inlineStr">
        <is>
          <t>NSW</t>
        </is>
      </c>
      <c r="I323" t="inlineStr">
        <is>
          <t>NSW</t>
        </is>
      </c>
      <c r="J323" t="inlineStr">
        <is>
          <t>Full Time</t>
        </is>
      </c>
      <c r="K323" s="23" t="inlineStr">
        <is>
          <t>2/15/2021</t>
        </is>
      </c>
      <c r="L323" s="23" t="inlineStr">
        <is>
          <t>2/15/2021</t>
        </is>
      </c>
      <c r="O323" t="n">
        <v>38</v>
      </c>
    </row>
    <row r="324">
      <c r="A324" t="n">
        <v>20836</v>
      </c>
      <c r="B324" s="1" t="n"/>
      <c r="C324" t="inlineStr">
        <is>
          <t>NSW-QLD</t>
        </is>
      </c>
      <c r="D324" t="inlineStr">
        <is>
          <t>Virtus Health</t>
        </is>
      </c>
      <c r="E324" t="inlineStr">
        <is>
          <t>Business Development Manager - Metro Sydney</t>
        </is>
      </c>
      <c r="F324" s="1" t="n">
        <v>44199</v>
      </c>
      <c r="H324" t="inlineStr">
        <is>
          <t>NSW</t>
        </is>
      </c>
      <c r="I324" t="inlineStr">
        <is>
          <t>NSW</t>
        </is>
      </c>
      <c r="J324" t="inlineStr">
        <is>
          <t>Full Time</t>
        </is>
      </c>
      <c r="K324" s="23" t="n">
        <v>44199</v>
      </c>
      <c r="L324" s="23" t="n">
        <v>44199</v>
      </c>
      <c r="O324" t="n">
        <v>38</v>
      </c>
    </row>
    <row r="325">
      <c r="A325" t="n">
        <v>20840</v>
      </c>
      <c r="C325" t="inlineStr">
        <is>
          <t>NSW-QLD</t>
        </is>
      </c>
      <c r="D325" t="inlineStr">
        <is>
          <t>Virtus Health</t>
        </is>
      </c>
      <c r="E325" t="inlineStr">
        <is>
          <t>Registered Nurse</t>
        </is>
      </c>
      <c r="F325" t="inlineStr">
        <is>
          <t>3/15/2021</t>
        </is>
      </c>
      <c r="H325" t="inlineStr">
        <is>
          <t>IVFN2021</t>
        </is>
      </c>
      <c r="I325" t="inlineStr">
        <is>
          <t>NSW</t>
        </is>
      </c>
      <c r="J325" t="inlineStr">
        <is>
          <t>Casual</t>
        </is>
      </c>
      <c r="K325" s="23" t="inlineStr">
        <is>
          <t>3/15/2021</t>
        </is>
      </c>
      <c r="L325" s="23" t="inlineStr">
        <is>
          <t>3/15/2021</t>
        </is>
      </c>
      <c r="O325" t="n">
        <v>38</v>
      </c>
    </row>
    <row r="326">
      <c r="A326" t="n">
        <v>20849</v>
      </c>
      <c r="B326" s="1" t="n"/>
      <c r="C326" t="inlineStr">
        <is>
          <t>NSW-QLD</t>
        </is>
      </c>
      <c r="D326" t="inlineStr">
        <is>
          <t>Virtus Health</t>
        </is>
      </c>
      <c r="E326" t="inlineStr">
        <is>
          <t>Registered Nurse</t>
        </is>
      </c>
      <c r="F326" s="1" t="n">
        <v>44260</v>
      </c>
      <c r="H326" t="inlineStr">
        <is>
          <t>IVFN2021</t>
        </is>
      </c>
      <c r="I326" t="inlineStr">
        <is>
          <t>NSW</t>
        </is>
      </c>
      <c r="J326" t="inlineStr">
        <is>
          <t>Full Time</t>
        </is>
      </c>
      <c r="K326" s="23" t="n">
        <v>44260</v>
      </c>
      <c r="L326" s="23" t="n">
        <v>44260</v>
      </c>
      <c r="O326" t="n">
        <v>38</v>
      </c>
    </row>
    <row r="327">
      <c r="A327" t="n">
        <v>20851</v>
      </c>
      <c r="B327" s="1" t="n"/>
      <c r="C327" t="inlineStr">
        <is>
          <t>NSW-QLD</t>
        </is>
      </c>
      <c r="D327" t="inlineStr">
        <is>
          <t>Virtus Health</t>
        </is>
      </c>
      <c r="E327" t="inlineStr">
        <is>
          <t>Clinical Nurse Specialist</t>
        </is>
      </c>
      <c r="F327" s="1" t="n">
        <v>44260</v>
      </c>
      <c r="H327" t="inlineStr">
        <is>
          <t>IVFN2021</t>
        </is>
      </c>
      <c r="I327" t="inlineStr">
        <is>
          <t>NSW</t>
        </is>
      </c>
      <c r="J327" t="inlineStr">
        <is>
          <t>Full Time</t>
        </is>
      </c>
      <c r="K327" s="23" t="n">
        <v>44260</v>
      </c>
      <c r="L327" s="23" t="n">
        <v>44260</v>
      </c>
      <c r="O327" t="n">
        <v>38</v>
      </c>
    </row>
    <row r="328">
      <c r="A328" t="n">
        <v>20859</v>
      </c>
      <c r="B328" s="1" t="n"/>
      <c r="C328" t="inlineStr">
        <is>
          <t>NSW-QLD</t>
        </is>
      </c>
      <c r="D328" t="inlineStr">
        <is>
          <t>Virtus Health</t>
        </is>
      </c>
      <c r="E328" t="inlineStr">
        <is>
          <t>Medical Secretary</t>
        </is>
      </c>
      <c r="F328" s="1" t="n">
        <v>44383</v>
      </c>
      <c r="H328" t="inlineStr">
        <is>
          <t>IVFS2023</t>
        </is>
      </c>
      <c r="I328" t="inlineStr">
        <is>
          <t>NSW</t>
        </is>
      </c>
      <c r="J328" t="inlineStr">
        <is>
          <t>Full Time</t>
        </is>
      </c>
      <c r="K328" s="23" t="n">
        <v>44383</v>
      </c>
      <c r="L328" s="23" t="n">
        <v>44383</v>
      </c>
      <c r="O328" t="n">
        <v>30.4</v>
      </c>
    </row>
    <row r="329">
      <c r="A329" t="n">
        <v>20860</v>
      </c>
      <c r="B329" s="1" t="n"/>
      <c r="C329" t="inlineStr">
        <is>
          <t>NSW-QLD</t>
        </is>
      </c>
      <c r="D329" t="inlineStr">
        <is>
          <t>Virtus Health</t>
        </is>
      </c>
      <c r="E329" t="inlineStr">
        <is>
          <t>Patients Support Officer</t>
        </is>
      </c>
      <c r="F329" s="1" t="n">
        <v>44383</v>
      </c>
      <c r="H329" t="inlineStr">
        <is>
          <t>IVFS2023</t>
        </is>
      </c>
      <c r="I329" t="inlineStr">
        <is>
          <t>NSW</t>
        </is>
      </c>
      <c r="J329" t="inlineStr">
        <is>
          <t>Full Time</t>
        </is>
      </c>
      <c r="K329" s="23" t="n">
        <v>44383</v>
      </c>
      <c r="L329" s="23" t="n">
        <v>44383</v>
      </c>
      <c r="O329" t="n">
        <v>38</v>
      </c>
    </row>
    <row r="330">
      <c r="A330" t="n">
        <v>20864</v>
      </c>
      <c r="C330" t="inlineStr">
        <is>
          <t>NSW-QLD</t>
        </is>
      </c>
      <c r="D330" t="inlineStr">
        <is>
          <t>Virtus Health</t>
        </is>
      </c>
      <c r="E330" t="inlineStr">
        <is>
          <t>Embryologist</t>
        </is>
      </c>
      <c r="F330" t="inlineStr">
        <is>
          <t>6/30/2021</t>
        </is>
      </c>
      <c r="H330" t="inlineStr">
        <is>
          <t>IVFT2024</t>
        </is>
      </c>
      <c r="I330" t="inlineStr">
        <is>
          <t>NSW</t>
        </is>
      </c>
      <c r="J330" t="inlineStr">
        <is>
          <t>Full Time</t>
        </is>
      </c>
      <c r="K330" s="23" t="inlineStr">
        <is>
          <t>6/30/2021</t>
        </is>
      </c>
      <c r="L330" s="23" t="inlineStr">
        <is>
          <t>6/30/2021</t>
        </is>
      </c>
      <c r="O330" t="n">
        <v>38</v>
      </c>
    </row>
    <row r="331">
      <c r="A331" t="n">
        <v>20865</v>
      </c>
      <c r="C331" t="inlineStr">
        <is>
          <t>NSW-QLD</t>
        </is>
      </c>
      <c r="D331" t="inlineStr">
        <is>
          <t>Virtus Health</t>
        </is>
      </c>
      <c r="E331" t="inlineStr">
        <is>
          <t>Embryologist</t>
        </is>
      </c>
      <c r="F331" t="inlineStr">
        <is>
          <t>6/28/2021</t>
        </is>
      </c>
      <c r="H331" t="inlineStr">
        <is>
          <t>IVFT2024</t>
        </is>
      </c>
      <c r="I331" t="inlineStr">
        <is>
          <t>NSW</t>
        </is>
      </c>
      <c r="J331" t="inlineStr">
        <is>
          <t>Full Time</t>
        </is>
      </c>
      <c r="K331" s="23" t="inlineStr">
        <is>
          <t>6/28/2021</t>
        </is>
      </c>
      <c r="L331" s="23" t="inlineStr">
        <is>
          <t>6/28/2021</t>
        </is>
      </c>
      <c r="O331" t="n">
        <v>38</v>
      </c>
    </row>
    <row r="332">
      <c r="A332" t="n">
        <v>20867</v>
      </c>
      <c r="B332" s="1" t="n"/>
      <c r="C332" t="inlineStr">
        <is>
          <t>NSW-QLD</t>
        </is>
      </c>
      <c r="D332" t="inlineStr">
        <is>
          <t>Virtus Health</t>
        </is>
      </c>
      <c r="E332" t="inlineStr">
        <is>
          <t>Andrologist</t>
        </is>
      </c>
      <c r="F332" s="1" t="n">
        <v>44537</v>
      </c>
      <c r="H332" t="inlineStr">
        <is>
          <t>IVFT2024</t>
        </is>
      </c>
      <c r="I332" t="inlineStr">
        <is>
          <t>NSW</t>
        </is>
      </c>
      <c r="J332" t="inlineStr">
        <is>
          <t>Full Time</t>
        </is>
      </c>
      <c r="K332" s="23" t="n">
        <v>44537</v>
      </c>
      <c r="L332" s="23" t="n">
        <v>44537</v>
      </c>
      <c r="O332" t="n">
        <v>15.2</v>
      </c>
    </row>
    <row r="333">
      <c r="A333" t="n">
        <v>20869</v>
      </c>
      <c r="B333" s="1" t="n"/>
      <c r="C333" t="inlineStr">
        <is>
          <t>NSW-QLD</t>
        </is>
      </c>
      <c r="D333" t="inlineStr">
        <is>
          <t>Virtus Health</t>
        </is>
      </c>
      <c r="E333" t="inlineStr">
        <is>
          <t>Carpark Concierge</t>
        </is>
      </c>
      <c r="F333" s="1" t="n">
        <v>44537</v>
      </c>
      <c r="H333" t="inlineStr">
        <is>
          <t>NSW</t>
        </is>
      </c>
      <c r="I333" t="inlineStr">
        <is>
          <t>NSW</t>
        </is>
      </c>
      <c r="J333" t="inlineStr">
        <is>
          <t>Full Time</t>
        </is>
      </c>
      <c r="K333" s="23" t="n">
        <v>44537</v>
      </c>
      <c r="L333" s="23" t="n">
        <v>44537</v>
      </c>
      <c r="O333" t="n">
        <v>38</v>
      </c>
    </row>
    <row r="334">
      <c r="A334" t="n">
        <v>20870</v>
      </c>
      <c r="C334" t="inlineStr">
        <is>
          <t>NSW-QLD</t>
        </is>
      </c>
      <c r="D334" t="inlineStr">
        <is>
          <t>Virtus Health</t>
        </is>
      </c>
      <c r="E334" t="inlineStr">
        <is>
          <t>Registered Nurse</t>
        </is>
      </c>
      <c r="F334" t="inlineStr">
        <is>
          <t>7/20/2021</t>
        </is>
      </c>
      <c r="H334" t="inlineStr">
        <is>
          <t>IVFN2021</t>
        </is>
      </c>
      <c r="I334" t="inlineStr">
        <is>
          <t>NSW</t>
        </is>
      </c>
      <c r="J334" t="inlineStr">
        <is>
          <t>Full Time</t>
        </is>
      </c>
      <c r="K334" s="23" t="inlineStr">
        <is>
          <t>7/20/2021</t>
        </is>
      </c>
      <c r="L334" s="23" t="inlineStr">
        <is>
          <t>7/20/2021</t>
        </is>
      </c>
      <c r="O334" t="n">
        <v>38</v>
      </c>
    </row>
    <row r="335">
      <c r="A335" t="n">
        <v>20872</v>
      </c>
      <c r="B335" s="1" t="n"/>
      <c r="C335" t="inlineStr">
        <is>
          <t>NSW-QLD</t>
        </is>
      </c>
      <c r="D335" t="inlineStr">
        <is>
          <t>Virtus Health</t>
        </is>
      </c>
      <c r="E335" t="inlineStr">
        <is>
          <t>Group Donor Program Specialist</t>
        </is>
      </c>
      <c r="F335" s="1" t="n">
        <v>40946</v>
      </c>
      <c r="H335" t="inlineStr">
        <is>
          <t>VIC</t>
        </is>
      </c>
      <c r="I335" t="inlineStr">
        <is>
          <t>VIC</t>
        </is>
      </c>
      <c r="J335" t="inlineStr">
        <is>
          <t>Full Time</t>
        </is>
      </c>
      <c r="K335" s="23" t="n">
        <v>40946</v>
      </c>
      <c r="L335" s="23" t="n">
        <v>40946</v>
      </c>
      <c r="O335" t="n">
        <v>38</v>
      </c>
    </row>
    <row r="336">
      <c r="A336" t="n">
        <v>20873</v>
      </c>
      <c r="C336" t="inlineStr">
        <is>
          <t>NSW-QLD</t>
        </is>
      </c>
      <c r="D336" t="inlineStr">
        <is>
          <t>Virtus Health</t>
        </is>
      </c>
      <c r="E336" t="inlineStr">
        <is>
          <t>Head of Finance-QFG &amp; VHSD</t>
        </is>
      </c>
      <c r="F336" t="inlineStr">
        <is>
          <t>9/16/2021</t>
        </is>
      </c>
      <c r="H336" t="inlineStr">
        <is>
          <t>QLD</t>
        </is>
      </c>
      <c r="I336" t="inlineStr">
        <is>
          <t>QLD</t>
        </is>
      </c>
      <c r="J336" t="inlineStr">
        <is>
          <t>Full Time</t>
        </is>
      </c>
      <c r="K336" s="23" t="inlineStr">
        <is>
          <t>9/16/2021</t>
        </is>
      </c>
      <c r="L336" s="23" t="inlineStr">
        <is>
          <t>9/16/2021</t>
        </is>
      </c>
      <c r="O336" t="n">
        <v>38</v>
      </c>
    </row>
    <row r="337">
      <c r="A337" t="n">
        <v>20874</v>
      </c>
      <c r="C337" t="inlineStr">
        <is>
          <t>NSW-QLD</t>
        </is>
      </c>
      <c r="D337" t="inlineStr">
        <is>
          <t>Virtus Health</t>
        </is>
      </c>
      <c r="E337" t="inlineStr">
        <is>
          <t>Laboratory Supervisor</t>
        </is>
      </c>
      <c r="F337" t="inlineStr">
        <is>
          <t>7/19/2021</t>
        </is>
      </c>
      <c r="H337" t="inlineStr">
        <is>
          <t>NSW</t>
        </is>
      </c>
      <c r="I337" t="inlineStr">
        <is>
          <t>NSW</t>
        </is>
      </c>
      <c r="J337" t="inlineStr">
        <is>
          <t>Full Time</t>
        </is>
      </c>
      <c r="K337" s="23" t="inlineStr">
        <is>
          <t>7/19/2021</t>
        </is>
      </c>
      <c r="L337" s="23" t="inlineStr">
        <is>
          <t>7/19/2021</t>
        </is>
      </c>
      <c r="O337" t="n">
        <v>22.8</v>
      </c>
    </row>
    <row r="338">
      <c r="A338" t="n">
        <v>20875</v>
      </c>
      <c r="C338" t="inlineStr">
        <is>
          <t>NSW-QLD</t>
        </is>
      </c>
      <c r="D338" t="inlineStr">
        <is>
          <t>Virtus Health</t>
        </is>
      </c>
      <c r="E338" t="inlineStr">
        <is>
          <t>Financial Accountant</t>
        </is>
      </c>
      <c r="F338" t="inlineStr">
        <is>
          <t>8/29/2021</t>
        </is>
      </c>
      <c r="H338" t="inlineStr">
        <is>
          <t>NSW</t>
        </is>
      </c>
      <c r="I338" t="inlineStr">
        <is>
          <t>NSW</t>
        </is>
      </c>
      <c r="J338" t="inlineStr">
        <is>
          <t>Part Time</t>
        </is>
      </c>
      <c r="K338" s="23" t="inlineStr">
        <is>
          <t>8/29/2021</t>
        </is>
      </c>
      <c r="L338" s="23" t="inlineStr">
        <is>
          <t>8/29/2021</t>
        </is>
      </c>
      <c r="O338" t="n">
        <v>34.2</v>
      </c>
    </row>
    <row r="339">
      <c r="A339" t="n">
        <v>20882</v>
      </c>
      <c r="B339" s="1" t="n"/>
      <c r="C339" t="inlineStr">
        <is>
          <t>NSW-QLD</t>
        </is>
      </c>
      <c r="D339" t="inlineStr">
        <is>
          <t>Virtus Health</t>
        </is>
      </c>
      <c r="E339" t="inlineStr">
        <is>
          <t>Registered Nurse</t>
        </is>
      </c>
      <c r="F339" s="1" t="n">
        <v>44419</v>
      </c>
      <c r="H339" t="inlineStr">
        <is>
          <t>IVFN2021</t>
        </is>
      </c>
      <c r="I339" t="inlineStr">
        <is>
          <t>NSW</t>
        </is>
      </c>
      <c r="J339" t="inlineStr">
        <is>
          <t>Full Time</t>
        </is>
      </c>
      <c r="K339" s="23" t="n">
        <v>44419</v>
      </c>
      <c r="L339" s="23" t="n">
        <v>44419</v>
      </c>
      <c r="O339" t="n">
        <v>38</v>
      </c>
    </row>
    <row r="340">
      <c r="A340" t="n">
        <v>20883</v>
      </c>
      <c r="C340" t="inlineStr">
        <is>
          <t>NSW-QLD</t>
        </is>
      </c>
      <c r="D340" t="inlineStr">
        <is>
          <t>Virtus Health</t>
        </is>
      </c>
      <c r="E340" t="inlineStr">
        <is>
          <t>Territory Administration Manager</t>
        </is>
      </c>
      <c r="F340" t="inlineStr">
        <is>
          <t>11/15/2021</t>
        </is>
      </c>
      <c r="H340" t="inlineStr">
        <is>
          <t>IVFS2023</t>
        </is>
      </c>
      <c r="I340" t="inlineStr">
        <is>
          <t>NSW</t>
        </is>
      </c>
      <c r="J340" t="inlineStr">
        <is>
          <t>Full Time</t>
        </is>
      </c>
      <c r="K340" s="23" t="inlineStr">
        <is>
          <t>11/15/2021</t>
        </is>
      </c>
      <c r="L340" s="23" t="inlineStr">
        <is>
          <t>11/15/2021</t>
        </is>
      </c>
      <c r="O340" t="n">
        <v>38</v>
      </c>
    </row>
    <row r="341">
      <c r="A341" t="n">
        <v>20885</v>
      </c>
      <c r="C341" t="inlineStr">
        <is>
          <t>NSW-QLD</t>
        </is>
      </c>
      <c r="D341" t="inlineStr">
        <is>
          <t>Virtus Health</t>
        </is>
      </c>
      <c r="E341" t="inlineStr">
        <is>
          <t>Administration</t>
        </is>
      </c>
      <c r="F341" t="inlineStr">
        <is>
          <t>11/15/2021</t>
        </is>
      </c>
      <c r="H341" t="inlineStr">
        <is>
          <t>IVFS2023</t>
        </is>
      </c>
      <c r="I341" t="inlineStr">
        <is>
          <t>NSW</t>
        </is>
      </c>
      <c r="J341" t="inlineStr">
        <is>
          <t>Full Time</t>
        </is>
      </c>
      <c r="K341" s="23" t="inlineStr">
        <is>
          <t>11/15/2021</t>
        </is>
      </c>
      <c r="L341" s="23" t="inlineStr">
        <is>
          <t>11/15/2021</t>
        </is>
      </c>
      <c r="O341" t="n">
        <v>38</v>
      </c>
    </row>
    <row r="342">
      <c r="A342" t="n">
        <v>20887</v>
      </c>
      <c r="C342" t="inlineStr">
        <is>
          <t>NSW-QLD</t>
        </is>
      </c>
      <c r="D342" t="inlineStr">
        <is>
          <t>Virtus Health</t>
        </is>
      </c>
      <c r="E342" t="inlineStr">
        <is>
          <t>Clinical Nurse Specialist</t>
        </is>
      </c>
      <c r="F342" t="inlineStr">
        <is>
          <t>11/22/2021</t>
        </is>
      </c>
      <c r="H342" t="inlineStr">
        <is>
          <t>IVFN2021</t>
        </is>
      </c>
      <c r="I342" t="inlineStr">
        <is>
          <t>NSW</t>
        </is>
      </c>
      <c r="J342" t="inlineStr">
        <is>
          <t>Part Time</t>
        </is>
      </c>
      <c r="K342" s="23" t="inlineStr">
        <is>
          <t>11/22/2021</t>
        </is>
      </c>
      <c r="L342" s="23" t="inlineStr">
        <is>
          <t>11/22/2021</t>
        </is>
      </c>
      <c r="O342" t="n">
        <v>38</v>
      </c>
    </row>
    <row r="343">
      <c r="A343" t="n">
        <v>20888</v>
      </c>
      <c r="C343" t="inlineStr">
        <is>
          <t>NSW-QLD</t>
        </is>
      </c>
      <c r="D343" t="inlineStr">
        <is>
          <t>Virtus Health</t>
        </is>
      </c>
      <c r="E343" t="inlineStr">
        <is>
          <t>Registered Nurse</t>
        </is>
      </c>
      <c r="F343" t="inlineStr">
        <is>
          <t>11/22/2021</t>
        </is>
      </c>
      <c r="H343" t="inlineStr">
        <is>
          <t>IVFN2021</t>
        </is>
      </c>
      <c r="I343" t="inlineStr">
        <is>
          <t>NSW</t>
        </is>
      </c>
      <c r="J343" t="inlineStr">
        <is>
          <t>Part Time</t>
        </is>
      </c>
      <c r="K343" s="23" t="inlineStr">
        <is>
          <t>11/22/2021</t>
        </is>
      </c>
      <c r="L343" s="23" t="inlineStr">
        <is>
          <t>11/22/2021</t>
        </is>
      </c>
      <c r="O343" t="n">
        <v>28.5</v>
      </c>
    </row>
    <row r="344">
      <c r="A344" t="n">
        <v>20892</v>
      </c>
      <c r="B344" s="1" t="n"/>
      <c r="C344" t="inlineStr">
        <is>
          <t>NSW-QLD</t>
        </is>
      </c>
      <c r="D344" t="inlineStr">
        <is>
          <t>Virtus Health</t>
        </is>
      </c>
      <c r="E344" t="inlineStr">
        <is>
          <t>Registered Nurse</t>
        </is>
      </c>
      <c r="F344" s="1" t="n">
        <v>44621</v>
      </c>
      <c r="H344" t="inlineStr">
        <is>
          <t>IVFN2021</t>
        </is>
      </c>
      <c r="I344" t="inlineStr">
        <is>
          <t>NSW</t>
        </is>
      </c>
      <c r="J344" t="inlineStr">
        <is>
          <t>Full Time</t>
        </is>
      </c>
      <c r="K344" s="23" t="n">
        <v>44621</v>
      </c>
      <c r="L344" s="23" t="n">
        <v>44621</v>
      </c>
      <c r="O344" t="n">
        <v>38</v>
      </c>
    </row>
    <row r="345">
      <c r="A345" t="n">
        <v>20893</v>
      </c>
      <c r="B345" s="1" t="n"/>
      <c r="C345" t="inlineStr">
        <is>
          <t>NSW-QLD</t>
        </is>
      </c>
      <c r="D345" t="inlineStr">
        <is>
          <t>Virtus Health</t>
        </is>
      </c>
      <c r="E345" t="inlineStr">
        <is>
          <t>Marketing Specialist</t>
        </is>
      </c>
      <c r="F345" s="1" t="n">
        <v>44359</v>
      </c>
      <c r="H345" t="inlineStr">
        <is>
          <t>NSW</t>
        </is>
      </c>
      <c r="I345" t="inlineStr">
        <is>
          <t>NSW</t>
        </is>
      </c>
      <c r="J345" t="inlineStr">
        <is>
          <t>Full Time</t>
        </is>
      </c>
      <c r="K345" s="23" t="n">
        <v>44359</v>
      </c>
      <c r="L345" s="23" t="n">
        <v>44359</v>
      </c>
      <c r="O345" t="n">
        <v>28.5</v>
      </c>
    </row>
    <row r="346">
      <c r="A346" t="n">
        <v>20896</v>
      </c>
      <c r="C346" t="inlineStr">
        <is>
          <t>NSW-QLD</t>
        </is>
      </c>
      <c r="D346" t="inlineStr">
        <is>
          <t>Virtus Health</t>
        </is>
      </c>
      <c r="E346" t="inlineStr">
        <is>
          <t>Nurse Coordinator</t>
        </is>
      </c>
      <c r="F346" t="inlineStr">
        <is>
          <t>12/13/2021</t>
        </is>
      </c>
      <c r="H346" t="inlineStr">
        <is>
          <t>IVFN2021</t>
        </is>
      </c>
      <c r="I346" t="inlineStr">
        <is>
          <t>NSW</t>
        </is>
      </c>
      <c r="J346" t="inlineStr">
        <is>
          <t>Part Time</t>
        </is>
      </c>
      <c r="K346" s="23" t="inlineStr">
        <is>
          <t>12/13/2021</t>
        </is>
      </c>
      <c r="L346" s="23" t="inlineStr">
        <is>
          <t>12/13/2021</t>
        </is>
      </c>
      <c r="O346" t="n">
        <v>38</v>
      </c>
    </row>
    <row r="347">
      <c r="A347" t="n">
        <v>20897</v>
      </c>
      <c r="B347" s="1" t="n"/>
      <c r="C347" t="inlineStr">
        <is>
          <t>NSW-QLD</t>
        </is>
      </c>
      <c r="D347" t="inlineStr">
        <is>
          <t>Virtus Health</t>
        </is>
      </c>
      <c r="E347" t="inlineStr">
        <is>
          <t>Registered Nurse</t>
        </is>
      </c>
      <c r="F347" s="1" t="n">
        <v>44835</v>
      </c>
      <c r="H347" t="inlineStr">
        <is>
          <t>IVFN2021</t>
        </is>
      </c>
      <c r="I347" t="inlineStr">
        <is>
          <t>NSW</t>
        </is>
      </c>
      <c r="J347" t="inlineStr">
        <is>
          <t>Full Time</t>
        </is>
      </c>
      <c r="K347" s="23" t="n">
        <v>44835</v>
      </c>
      <c r="L347" s="23" t="n">
        <v>44835</v>
      </c>
      <c r="O347" t="n">
        <v>38</v>
      </c>
    </row>
    <row r="348">
      <c r="A348" t="n">
        <v>20905</v>
      </c>
      <c r="C348" t="inlineStr">
        <is>
          <t>NSW-QLD</t>
        </is>
      </c>
      <c r="D348" t="inlineStr">
        <is>
          <t>Virtus Health</t>
        </is>
      </c>
      <c r="E348" t="inlineStr">
        <is>
          <t xml:space="preserve">Practice Manager </t>
        </is>
      </c>
      <c r="F348" t="inlineStr">
        <is>
          <t>1/31/2022</t>
        </is>
      </c>
      <c r="H348" t="inlineStr">
        <is>
          <t>IVFS2023</t>
        </is>
      </c>
      <c r="I348" t="inlineStr">
        <is>
          <t>NSW</t>
        </is>
      </c>
      <c r="J348" t="inlineStr">
        <is>
          <t>Full Time</t>
        </is>
      </c>
      <c r="K348" s="23" t="inlineStr">
        <is>
          <t>1/31/2022</t>
        </is>
      </c>
      <c r="L348" s="23" t="inlineStr">
        <is>
          <t>1/31/2022</t>
        </is>
      </c>
      <c r="O348" t="n">
        <v>38</v>
      </c>
    </row>
    <row r="349">
      <c r="A349" t="n">
        <v>20914</v>
      </c>
      <c r="C349" t="inlineStr">
        <is>
          <t>NSW-QLD</t>
        </is>
      </c>
      <c r="D349" t="inlineStr">
        <is>
          <t>Virtus Health</t>
        </is>
      </c>
      <c r="E349" t="inlineStr">
        <is>
          <t>Registered Nurse</t>
        </is>
      </c>
      <c r="F349" t="inlineStr">
        <is>
          <t>2/28/2022</t>
        </is>
      </c>
      <c r="H349" t="inlineStr">
        <is>
          <t>IVFN2021</t>
        </is>
      </c>
      <c r="I349" t="inlineStr">
        <is>
          <t>NSW</t>
        </is>
      </c>
      <c r="J349" t="inlineStr">
        <is>
          <t>Part Time</t>
        </is>
      </c>
      <c r="K349" s="23" t="inlineStr">
        <is>
          <t>2/28/2022</t>
        </is>
      </c>
      <c r="L349" s="23" t="inlineStr">
        <is>
          <t>2/28/2022</t>
        </is>
      </c>
      <c r="O349" t="n">
        <v>22.8</v>
      </c>
    </row>
    <row r="350">
      <c r="A350" t="n">
        <v>20917</v>
      </c>
      <c r="C350" t="inlineStr">
        <is>
          <t>NSW-QLD</t>
        </is>
      </c>
      <c r="D350" t="inlineStr">
        <is>
          <t>Virtus Health</t>
        </is>
      </c>
      <c r="E350" t="inlineStr">
        <is>
          <t>VSDH Quality and Operational Support Manager</t>
        </is>
      </c>
      <c r="F350" t="inlineStr">
        <is>
          <t>3/25/2013</t>
        </is>
      </c>
      <c r="H350" t="inlineStr">
        <is>
          <t>NSW</t>
        </is>
      </c>
      <c r="I350" t="inlineStr">
        <is>
          <t>NSW</t>
        </is>
      </c>
      <c r="J350" t="inlineStr">
        <is>
          <t>Full Time</t>
        </is>
      </c>
      <c r="K350" s="23" t="inlineStr">
        <is>
          <t>3/25/2013</t>
        </is>
      </c>
      <c r="L350" s="23" t="inlineStr">
        <is>
          <t>3/25/2013</t>
        </is>
      </c>
      <c r="O350" t="n">
        <v>38</v>
      </c>
    </row>
    <row r="351">
      <c r="A351" t="n">
        <v>20918</v>
      </c>
      <c r="C351" t="inlineStr">
        <is>
          <t>NSW-QLD</t>
        </is>
      </c>
      <c r="D351" t="inlineStr">
        <is>
          <t>Virtus Health</t>
        </is>
      </c>
      <c r="E351" t="inlineStr">
        <is>
          <t>Embryologist</t>
        </is>
      </c>
      <c r="F351" t="inlineStr">
        <is>
          <t>3/21/2022</t>
        </is>
      </c>
      <c r="H351" t="inlineStr">
        <is>
          <t>IVFT2024</t>
        </is>
      </c>
      <c r="I351" t="inlineStr">
        <is>
          <t>NSW</t>
        </is>
      </c>
      <c r="J351" t="inlineStr">
        <is>
          <t>Full Time</t>
        </is>
      </c>
      <c r="K351" s="23" t="inlineStr">
        <is>
          <t>3/21/2022</t>
        </is>
      </c>
      <c r="L351" s="23" t="inlineStr">
        <is>
          <t>3/21/2022</t>
        </is>
      </c>
      <c r="O351" t="n">
        <v>38</v>
      </c>
    </row>
    <row r="352">
      <c r="A352" t="n">
        <v>20921</v>
      </c>
      <c r="B352" s="1" t="n"/>
      <c r="C352" t="inlineStr">
        <is>
          <t>NSW-QLD</t>
        </is>
      </c>
      <c r="D352" t="inlineStr">
        <is>
          <t>Virtus Health</t>
        </is>
      </c>
      <c r="E352" t="inlineStr">
        <is>
          <t>Registered Nurse</t>
        </is>
      </c>
      <c r="F352" s="1" t="n">
        <v>44655</v>
      </c>
      <c r="H352" t="inlineStr">
        <is>
          <t>IVFN2021</t>
        </is>
      </c>
      <c r="I352" t="inlineStr">
        <is>
          <t>NSW</t>
        </is>
      </c>
      <c r="J352" t="inlineStr">
        <is>
          <t>Full Time</t>
        </is>
      </c>
      <c r="K352" s="23" t="n">
        <v>44655</v>
      </c>
      <c r="L352" s="23" t="n">
        <v>44655</v>
      </c>
      <c r="O352" t="n">
        <v>38</v>
      </c>
    </row>
    <row r="353">
      <c r="A353" t="n">
        <v>20925</v>
      </c>
      <c r="C353" t="inlineStr">
        <is>
          <t>NSW-QLD</t>
        </is>
      </c>
      <c r="D353" t="inlineStr">
        <is>
          <t>Virtus Health</t>
        </is>
      </c>
      <c r="E353" t="inlineStr">
        <is>
          <t xml:space="preserve">Senior Administration Officer and Facilities </t>
        </is>
      </c>
      <c r="F353" t="inlineStr">
        <is>
          <t>4/19/2022</t>
        </is>
      </c>
      <c r="H353" t="inlineStr">
        <is>
          <t>IVFS2023</t>
        </is>
      </c>
      <c r="I353" t="inlineStr">
        <is>
          <t>NSW</t>
        </is>
      </c>
      <c r="J353" t="inlineStr">
        <is>
          <t>Full Time</t>
        </is>
      </c>
      <c r="K353" s="23" t="inlineStr">
        <is>
          <t>4/19/2022</t>
        </is>
      </c>
      <c r="L353" s="23" t="inlineStr">
        <is>
          <t>4/19/2022</t>
        </is>
      </c>
      <c r="O353" t="n">
        <v>19</v>
      </c>
    </row>
    <row r="354">
      <c r="A354" t="n">
        <v>20926</v>
      </c>
      <c r="C354" t="inlineStr">
        <is>
          <t>NSW-QLD</t>
        </is>
      </c>
      <c r="D354" t="inlineStr">
        <is>
          <t>Virtus Health</t>
        </is>
      </c>
      <c r="E354" t="inlineStr">
        <is>
          <t>Embryologist</t>
        </is>
      </c>
      <c r="F354" t="inlineStr">
        <is>
          <t>4/26/2022</t>
        </is>
      </c>
      <c r="H354" t="inlineStr">
        <is>
          <t>IVFT2024</t>
        </is>
      </c>
      <c r="I354" t="inlineStr">
        <is>
          <t>NSW</t>
        </is>
      </c>
      <c r="J354" t="inlineStr">
        <is>
          <t>Full Time</t>
        </is>
      </c>
      <c r="K354" s="23" t="inlineStr">
        <is>
          <t>4/26/2022</t>
        </is>
      </c>
      <c r="L354" s="23" t="inlineStr">
        <is>
          <t>4/26/2022</t>
        </is>
      </c>
      <c r="O354" t="n">
        <v>30</v>
      </c>
    </row>
    <row r="355">
      <c r="A355" t="n">
        <v>20927</v>
      </c>
      <c r="C355" t="inlineStr">
        <is>
          <t>NSW-QLD</t>
        </is>
      </c>
      <c r="D355" t="inlineStr">
        <is>
          <t>Virtus Health</t>
        </is>
      </c>
      <c r="E355" t="inlineStr">
        <is>
          <t>Embryologist</t>
        </is>
      </c>
      <c r="F355" t="inlineStr">
        <is>
          <t>4/28/2022</t>
        </is>
      </c>
      <c r="H355" t="inlineStr">
        <is>
          <t>IVFT2024</t>
        </is>
      </c>
      <c r="I355" t="inlineStr">
        <is>
          <t>NSW</t>
        </is>
      </c>
      <c r="J355" t="inlineStr">
        <is>
          <t>Full Time</t>
        </is>
      </c>
      <c r="K355" s="23" t="inlineStr">
        <is>
          <t>4/28/2022</t>
        </is>
      </c>
      <c r="L355" s="23" t="inlineStr">
        <is>
          <t>4/28/2022</t>
        </is>
      </c>
      <c r="O355" t="n">
        <v>8</v>
      </c>
    </row>
    <row r="356">
      <c r="A356" t="n">
        <v>20933</v>
      </c>
      <c r="B356" s="1" t="n"/>
      <c r="C356" t="inlineStr">
        <is>
          <t>NSW-QLD</t>
        </is>
      </c>
      <c r="D356" t="inlineStr">
        <is>
          <t>Virtus Health</t>
        </is>
      </c>
      <c r="E356" t="inlineStr">
        <is>
          <t>Donor Team Leader</t>
        </is>
      </c>
      <c r="F356" s="1" t="n">
        <v>44809</v>
      </c>
      <c r="H356" t="inlineStr">
        <is>
          <t>IVFS2023</t>
        </is>
      </c>
      <c r="I356" t="inlineStr">
        <is>
          <t>NSW</t>
        </is>
      </c>
      <c r="J356" t="inlineStr">
        <is>
          <t>Full Time</t>
        </is>
      </c>
      <c r="K356" s="23" t="n">
        <v>44809</v>
      </c>
      <c r="L356" s="23" t="n">
        <v>44809</v>
      </c>
      <c r="O356" t="n">
        <v>38</v>
      </c>
    </row>
    <row r="357">
      <c r="A357" t="n">
        <v>20935</v>
      </c>
      <c r="C357" t="inlineStr">
        <is>
          <t>NSW-QLD</t>
        </is>
      </c>
      <c r="D357" t="inlineStr">
        <is>
          <t>Virtus Health</t>
        </is>
      </c>
      <c r="E357" t="inlineStr">
        <is>
          <t>Geneticist</t>
        </is>
      </c>
      <c r="F357" t="inlineStr">
        <is>
          <t>5/19/2022</t>
        </is>
      </c>
      <c r="H357" t="inlineStr">
        <is>
          <t>NSW</t>
        </is>
      </c>
      <c r="I357" t="inlineStr">
        <is>
          <t>NSW</t>
        </is>
      </c>
      <c r="J357" t="inlineStr">
        <is>
          <t>Casual</t>
        </is>
      </c>
      <c r="K357" s="23" t="inlineStr">
        <is>
          <t>5/19/2022</t>
        </is>
      </c>
      <c r="L357" s="23" t="inlineStr">
        <is>
          <t>5/19/2022</t>
        </is>
      </c>
      <c r="O357" t="n">
        <v>38</v>
      </c>
    </row>
    <row r="358">
      <c r="A358" t="n">
        <v>20936</v>
      </c>
      <c r="B358" s="1" t="n"/>
      <c r="C358" t="inlineStr">
        <is>
          <t>NSW-QLD</t>
        </is>
      </c>
      <c r="D358" t="inlineStr">
        <is>
          <t>Virtus Health</t>
        </is>
      </c>
      <c r="E358" t="inlineStr">
        <is>
          <t>Counsellor</t>
        </is>
      </c>
      <c r="F358" s="1" t="n">
        <v>44839</v>
      </c>
      <c r="H358" t="inlineStr">
        <is>
          <t>IVFC2022</t>
        </is>
      </c>
      <c r="I358" t="inlineStr">
        <is>
          <t>NSW</t>
        </is>
      </c>
      <c r="J358" t="inlineStr">
        <is>
          <t>Full Time</t>
        </is>
      </c>
      <c r="K358" s="23" t="n">
        <v>44839</v>
      </c>
      <c r="L358" s="23" t="n">
        <v>44839</v>
      </c>
      <c r="O358" t="n">
        <v>30</v>
      </c>
    </row>
    <row r="359">
      <c r="A359" t="n">
        <v>20939</v>
      </c>
      <c r="B359" s="1" t="n"/>
      <c r="C359" t="inlineStr">
        <is>
          <t>NSW-QLD</t>
        </is>
      </c>
      <c r="D359" t="inlineStr">
        <is>
          <t>Virtus Health</t>
        </is>
      </c>
      <c r="E359" t="inlineStr">
        <is>
          <t>Clinical Nurse Specialist</t>
        </is>
      </c>
      <c r="F359" t="inlineStr">
        <is>
          <t>6/13/2022</t>
        </is>
      </c>
      <c r="H359" t="inlineStr">
        <is>
          <t>IVFN2021</t>
        </is>
      </c>
      <c r="I359" t="inlineStr">
        <is>
          <t>NSW</t>
        </is>
      </c>
      <c r="J359" t="inlineStr">
        <is>
          <t>Full Time</t>
        </is>
      </c>
      <c r="K359" s="23" t="inlineStr">
        <is>
          <t>6/13/2022</t>
        </is>
      </c>
      <c r="L359" s="23" t="inlineStr">
        <is>
          <t>6/13/2022</t>
        </is>
      </c>
      <c r="O359" t="n">
        <v>38</v>
      </c>
    </row>
    <row r="360">
      <c r="A360" t="n">
        <v>30003</v>
      </c>
      <c r="C360" t="inlineStr">
        <is>
          <t>NSW-QLD</t>
        </is>
      </c>
      <c r="D360" t="inlineStr">
        <is>
          <t>Virtus Health</t>
        </is>
      </c>
      <c r="E360" t="inlineStr">
        <is>
          <t>Administration Clerk</t>
        </is>
      </c>
      <c r="F360" t="inlineStr">
        <is>
          <t>4/20/2009</t>
        </is>
      </c>
      <c r="H360" t="inlineStr">
        <is>
          <t>IVFS2023</t>
        </is>
      </c>
      <c r="I360" t="inlineStr">
        <is>
          <t>NSW</t>
        </is>
      </c>
      <c r="J360" t="inlineStr">
        <is>
          <t>Full Time</t>
        </is>
      </c>
      <c r="K360" s="23" t="inlineStr">
        <is>
          <t>4/20/2009</t>
        </is>
      </c>
      <c r="L360" s="23" t="inlineStr">
        <is>
          <t>4/20/2009</t>
        </is>
      </c>
      <c r="O360" t="n">
        <v>38</v>
      </c>
    </row>
    <row r="361">
      <c r="A361" t="n">
        <v>30006</v>
      </c>
      <c r="C361" t="inlineStr">
        <is>
          <t>NSW-QLD</t>
        </is>
      </c>
      <c r="D361" t="inlineStr">
        <is>
          <t>Virtus Health</t>
        </is>
      </c>
      <c r="E361" t="inlineStr">
        <is>
          <t>Administration Clerk</t>
        </is>
      </c>
      <c r="F361" t="inlineStr">
        <is>
          <t>2/20/2008</t>
        </is>
      </c>
      <c r="H361" t="inlineStr">
        <is>
          <t>IVFS2023</t>
        </is>
      </c>
      <c r="I361" t="inlineStr">
        <is>
          <t>NSW</t>
        </is>
      </c>
      <c r="J361" t="inlineStr">
        <is>
          <t>Part Time</t>
        </is>
      </c>
      <c r="K361" s="23" t="inlineStr">
        <is>
          <t>2/20/2008</t>
        </is>
      </c>
      <c r="L361" s="23" t="inlineStr">
        <is>
          <t>2/20/2008</t>
        </is>
      </c>
      <c r="O361" t="n">
        <v>12</v>
      </c>
    </row>
    <row r="362">
      <c r="A362" t="n">
        <v>30017</v>
      </c>
      <c r="C362" t="inlineStr">
        <is>
          <t>NSW-QLD</t>
        </is>
      </c>
      <c r="D362" t="inlineStr">
        <is>
          <t>Virtus Health</t>
        </is>
      </c>
      <c r="E362" t="inlineStr">
        <is>
          <t>Registered Nurse</t>
        </is>
      </c>
      <c r="F362" t="inlineStr">
        <is>
          <t>5/25/2009</t>
        </is>
      </c>
      <c r="H362" t="inlineStr">
        <is>
          <t>IVFN2021</t>
        </is>
      </c>
      <c r="I362" t="inlineStr">
        <is>
          <t>NSW</t>
        </is>
      </c>
      <c r="J362" t="inlineStr">
        <is>
          <t>Part Time</t>
        </is>
      </c>
      <c r="K362" s="23" t="inlineStr">
        <is>
          <t>5/25/2009</t>
        </is>
      </c>
      <c r="L362" s="23" t="inlineStr">
        <is>
          <t>5/25/2009</t>
        </is>
      </c>
      <c r="O362" t="n">
        <v>4</v>
      </c>
    </row>
    <row r="363">
      <c r="A363" t="n">
        <v>30020</v>
      </c>
      <c r="C363" t="inlineStr">
        <is>
          <t>NSW-QLD</t>
        </is>
      </c>
      <c r="D363" t="inlineStr">
        <is>
          <t>Virtus Health</t>
        </is>
      </c>
      <c r="E363" t="inlineStr">
        <is>
          <t>Registered Nurse</t>
        </is>
      </c>
      <c r="F363" t="inlineStr">
        <is>
          <t>7/15/2009</t>
        </is>
      </c>
      <c r="H363" t="inlineStr">
        <is>
          <t>IVFN2021</t>
        </is>
      </c>
      <c r="I363" t="inlineStr">
        <is>
          <t>NSW</t>
        </is>
      </c>
      <c r="J363" t="inlineStr">
        <is>
          <t>Part Time</t>
        </is>
      </c>
      <c r="K363" s="23" t="inlineStr">
        <is>
          <t>7/15/2009</t>
        </is>
      </c>
      <c r="L363" s="23" t="inlineStr">
        <is>
          <t>7/15/2009</t>
        </is>
      </c>
      <c r="O363" t="n">
        <v>8</v>
      </c>
    </row>
    <row r="364">
      <c r="A364" t="n">
        <v>30021</v>
      </c>
      <c r="B364" s="1" t="n"/>
      <c r="C364" t="inlineStr">
        <is>
          <t>NSW-QLD</t>
        </is>
      </c>
      <c r="D364" t="inlineStr">
        <is>
          <t>Virtus Health</t>
        </is>
      </c>
      <c r="E364" t="inlineStr">
        <is>
          <t>Registered Nurse</t>
        </is>
      </c>
      <c r="F364" s="1" t="n">
        <v>40057</v>
      </c>
      <c r="H364" t="inlineStr">
        <is>
          <t>IVFN2021</t>
        </is>
      </c>
      <c r="I364" t="inlineStr">
        <is>
          <t>NSW</t>
        </is>
      </c>
      <c r="J364" t="inlineStr">
        <is>
          <t>Part Time</t>
        </is>
      </c>
      <c r="K364" s="23" t="n">
        <v>40057</v>
      </c>
      <c r="L364" s="23" t="n">
        <v>40057</v>
      </c>
      <c r="O364" t="n">
        <v>19</v>
      </c>
    </row>
    <row r="365">
      <c r="A365" t="n">
        <v>30024</v>
      </c>
      <c r="C365" t="inlineStr">
        <is>
          <t>NSW-QLD</t>
        </is>
      </c>
      <c r="D365" t="inlineStr">
        <is>
          <t>Virtus Health</t>
        </is>
      </c>
      <c r="E365" t="inlineStr">
        <is>
          <t>Registered Nurse</t>
        </is>
      </c>
      <c r="F365" t="inlineStr">
        <is>
          <t>6/16/2008</t>
        </is>
      </c>
      <c r="H365" t="inlineStr">
        <is>
          <t>IVFN2021</t>
        </is>
      </c>
      <c r="I365" t="inlineStr">
        <is>
          <t>NSW</t>
        </is>
      </c>
      <c r="J365" t="inlineStr">
        <is>
          <t>Part Time</t>
        </is>
      </c>
      <c r="K365" s="23" t="inlineStr">
        <is>
          <t>6/16/2008</t>
        </is>
      </c>
      <c r="L365" s="23" t="inlineStr">
        <is>
          <t>6/16/2008</t>
        </is>
      </c>
      <c r="O365" t="n">
        <v>12</v>
      </c>
    </row>
    <row r="366">
      <c r="A366" t="n">
        <v>30052</v>
      </c>
      <c r="C366" t="inlineStr">
        <is>
          <t>NSW-QLD</t>
        </is>
      </c>
      <c r="D366" t="inlineStr">
        <is>
          <t>Virtus Health</t>
        </is>
      </c>
      <c r="E366" t="inlineStr">
        <is>
          <t>Registered Nurse</t>
        </is>
      </c>
      <c r="F366" t="inlineStr">
        <is>
          <t>9/23/2010</t>
        </is>
      </c>
      <c r="H366" t="inlineStr">
        <is>
          <t>IVFN2021</t>
        </is>
      </c>
      <c r="I366" t="inlineStr">
        <is>
          <t>NSW</t>
        </is>
      </c>
      <c r="J366" t="inlineStr">
        <is>
          <t>Casual</t>
        </is>
      </c>
      <c r="K366" s="23" t="inlineStr">
        <is>
          <t>9/23/2010</t>
        </is>
      </c>
      <c r="L366" s="23" t="inlineStr">
        <is>
          <t>9/23/2010</t>
        </is>
      </c>
      <c r="O366" t="n">
        <v>38</v>
      </c>
    </row>
    <row r="367">
      <c r="A367" t="n">
        <v>30076</v>
      </c>
      <c r="C367" t="inlineStr">
        <is>
          <t>NSW-QLD</t>
        </is>
      </c>
      <c r="D367" t="inlineStr">
        <is>
          <t>Virtus Health</t>
        </is>
      </c>
      <c r="E367" t="inlineStr">
        <is>
          <t>Administration Clerk</t>
        </is>
      </c>
      <c r="F367" t="inlineStr">
        <is>
          <t>9/14/2011</t>
        </is>
      </c>
      <c r="H367" t="inlineStr">
        <is>
          <t>IVFS2023</t>
        </is>
      </c>
      <c r="I367" t="inlineStr">
        <is>
          <t>NSW</t>
        </is>
      </c>
      <c r="J367" t="inlineStr">
        <is>
          <t>Casual</t>
        </is>
      </c>
      <c r="K367" s="23" t="inlineStr">
        <is>
          <t>9/14/2011</t>
        </is>
      </c>
      <c r="L367" s="23" t="inlineStr">
        <is>
          <t>9/14/2011</t>
        </is>
      </c>
      <c r="O367" t="n">
        <v>38</v>
      </c>
    </row>
    <row r="368">
      <c r="A368" t="n">
        <v>30078</v>
      </c>
      <c r="C368" t="inlineStr">
        <is>
          <t>NSW-QLD</t>
        </is>
      </c>
      <c r="D368" t="inlineStr">
        <is>
          <t>Virtus Health</t>
        </is>
      </c>
      <c r="E368" t="inlineStr">
        <is>
          <t>Registered Nurse</t>
        </is>
      </c>
      <c r="F368" t="inlineStr">
        <is>
          <t>10/17/2011</t>
        </is>
      </c>
      <c r="H368" t="inlineStr">
        <is>
          <t>IVFN2021</t>
        </is>
      </c>
      <c r="I368" t="inlineStr">
        <is>
          <t>NSW</t>
        </is>
      </c>
      <c r="J368" t="inlineStr">
        <is>
          <t>Part Time</t>
        </is>
      </c>
      <c r="K368" s="23" t="inlineStr">
        <is>
          <t>10/17/2011</t>
        </is>
      </c>
      <c r="L368" s="23" t="inlineStr">
        <is>
          <t>10/17/2011</t>
        </is>
      </c>
      <c r="O368" t="n">
        <v>16</v>
      </c>
    </row>
    <row r="369">
      <c r="A369" t="n">
        <v>30101</v>
      </c>
      <c r="B369" s="1" t="n"/>
      <c r="C369" t="inlineStr">
        <is>
          <t>NSW-QLD</t>
        </is>
      </c>
      <c r="D369" t="inlineStr">
        <is>
          <t>Virtus Health</t>
        </is>
      </c>
      <c r="E369" t="inlineStr">
        <is>
          <t>Registered Nurse</t>
        </is>
      </c>
      <c r="F369" s="1" t="n">
        <v>40916</v>
      </c>
      <c r="H369" t="inlineStr">
        <is>
          <t>IVFN2021</t>
        </is>
      </c>
      <c r="I369" t="inlineStr">
        <is>
          <t>NSW</t>
        </is>
      </c>
      <c r="J369" t="inlineStr">
        <is>
          <t>Casual</t>
        </is>
      </c>
      <c r="K369" s="23" t="n">
        <v>40916</v>
      </c>
      <c r="L369" s="23" t="n">
        <v>40916</v>
      </c>
      <c r="O369" t="n">
        <v>38</v>
      </c>
    </row>
    <row r="370">
      <c r="A370" t="n">
        <v>30132</v>
      </c>
      <c r="C370" t="inlineStr">
        <is>
          <t>NSW-QLD</t>
        </is>
      </c>
      <c r="D370" t="inlineStr">
        <is>
          <t>Virtus Health</t>
        </is>
      </c>
      <c r="E370" t="inlineStr">
        <is>
          <t>Registered Nurse</t>
        </is>
      </c>
      <c r="F370" t="inlineStr">
        <is>
          <t>11/21/2014</t>
        </is>
      </c>
      <c r="H370" t="inlineStr">
        <is>
          <t>IVFN2021</t>
        </is>
      </c>
      <c r="I370" t="inlineStr">
        <is>
          <t>NSW</t>
        </is>
      </c>
      <c r="J370" t="inlineStr">
        <is>
          <t>Casual</t>
        </is>
      </c>
      <c r="K370" s="23" t="inlineStr">
        <is>
          <t>11/21/2014</t>
        </is>
      </c>
      <c r="L370" s="23" t="inlineStr">
        <is>
          <t>11/21/2014</t>
        </is>
      </c>
      <c r="O370" t="n">
        <v>38</v>
      </c>
    </row>
    <row r="371">
      <c r="A371" t="n">
        <v>30139</v>
      </c>
      <c r="C371" t="inlineStr">
        <is>
          <t>NSW-QLD</t>
        </is>
      </c>
      <c r="D371" t="inlineStr">
        <is>
          <t>Virtus Health</t>
        </is>
      </c>
      <c r="E371" t="inlineStr">
        <is>
          <t>Registered Nurse</t>
        </is>
      </c>
      <c r="F371" t="inlineStr">
        <is>
          <t>6/26/2015</t>
        </is>
      </c>
      <c r="H371" t="inlineStr">
        <is>
          <t>IVFN2021</t>
        </is>
      </c>
      <c r="I371" t="inlineStr">
        <is>
          <t>NSW</t>
        </is>
      </c>
      <c r="J371" t="inlineStr">
        <is>
          <t>Casual</t>
        </is>
      </c>
      <c r="K371" s="23" t="inlineStr">
        <is>
          <t>6/26/2015</t>
        </is>
      </c>
      <c r="L371" s="23" t="inlineStr">
        <is>
          <t>6/26/2015</t>
        </is>
      </c>
      <c r="O371" t="n">
        <v>38</v>
      </c>
    </row>
    <row r="372">
      <c r="A372" t="n">
        <v>30168</v>
      </c>
      <c r="B372" s="1" t="n"/>
      <c r="C372" t="inlineStr">
        <is>
          <t>NSW-QLD</t>
        </is>
      </c>
      <c r="D372" t="inlineStr">
        <is>
          <t>Virtus Health</t>
        </is>
      </c>
      <c r="E372" t="inlineStr">
        <is>
          <t>Registered Nurse</t>
        </is>
      </c>
      <c r="F372" s="1" t="n">
        <v>43347</v>
      </c>
      <c r="H372" t="inlineStr">
        <is>
          <t>IVFN2021</t>
        </is>
      </c>
      <c r="I372" t="inlineStr">
        <is>
          <t>NSW</t>
        </is>
      </c>
      <c r="J372" t="inlineStr">
        <is>
          <t>Part Time</t>
        </is>
      </c>
      <c r="K372" s="23" t="n">
        <v>43347</v>
      </c>
      <c r="L372" s="23" t="n">
        <v>43347</v>
      </c>
      <c r="O372" t="n">
        <v>38</v>
      </c>
    </row>
    <row r="373">
      <c r="A373" t="n">
        <v>30171</v>
      </c>
      <c r="C373" t="inlineStr">
        <is>
          <t>NSW-QLD</t>
        </is>
      </c>
      <c r="D373" t="inlineStr">
        <is>
          <t>Virtus Health</t>
        </is>
      </c>
      <c r="E373" t="inlineStr">
        <is>
          <t>Theatre Orderly</t>
        </is>
      </c>
      <c r="F373" t="inlineStr">
        <is>
          <t>2/18/2019</t>
        </is>
      </c>
      <c r="H373" t="inlineStr">
        <is>
          <t>IVFS2023</t>
        </is>
      </c>
      <c r="I373" t="inlineStr">
        <is>
          <t>NSW</t>
        </is>
      </c>
      <c r="J373" t="inlineStr">
        <is>
          <t>Casual</t>
        </is>
      </c>
      <c r="K373" s="23" t="inlineStr">
        <is>
          <t>2/18/2019</t>
        </is>
      </c>
      <c r="L373" s="23" t="inlineStr">
        <is>
          <t>2/18/2019</t>
        </is>
      </c>
      <c r="O373" t="n">
        <v>29.75</v>
      </c>
    </row>
    <row r="374">
      <c r="A374" t="n">
        <v>30323</v>
      </c>
      <c r="B374" s="1" t="n"/>
      <c r="C374" t="inlineStr">
        <is>
          <t>NSW-QLD</t>
        </is>
      </c>
      <c r="D374" t="inlineStr">
        <is>
          <t>Virtus Health</t>
        </is>
      </c>
      <c r="E374" t="inlineStr">
        <is>
          <t>CSSD Tech</t>
        </is>
      </c>
      <c r="F374" s="1" t="n">
        <v>42888</v>
      </c>
      <c r="H374" t="inlineStr">
        <is>
          <t>IVFS2023</t>
        </is>
      </c>
      <c r="I374" t="inlineStr">
        <is>
          <t>NSW</t>
        </is>
      </c>
      <c r="J374" t="inlineStr">
        <is>
          <t>Part Time</t>
        </is>
      </c>
      <c r="K374" s="23" t="n">
        <v>42888</v>
      </c>
      <c r="L374" s="23" t="n">
        <v>42888</v>
      </c>
      <c r="O374" t="n">
        <v>32</v>
      </c>
    </row>
    <row r="375">
      <c r="A375" t="n">
        <v>30334</v>
      </c>
      <c r="C375" t="inlineStr">
        <is>
          <t>NSW-QLD</t>
        </is>
      </c>
      <c r="D375" t="inlineStr">
        <is>
          <t>Virtus Health</t>
        </is>
      </c>
      <c r="E375" t="inlineStr">
        <is>
          <t>Registered Nurse</t>
        </is>
      </c>
      <c r="F375" t="inlineStr">
        <is>
          <t>1/15/2018</t>
        </is>
      </c>
      <c r="H375" t="inlineStr">
        <is>
          <t>IVFN2021</t>
        </is>
      </c>
      <c r="I375" t="inlineStr">
        <is>
          <t>NSW</t>
        </is>
      </c>
      <c r="J375" t="inlineStr">
        <is>
          <t>Part Time</t>
        </is>
      </c>
      <c r="K375" s="23" t="inlineStr">
        <is>
          <t>1/15/2018</t>
        </is>
      </c>
      <c r="L375" s="23" t="inlineStr">
        <is>
          <t>1/15/2018</t>
        </is>
      </c>
      <c r="O375" t="n">
        <v>38</v>
      </c>
    </row>
    <row r="376">
      <c r="A376" t="n">
        <v>30349</v>
      </c>
      <c r="B376" s="1" t="n"/>
      <c r="C376" t="inlineStr">
        <is>
          <t>NSW-QLD</t>
        </is>
      </c>
      <c r="D376" t="inlineStr">
        <is>
          <t>Virtus Health</t>
        </is>
      </c>
      <c r="E376" t="inlineStr">
        <is>
          <t>Registered Nurse</t>
        </is>
      </c>
      <c r="F376" s="1" t="n">
        <v>43593</v>
      </c>
      <c r="H376" t="inlineStr">
        <is>
          <t>IVFN2021</t>
        </is>
      </c>
      <c r="I376" t="inlineStr">
        <is>
          <t>NSW</t>
        </is>
      </c>
      <c r="J376" t="inlineStr">
        <is>
          <t>Part Time</t>
        </is>
      </c>
      <c r="K376" s="23" t="n">
        <v>43593</v>
      </c>
      <c r="L376" s="23" t="n">
        <v>43593</v>
      </c>
      <c r="O376" t="n">
        <v>19</v>
      </c>
    </row>
    <row r="377">
      <c r="A377" t="n">
        <v>30353</v>
      </c>
      <c r="B377" s="1" t="n"/>
      <c r="C377" t="inlineStr">
        <is>
          <t>NSW-QLD</t>
        </is>
      </c>
      <c r="D377" t="inlineStr">
        <is>
          <t>Virtus Health</t>
        </is>
      </c>
      <c r="E377" t="inlineStr">
        <is>
          <t>CSSD Tech</t>
        </is>
      </c>
      <c r="F377" s="1" t="n">
        <v>43566</v>
      </c>
      <c r="H377" t="inlineStr">
        <is>
          <t>IVFS2023</t>
        </is>
      </c>
      <c r="I377" t="inlineStr">
        <is>
          <t>NSW</t>
        </is>
      </c>
      <c r="J377" t="inlineStr">
        <is>
          <t>Full Time</t>
        </is>
      </c>
      <c r="K377" s="23" t="n">
        <v>43566</v>
      </c>
      <c r="L377" s="23" t="n">
        <v>43566</v>
      </c>
      <c r="O377" t="n">
        <v>38</v>
      </c>
    </row>
    <row r="378">
      <c r="A378" t="n">
        <v>30356</v>
      </c>
      <c r="B378" s="1" t="n"/>
      <c r="C378" t="inlineStr">
        <is>
          <t>NSW-QLD</t>
        </is>
      </c>
      <c r="D378" t="inlineStr">
        <is>
          <t>Virtus Health</t>
        </is>
      </c>
      <c r="E378" t="inlineStr">
        <is>
          <t>Registered Nurse</t>
        </is>
      </c>
      <c r="F378" s="1" t="n">
        <v>44167</v>
      </c>
      <c r="H378" t="inlineStr">
        <is>
          <t>IVFN2021</t>
        </is>
      </c>
      <c r="I378" t="inlineStr">
        <is>
          <t>NSW</t>
        </is>
      </c>
      <c r="J378" t="inlineStr">
        <is>
          <t>Casual</t>
        </is>
      </c>
      <c r="K378" s="23" t="n">
        <v>44167</v>
      </c>
      <c r="L378" s="23" t="n">
        <v>44167</v>
      </c>
      <c r="O378" t="n">
        <v>7</v>
      </c>
    </row>
    <row r="379">
      <c r="A379" t="n">
        <v>30359</v>
      </c>
      <c r="C379" t="inlineStr">
        <is>
          <t>NSW-QLD</t>
        </is>
      </c>
      <c r="D379" t="inlineStr">
        <is>
          <t>Virtus Health</t>
        </is>
      </c>
      <c r="E379" t="inlineStr">
        <is>
          <t>Registered Nurse</t>
        </is>
      </c>
      <c r="F379" t="inlineStr">
        <is>
          <t>9/22/2020</t>
        </is>
      </c>
      <c r="H379" t="inlineStr">
        <is>
          <t>IVFN2021</t>
        </is>
      </c>
      <c r="I379" t="inlineStr">
        <is>
          <t>NSW</t>
        </is>
      </c>
      <c r="J379" t="inlineStr">
        <is>
          <t>Casual</t>
        </is>
      </c>
      <c r="K379" s="23" t="inlineStr">
        <is>
          <t>9/22/2020</t>
        </is>
      </c>
      <c r="L379" s="23" t="inlineStr">
        <is>
          <t>9/22/2020</t>
        </is>
      </c>
      <c r="O379" t="n">
        <v>30.4</v>
      </c>
    </row>
    <row r="380">
      <c r="A380" t="n">
        <v>30360</v>
      </c>
      <c r="B380" s="1" t="n"/>
      <c r="C380" t="inlineStr">
        <is>
          <t>NSW-QLD</t>
        </is>
      </c>
      <c r="D380" t="inlineStr">
        <is>
          <t>Virtus Health</t>
        </is>
      </c>
      <c r="E380" t="inlineStr">
        <is>
          <t>Registered Nurse</t>
        </is>
      </c>
      <c r="F380" s="1" t="n">
        <v>43961</v>
      </c>
      <c r="H380" t="inlineStr">
        <is>
          <t>IVFN2021</t>
        </is>
      </c>
      <c r="I380" t="inlineStr">
        <is>
          <t>NSW</t>
        </is>
      </c>
      <c r="J380" t="inlineStr">
        <is>
          <t>Casual</t>
        </is>
      </c>
      <c r="K380" s="23" t="n">
        <v>43961</v>
      </c>
      <c r="L380" s="23" t="n">
        <v>43961</v>
      </c>
      <c r="O380" t="n">
        <v>38</v>
      </c>
    </row>
    <row r="381">
      <c r="A381" t="n">
        <v>30361</v>
      </c>
      <c r="C381" t="inlineStr">
        <is>
          <t>NSW-QLD</t>
        </is>
      </c>
      <c r="D381" t="inlineStr">
        <is>
          <t>Virtus Health</t>
        </is>
      </c>
      <c r="E381" t="inlineStr">
        <is>
          <t>Administration Team Leader</t>
        </is>
      </c>
      <c r="F381" t="inlineStr">
        <is>
          <t>6/17/2020</t>
        </is>
      </c>
      <c r="H381" t="inlineStr">
        <is>
          <t>IVFS2023</t>
        </is>
      </c>
      <c r="I381" t="inlineStr">
        <is>
          <t>NSW</t>
        </is>
      </c>
      <c r="J381" t="inlineStr">
        <is>
          <t>Full Time</t>
        </is>
      </c>
      <c r="K381" s="23" t="inlineStr">
        <is>
          <t>6/17/2020</t>
        </is>
      </c>
      <c r="L381" s="23" t="inlineStr">
        <is>
          <t>6/17/2020</t>
        </is>
      </c>
      <c r="O381" t="n">
        <v>38</v>
      </c>
    </row>
    <row r="382">
      <c r="A382" t="n">
        <v>30363</v>
      </c>
      <c r="B382" s="1" t="n"/>
      <c r="C382" t="inlineStr">
        <is>
          <t>NSW-QLD</t>
        </is>
      </c>
      <c r="D382" t="inlineStr">
        <is>
          <t>Virtus Health</t>
        </is>
      </c>
      <c r="E382" t="inlineStr">
        <is>
          <t>Registered Nurse</t>
        </is>
      </c>
      <c r="F382" s="1" t="n">
        <v>43933</v>
      </c>
      <c r="H382" t="inlineStr">
        <is>
          <t>IVFN2021</t>
        </is>
      </c>
      <c r="I382" t="inlineStr">
        <is>
          <t>NSW</t>
        </is>
      </c>
      <c r="J382" t="inlineStr">
        <is>
          <t>Casual</t>
        </is>
      </c>
      <c r="K382" s="23" t="n">
        <v>43933</v>
      </c>
      <c r="L382" s="23" t="n">
        <v>43933</v>
      </c>
      <c r="O382" t="n">
        <v>22</v>
      </c>
    </row>
    <row r="383">
      <c r="A383" t="n">
        <v>30369</v>
      </c>
      <c r="B383" s="1" t="n"/>
      <c r="C383" t="inlineStr">
        <is>
          <t>NSW-QLD</t>
        </is>
      </c>
      <c r="D383" t="inlineStr">
        <is>
          <t>Virtus Health</t>
        </is>
      </c>
      <c r="E383" t="inlineStr">
        <is>
          <t>Registered Nurse</t>
        </is>
      </c>
      <c r="F383" s="1" t="n">
        <v>44321</v>
      </c>
      <c r="H383" t="inlineStr">
        <is>
          <t>IVFN2021</t>
        </is>
      </c>
      <c r="I383" t="inlineStr">
        <is>
          <t>NSW</t>
        </is>
      </c>
      <c r="J383" t="inlineStr">
        <is>
          <t>Casual</t>
        </is>
      </c>
      <c r="K383" s="23" t="n">
        <v>44321</v>
      </c>
      <c r="L383" s="23" t="n">
        <v>44321</v>
      </c>
      <c r="O383" t="n">
        <v>25.5</v>
      </c>
    </row>
    <row r="384">
      <c r="A384" t="n">
        <v>30371</v>
      </c>
      <c r="B384" s="1" t="n"/>
      <c r="C384" t="inlineStr">
        <is>
          <t>NSW-QLD</t>
        </is>
      </c>
      <c r="D384" t="inlineStr">
        <is>
          <t>Virtus Health</t>
        </is>
      </c>
      <c r="E384" t="inlineStr">
        <is>
          <t>Registered Nurse</t>
        </is>
      </c>
      <c r="F384" s="1" t="n">
        <v>44263</v>
      </c>
      <c r="H384" t="inlineStr">
        <is>
          <t>IVFN2021</t>
        </is>
      </c>
      <c r="I384" t="inlineStr">
        <is>
          <t>NSW</t>
        </is>
      </c>
      <c r="J384" t="inlineStr">
        <is>
          <t>Part Time</t>
        </is>
      </c>
      <c r="K384" s="23" t="n">
        <v>44263</v>
      </c>
      <c r="L384" s="23" t="n">
        <v>44263</v>
      </c>
      <c r="O384" t="n">
        <v>32</v>
      </c>
    </row>
    <row r="385">
      <c r="A385" t="n">
        <v>30372</v>
      </c>
      <c r="B385" s="1" t="n"/>
      <c r="C385" t="inlineStr">
        <is>
          <t>NSW-QLD</t>
        </is>
      </c>
      <c r="D385" t="inlineStr">
        <is>
          <t>Virtus Health</t>
        </is>
      </c>
      <c r="E385" t="inlineStr">
        <is>
          <t>Registered Nurse</t>
        </is>
      </c>
      <c r="F385" s="1" t="n">
        <v>44447</v>
      </c>
      <c r="H385" t="inlineStr">
        <is>
          <t>IVFN2021</t>
        </is>
      </c>
      <c r="I385" t="inlineStr">
        <is>
          <t>NSW</t>
        </is>
      </c>
      <c r="J385" t="inlineStr">
        <is>
          <t>Casual</t>
        </is>
      </c>
      <c r="K385" s="23" t="n">
        <v>44447</v>
      </c>
      <c r="L385" s="23" t="n">
        <v>44447</v>
      </c>
      <c r="O385" t="n">
        <v>30.4</v>
      </c>
    </row>
    <row r="386">
      <c r="A386" t="n">
        <v>30378</v>
      </c>
      <c r="C386" t="inlineStr">
        <is>
          <t>NSW-QLD</t>
        </is>
      </c>
      <c r="D386" t="inlineStr">
        <is>
          <t>Virtus Health</t>
        </is>
      </c>
      <c r="E386" t="inlineStr">
        <is>
          <t>Registered Nurse</t>
        </is>
      </c>
      <c r="F386" t="inlineStr">
        <is>
          <t>2/16/2022</t>
        </is>
      </c>
      <c r="H386" t="inlineStr">
        <is>
          <t>IVFN2021</t>
        </is>
      </c>
      <c r="I386" t="inlineStr">
        <is>
          <t>NSW</t>
        </is>
      </c>
      <c r="J386" t="inlineStr">
        <is>
          <t>Part Time</t>
        </is>
      </c>
      <c r="K386" s="23" t="inlineStr">
        <is>
          <t>2/16/2022</t>
        </is>
      </c>
      <c r="L386" s="23" t="inlineStr">
        <is>
          <t>2/16/2022</t>
        </is>
      </c>
      <c r="O386" t="n">
        <v>22.25</v>
      </c>
    </row>
    <row r="387">
      <c r="A387" t="n">
        <v>30381</v>
      </c>
      <c r="C387" t="inlineStr">
        <is>
          <t>NSW-QLD</t>
        </is>
      </c>
      <c r="D387" t="inlineStr">
        <is>
          <t>Virtus Health</t>
        </is>
      </c>
      <c r="E387" t="inlineStr">
        <is>
          <t>Director of Nursing</t>
        </is>
      </c>
      <c r="F387" t="inlineStr">
        <is>
          <t>5/16/2022</t>
        </is>
      </c>
      <c r="H387" t="inlineStr">
        <is>
          <t>IVFN2021</t>
        </is>
      </c>
      <c r="I387" t="inlineStr">
        <is>
          <t>NSW</t>
        </is>
      </c>
      <c r="J387" t="inlineStr">
        <is>
          <t>Full Time</t>
        </is>
      </c>
      <c r="K387" s="23" t="inlineStr">
        <is>
          <t>5/16/2022</t>
        </is>
      </c>
      <c r="L387" s="23" t="inlineStr">
        <is>
          <t>5/16/2022</t>
        </is>
      </c>
      <c r="O387" t="n">
        <v>38</v>
      </c>
    </row>
    <row r="388">
      <c r="A388" t="n">
        <v>30382</v>
      </c>
      <c r="C388" t="inlineStr">
        <is>
          <t>NSW-QLD</t>
        </is>
      </c>
      <c r="D388" t="inlineStr">
        <is>
          <t>Virtus Health</t>
        </is>
      </c>
      <c r="E388" t="inlineStr">
        <is>
          <t>Registered Nurse</t>
        </is>
      </c>
      <c r="F388" t="inlineStr">
        <is>
          <t>5/30/2022</t>
        </is>
      </c>
      <c r="H388" t="inlineStr">
        <is>
          <t>IVFN2021</t>
        </is>
      </c>
      <c r="I388" t="inlineStr">
        <is>
          <t>NSW</t>
        </is>
      </c>
      <c r="J388" t="inlineStr">
        <is>
          <t>Full Time</t>
        </is>
      </c>
      <c r="K388" s="23" t="inlineStr">
        <is>
          <t>5/30/2022</t>
        </is>
      </c>
      <c r="L388" s="23" t="inlineStr">
        <is>
          <t>5/30/2022</t>
        </is>
      </c>
      <c r="O388" t="n">
        <v>28.5</v>
      </c>
    </row>
    <row r="389">
      <c r="A389" t="n">
        <v>40005</v>
      </c>
      <c r="C389" t="inlineStr">
        <is>
          <t>NSW-QLD</t>
        </is>
      </c>
      <c r="D389" t="inlineStr">
        <is>
          <t>Virtus Health</t>
        </is>
      </c>
      <c r="E389" t="inlineStr">
        <is>
          <t>Administration Clerk</t>
        </is>
      </c>
      <c r="F389" t="inlineStr">
        <is>
          <t>11/21/2007</t>
        </is>
      </c>
      <c r="H389" t="inlineStr">
        <is>
          <t>IVFS2023</t>
        </is>
      </c>
      <c r="I389" t="inlineStr">
        <is>
          <t>NSW</t>
        </is>
      </c>
      <c r="J389" t="inlineStr">
        <is>
          <t>Part Time</t>
        </is>
      </c>
      <c r="K389" s="23" t="inlineStr">
        <is>
          <t>11/21/2007</t>
        </is>
      </c>
      <c r="L389" s="23" t="inlineStr">
        <is>
          <t>11/21/2007</t>
        </is>
      </c>
      <c r="O389" t="n">
        <v>38</v>
      </c>
    </row>
    <row r="390">
      <c r="A390" t="n">
        <v>40007</v>
      </c>
      <c r="B390" s="1" t="n"/>
      <c r="C390" t="inlineStr">
        <is>
          <t>NSW-QLD</t>
        </is>
      </c>
      <c r="D390" t="inlineStr">
        <is>
          <t>Virtus Health</t>
        </is>
      </c>
      <c r="E390" t="inlineStr">
        <is>
          <t>Registered Nurse</t>
        </is>
      </c>
      <c r="F390" s="1" t="n">
        <v>39063</v>
      </c>
      <c r="H390" t="inlineStr">
        <is>
          <t>IVFN2021</t>
        </is>
      </c>
      <c r="I390" t="inlineStr">
        <is>
          <t>NSW</t>
        </is>
      </c>
      <c r="J390" t="inlineStr">
        <is>
          <t>Part Time</t>
        </is>
      </c>
      <c r="K390" s="23" t="n">
        <v>39063</v>
      </c>
      <c r="L390" s="23" t="n">
        <v>39063</v>
      </c>
      <c r="O390" t="n">
        <v>20</v>
      </c>
    </row>
    <row r="391">
      <c r="A391" t="n">
        <v>40013</v>
      </c>
      <c r="C391" t="inlineStr">
        <is>
          <t>NSW-QLD</t>
        </is>
      </c>
      <c r="D391" t="inlineStr">
        <is>
          <t>Virtus Health</t>
        </is>
      </c>
      <c r="E391" t="inlineStr">
        <is>
          <t>Registered Nurse</t>
        </is>
      </c>
      <c r="F391" t="inlineStr">
        <is>
          <t>6/16/2001</t>
        </is>
      </c>
      <c r="H391" t="inlineStr">
        <is>
          <t>IVFN2021</t>
        </is>
      </c>
      <c r="I391" t="inlineStr">
        <is>
          <t>NSW</t>
        </is>
      </c>
      <c r="J391" t="inlineStr">
        <is>
          <t>Casual</t>
        </is>
      </c>
      <c r="K391" s="23" t="inlineStr">
        <is>
          <t>6/16/2001</t>
        </is>
      </c>
      <c r="L391" s="23" t="inlineStr">
        <is>
          <t>6/16/2001</t>
        </is>
      </c>
      <c r="O391" t="n">
        <v>38</v>
      </c>
    </row>
    <row r="392">
      <c r="A392" t="n">
        <v>40020</v>
      </c>
      <c r="C392" t="inlineStr">
        <is>
          <t>NSW-QLD</t>
        </is>
      </c>
      <c r="D392" t="inlineStr">
        <is>
          <t>Virtus Health</t>
        </is>
      </c>
      <c r="E392" t="inlineStr">
        <is>
          <t>Enrolled Nurse</t>
        </is>
      </c>
      <c r="F392" t="inlineStr">
        <is>
          <t>5/23/2000</t>
        </is>
      </c>
      <c r="H392" t="inlineStr">
        <is>
          <t>IVFN2021</t>
        </is>
      </c>
      <c r="I392" t="inlineStr">
        <is>
          <t>NSW</t>
        </is>
      </c>
      <c r="J392" t="inlineStr">
        <is>
          <t>Part Time</t>
        </is>
      </c>
      <c r="K392" s="23" t="inlineStr">
        <is>
          <t>5/23/2000</t>
        </is>
      </c>
      <c r="L392" s="23" t="inlineStr">
        <is>
          <t>5/23/2000</t>
        </is>
      </c>
      <c r="O392" t="n">
        <v>38</v>
      </c>
    </row>
    <row r="393">
      <c r="A393" t="n">
        <v>40020</v>
      </c>
      <c r="C393" t="inlineStr">
        <is>
          <t>NSW-QLD</t>
        </is>
      </c>
      <c r="D393" t="inlineStr">
        <is>
          <t>Virtus Health</t>
        </is>
      </c>
      <c r="E393" t="inlineStr">
        <is>
          <t>Enrolled Nurse</t>
        </is>
      </c>
      <c r="F393" t="inlineStr">
        <is>
          <t>12/18/2023</t>
        </is>
      </c>
      <c r="G393" t="inlineStr">
        <is>
          <t>8/31/2025</t>
        </is>
      </c>
      <c r="H393" t="inlineStr">
        <is>
          <t>IVFN2021</t>
        </is>
      </c>
      <c r="I393" t="inlineStr">
        <is>
          <t>NSW</t>
        </is>
      </c>
      <c r="J393" t="inlineStr">
        <is>
          <t>Part Time</t>
        </is>
      </c>
      <c r="K393" s="23" t="inlineStr">
        <is>
          <t>5/23/2000</t>
        </is>
      </c>
      <c r="L393" s="23" t="inlineStr">
        <is>
          <t>5/23/2000</t>
        </is>
      </c>
      <c r="O393" t="n">
        <v>28</v>
      </c>
    </row>
    <row r="394">
      <c r="A394" t="n">
        <v>40020</v>
      </c>
      <c r="C394" t="inlineStr">
        <is>
          <t>NSW-QLD</t>
        </is>
      </c>
      <c r="D394" t="inlineStr">
        <is>
          <t>Virtus Health</t>
        </is>
      </c>
      <c r="E394" t="inlineStr">
        <is>
          <t>Enrolled Nurse</t>
        </is>
      </c>
      <c r="F394" s="1" t="n">
        <v>45666</v>
      </c>
      <c r="H394" t="inlineStr">
        <is>
          <t>IVFN2021</t>
        </is>
      </c>
      <c r="I394" t="inlineStr">
        <is>
          <t>NSW</t>
        </is>
      </c>
      <c r="J394" t="inlineStr">
        <is>
          <t>Part Time</t>
        </is>
      </c>
      <c r="K394" s="23" t="inlineStr">
        <is>
          <t>5/23/2000</t>
        </is>
      </c>
      <c r="L394" s="23" t="inlineStr">
        <is>
          <t>5/23/2000</t>
        </is>
      </c>
      <c r="O394" t="n">
        <v>18</v>
      </c>
    </row>
    <row r="395">
      <c r="A395" t="n">
        <v>40029</v>
      </c>
      <c r="C395" t="inlineStr">
        <is>
          <t>NSW-QLD</t>
        </is>
      </c>
      <c r="D395" t="inlineStr">
        <is>
          <t>Virtus Health</t>
        </is>
      </c>
      <c r="E395" t="inlineStr">
        <is>
          <t>Registered Nurse</t>
        </is>
      </c>
      <c r="F395" t="inlineStr">
        <is>
          <t>5/23/2011</t>
        </is>
      </c>
      <c r="H395" t="inlineStr">
        <is>
          <t>IVFN2021</t>
        </is>
      </c>
      <c r="I395" t="inlineStr">
        <is>
          <t>NSW</t>
        </is>
      </c>
      <c r="J395" t="inlineStr">
        <is>
          <t>Full Time</t>
        </is>
      </c>
      <c r="K395" s="23" t="inlineStr">
        <is>
          <t>5/23/2011</t>
        </is>
      </c>
      <c r="L395" s="23" t="inlineStr">
        <is>
          <t>5/23/2011</t>
        </is>
      </c>
      <c r="O395" t="n">
        <v>38</v>
      </c>
    </row>
    <row r="396">
      <c r="A396" t="n">
        <v>40036</v>
      </c>
      <c r="B396" s="1" t="n"/>
      <c r="C396" t="inlineStr">
        <is>
          <t>NSW-QLD</t>
        </is>
      </c>
      <c r="D396" t="inlineStr">
        <is>
          <t>Virtus Health</t>
        </is>
      </c>
      <c r="E396" t="inlineStr">
        <is>
          <t>Administration Team Leader</t>
        </is>
      </c>
      <c r="F396" s="1" t="n">
        <v>40586</v>
      </c>
      <c r="H396" t="inlineStr">
        <is>
          <t>IVFS2023</t>
        </is>
      </c>
      <c r="I396" t="inlineStr">
        <is>
          <t>NSW</t>
        </is>
      </c>
      <c r="J396" t="inlineStr">
        <is>
          <t>Full Time</t>
        </is>
      </c>
      <c r="K396" s="23" t="n">
        <v>40586</v>
      </c>
      <c r="L396" s="23" t="n">
        <v>40586</v>
      </c>
      <c r="O396" t="n">
        <v>7.6</v>
      </c>
    </row>
    <row r="397">
      <c r="A397" t="n">
        <v>40040</v>
      </c>
      <c r="B397" s="1" t="n"/>
      <c r="C397" t="inlineStr">
        <is>
          <t>NSW-QLD</t>
        </is>
      </c>
      <c r="D397" t="inlineStr">
        <is>
          <t>Virtus Health</t>
        </is>
      </c>
      <c r="E397" t="inlineStr">
        <is>
          <t>Registered Nurse</t>
        </is>
      </c>
      <c r="F397" s="1" t="n">
        <v>40911</v>
      </c>
      <c r="H397" t="inlineStr">
        <is>
          <t>IVFN2021</t>
        </is>
      </c>
      <c r="I397" t="inlineStr">
        <is>
          <t>NSW</t>
        </is>
      </c>
      <c r="J397" t="inlineStr">
        <is>
          <t>Full Time</t>
        </is>
      </c>
      <c r="K397" s="23" t="n">
        <v>40911</v>
      </c>
      <c r="L397" s="23" t="n">
        <v>40911</v>
      </c>
      <c r="O397" t="n">
        <v>38</v>
      </c>
    </row>
    <row r="398">
      <c r="A398" t="n">
        <v>40047</v>
      </c>
      <c r="C398" t="inlineStr">
        <is>
          <t>NSW-QLD</t>
        </is>
      </c>
      <c r="D398" t="inlineStr">
        <is>
          <t>Virtus Health</t>
        </is>
      </c>
      <c r="E398" t="inlineStr">
        <is>
          <t>Administration Clerk</t>
        </is>
      </c>
      <c r="F398" t="inlineStr">
        <is>
          <t>9/27/2012</t>
        </is>
      </c>
      <c r="H398" t="inlineStr">
        <is>
          <t>IVFS2023</t>
        </is>
      </c>
      <c r="I398" t="inlineStr">
        <is>
          <t>NSW</t>
        </is>
      </c>
      <c r="J398" t="inlineStr">
        <is>
          <t>Part Time</t>
        </is>
      </c>
      <c r="K398" s="23" t="inlineStr">
        <is>
          <t>9/27/2012</t>
        </is>
      </c>
      <c r="L398" s="23" t="inlineStr">
        <is>
          <t>9/27/2012</t>
        </is>
      </c>
      <c r="O398" t="n">
        <v>28.5</v>
      </c>
    </row>
    <row r="399">
      <c r="A399" t="n">
        <v>40050</v>
      </c>
      <c r="C399" t="inlineStr">
        <is>
          <t>NSW-QLD</t>
        </is>
      </c>
      <c r="D399" t="inlineStr">
        <is>
          <t>Virtus Health</t>
        </is>
      </c>
      <c r="E399" t="inlineStr">
        <is>
          <t>Enrolled Nurse</t>
        </is>
      </c>
      <c r="F399" t="inlineStr">
        <is>
          <t>2/27/2013</t>
        </is>
      </c>
      <c r="H399" t="inlineStr">
        <is>
          <t>IVFN2021</t>
        </is>
      </c>
      <c r="I399" t="inlineStr">
        <is>
          <t>NSW</t>
        </is>
      </c>
      <c r="J399" t="inlineStr">
        <is>
          <t>Casual</t>
        </is>
      </c>
      <c r="K399" s="23" t="inlineStr">
        <is>
          <t>2/27/2013</t>
        </is>
      </c>
      <c r="L399" s="23" t="inlineStr">
        <is>
          <t>2/27/2013</t>
        </is>
      </c>
      <c r="O399" t="n">
        <v>38</v>
      </c>
    </row>
    <row r="400">
      <c r="A400" t="n">
        <v>40056</v>
      </c>
      <c r="B400" s="1" t="n"/>
      <c r="C400" t="inlineStr">
        <is>
          <t>NSW-QLD</t>
        </is>
      </c>
      <c r="D400" t="inlineStr">
        <is>
          <t>Virtus Health</t>
        </is>
      </c>
      <c r="E400" t="inlineStr">
        <is>
          <t>Administration Clerk</t>
        </is>
      </c>
      <c r="F400" s="1" t="n">
        <v>41463</v>
      </c>
      <c r="H400" t="inlineStr">
        <is>
          <t>IVFS2023</t>
        </is>
      </c>
      <c r="I400" t="inlineStr">
        <is>
          <t>NSW</t>
        </is>
      </c>
      <c r="J400" t="inlineStr">
        <is>
          <t>Casual</t>
        </is>
      </c>
      <c r="K400" s="23" t="n">
        <v>41463</v>
      </c>
      <c r="L400" s="23" t="n">
        <v>41463</v>
      </c>
      <c r="O400" t="n">
        <v>22.8</v>
      </c>
    </row>
    <row r="401">
      <c r="A401" t="n">
        <v>40064</v>
      </c>
      <c r="C401" t="inlineStr">
        <is>
          <t>NSW-QLD</t>
        </is>
      </c>
      <c r="D401" t="inlineStr">
        <is>
          <t>Virtus Health</t>
        </is>
      </c>
      <c r="E401" t="inlineStr">
        <is>
          <t>Registered Nurse</t>
        </is>
      </c>
      <c r="F401" t="inlineStr">
        <is>
          <t>7/21/2014</t>
        </is>
      </c>
      <c r="H401" t="inlineStr">
        <is>
          <t>IVFN2021</t>
        </is>
      </c>
      <c r="I401" t="inlineStr">
        <is>
          <t>NSW</t>
        </is>
      </c>
      <c r="J401" t="inlineStr">
        <is>
          <t>Part Time</t>
        </is>
      </c>
      <c r="K401" s="23" t="inlineStr">
        <is>
          <t>7/21/2014</t>
        </is>
      </c>
      <c r="L401" s="23" t="inlineStr">
        <is>
          <t>7/21/2014</t>
        </is>
      </c>
      <c r="O401" t="n">
        <v>24</v>
      </c>
    </row>
    <row r="402">
      <c r="A402" t="n">
        <v>40079</v>
      </c>
      <c r="B402" s="1" t="n"/>
      <c r="C402" t="inlineStr">
        <is>
          <t>NSW-QLD</t>
        </is>
      </c>
      <c r="D402" t="inlineStr">
        <is>
          <t>Virtus Health</t>
        </is>
      </c>
      <c r="E402" t="inlineStr">
        <is>
          <t>CSSD Tech</t>
        </is>
      </c>
      <c r="F402" s="1" t="n">
        <v>42316</v>
      </c>
      <c r="H402" t="inlineStr">
        <is>
          <t>IVFS2023</t>
        </is>
      </c>
      <c r="I402" t="inlineStr">
        <is>
          <t>NSW</t>
        </is>
      </c>
      <c r="J402" t="inlineStr">
        <is>
          <t>Full Time</t>
        </is>
      </c>
      <c r="K402" s="23" t="n">
        <v>42316</v>
      </c>
      <c r="L402" s="23" t="n">
        <v>42316</v>
      </c>
      <c r="O402" t="n">
        <v>38</v>
      </c>
    </row>
    <row r="403">
      <c r="A403" t="n">
        <v>40100</v>
      </c>
      <c r="B403" s="1" t="n"/>
      <c r="C403" t="inlineStr">
        <is>
          <t>NSW-QLD</t>
        </is>
      </c>
      <c r="D403" t="inlineStr">
        <is>
          <t>Virtus Health</t>
        </is>
      </c>
      <c r="E403" t="inlineStr">
        <is>
          <t>Unit Nurse Manager</t>
        </is>
      </c>
      <c r="F403" s="1" t="n">
        <v>43286</v>
      </c>
      <c r="H403" t="inlineStr">
        <is>
          <t>IVFN2021</t>
        </is>
      </c>
      <c r="I403" t="inlineStr">
        <is>
          <t>NSW</t>
        </is>
      </c>
      <c r="J403" t="inlineStr">
        <is>
          <t>Full Time</t>
        </is>
      </c>
      <c r="K403" s="23" t="n">
        <v>43286</v>
      </c>
      <c r="L403" s="23" t="n">
        <v>43286</v>
      </c>
      <c r="O403" t="n">
        <v>38</v>
      </c>
    </row>
    <row r="404">
      <c r="A404" t="n">
        <v>40107</v>
      </c>
      <c r="B404" s="1" t="n"/>
      <c r="C404" t="inlineStr">
        <is>
          <t>NSW-QLD</t>
        </is>
      </c>
      <c r="D404" t="inlineStr">
        <is>
          <t>Virtus Health</t>
        </is>
      </c>
      <c r="E404" t="inlineStr">
        <is>
          <t>Registered Nurse</t>
        </is>
      </c>
      <c r="F404" s="1" t="n">
        <v>43771</v>
      </c>
      <c r="H404" t="inlineStr">
        <is>
          <t>IVFN2021</t>
        </is>
      </c>
      <c r="I404" t="inlineStr">
        <is>
          <t>NSW</t>
        </is>
      </c>
      <c r="J404" t="inlineStr">
        <is>
          <t>Full Time</t>
        </is>
      </c>
      <c r="K404" s="23" t="n">
        <v>43771</v>
      </c>
      <c r="L404" s="23" t="n">
        <v>43771</v>
      </c>
      <c r="O404" t="n">
        <v>38</v>
      </c>
    </row>
    <row r="405">
      <c r="A405" t="n">
        <v>40110</v>
      </c>
      <c r="B405" s="1" t="n"/>
      <c r="C405" t="inlineStr">
        <is>
          <t>NSW-QLD</t>
        </is>
      </c>
      <c r="D405" t="inlineStr">
        <is>
          <t>Virtus Health</t>
        </is>
      </c>
      <c r="E405" t="inlineStr">
        <is>
          <t>Registered Nurse</t>
        </is>
      </c>
      <c r="F405" s="1" t="n">
        <v>43681</v>
      </c>
      <c r="H405" t="inlineStr">
        <is>
          <t>IVFN2021</t>
        </is>
      </c>
      <c r="I405" t="inlineStr">
        <is>
          <t>NSW</t>
        </is>
      </c>
      <c r="J405" t="inlineStr">
        <is>
          <t>Part Time</t>
        </is>
      </c>
      <c r="K405" s="23" t="n">
        <v>43681</v>
      </c>
      <c r="L405" s="23" t="n">
        <v>43681</v>
      </c>
      <c r="O405" t="n">
        <v>38</v>
      </c>
    </row>
    <row r="406">
      <c r="A406" t="n">
        <v>40116</v>
      </c>
      <c r="B406" s="1" t="n"/>
      <c r="C406" t="inlineStr">
        <is>
          <t>NSW-QLD</t>
        </is>
      </c>
      <c r="D406" t="inlineStr">
        <is>
          <t>Virtus Health</t>
        </is>
      </c>
      <c r="E406" t="inlineStr">
        <is>
          <t>CSSD Tech</t>
        </is>
      </c>
      <c r="F406" s="1" t="n">
        <v>44077</v>
      </c>
      <c r="H406" t="inlineStr">
        <is>
          <t>IVFS2023</t>
        </is>
      </c>
      <c r="I406" t="inlineStr">
        <is>
          <t>NSW</t>
        </is>
      </c>
      <c r="J406" t="inlineStr">
        <is>
          <t>Part Time</t>
        </is>
      </c>
      <c r="K406" s="23" t="n">
        <v>44077</v>
      </c>
      <c r="L406" s="23" t="n">
        <v>44077</v>
      </c>
      <c r="O406" t="n">
        <v>38</v>
      </c>
    </row>
    <row r="407">
      <c r="A407" t="n">
        <v>40121</v>
      </c>
      <c r="C407" t="inlineStr">
        <is>
          <t>NSW-QLD</t>
        </is>
      </c>
      <c r="D407" t="inlineStr">
        <is>
          <t>Virtus Health</t>
        </is>
      </c>
      <c r="E407" t="inlineStr">
        <is>
          <t>Enrolled Nurse</t>
        </is>
      </c>
      <c r="F407" t="inlineStr">
        <is>
          <t>7/27/2020</t>
        </is>
      </c>
      <c r="H407" t="inlineStr">
        <is>
          <t>IVFN2021</t>
        </is>
      </c>
      <c r="I407" t="inlineStr">
        <is>
          <t>NSW</t>
        </is>
      </c>
      <c r="J407" t="inlineStr">
        <is>
          <t>Part Time</t>
        </is>
      </c>
      <c r="K407" s="23" t="inlineStr">
        <is>
          <t>7/27/2020</t>
        </is>
      </c>
      <c r="L407" s="23" t="inlineStr">
        <is>
          <t>7/27/2020</t>
        </is>
      </c>
      <c r="O407" t="n">
        <v>20</v>
      </c>
    </row>
    <row r="408">
      <c r="A408" t="n">
        <v>40137</v>
      </c>
      <c r="B408" s="1" t="n"/>
      <c r="C408" t="inlineStr">
        <is>
          <t>NSW-QLD</t>
        </is>
      </c>
      <c r="D408" t="inlineStr">
        <is>
          <t>Virtus Health</t>
        </is>
      </c>
      <c r="E408" t="inlineStr">
        <is>
          <t>Registered Nurse</t>
        </is>
      </c>
      <c r="F408" s="1" t="n">
        <v>44351</v>
      </c>
      <c r="H408" t="inlineStr">
        <is>
          <t>IVFN2021</t>
        </is>
      </c>
      <c r="I408" t="inlineStr">
        <is>
          <t>NSW</t>
        </is>
      </c>
      <c r="J408" t="inlineStr">
        <is>
          <t>Casual</t>
        </is>
      </c>
      <c r="K408" s="23" t="n">
        <v>44351</v>
      </c>
      <c r="L408" s="23" t="n">
        <v>44351</v>
      </c>
      <c r="O408" t="n">
        <v>38</v>
      </c>
    </row>
    <row r="409">
      <c r="A409" t="n">
        <v>40144</v>
      </c>
      <c r="C409" t="inlineStr">
        <is>
          <t>NSW-QLD</t>
        </is>
      </c>
      <c r="D409" t="inlineStr">
        <is>
          <t>Virtus Health</t>
        </is>
      </c>
      <c r="E409" t="inlineStr">
        <is>
          <t>Director of Nursing-City West and Liverpool</t>
        </is>
      </c>
      <c r="F409" t="inlineStr">
        <is>
          <t>9/29/2021</t>
        </is>
      </c>
      <c r="H409" t="inlineStr">
        <is>
          <t>IVFN2021</t>
        </is>
      </c>
      <c r="I409" t="inlineStr">
        <is>
          <t>NSW</t>
        </is>
      </c>
      <c r="J409" t="inlineStr">
        <is>
          <t>Full Time</t>
        </is>
      </c>
      <c r="K409" s="23" t="inlineStr">
        <is>
          <t>9/29/2021</t>
        </is>
      </c>
      <c r="L409" s="23" t="inlineStr">
        <is>
          <t>9/29/2021</t>
        </is>
      </c>
      <c r="O409" t="n">
        <v>38</v>
      </c>
    </row>
    <row r="410">
      <c r="A410" t="n">
        <v>40150</v>
      </c>
      <c r="C410" t="inlineStr">
        <is>
          <t>NSW-QLD</t>
        </is>
      </c>
      <c r="D410" t="inlineStr">
        <is>
          <t>Virtus Health</t>
        </is>
      </c>
      <c r="E410" t="inlineStr">
        <is>
          <t>Registered Nurse</t>
        </is>
      </c>
      <c r="F410" t="inlineStr">
        <is>
          <t>2/22/2022</t>
        </is>
      </c>
      <c r="H410" t="inlineStr">
        <is>
          <t>IVFN2021</t>
        </is>
      </c>
      <c r="I410" t="inlineStr">
        <is>
          <t>NSW</t>
        </is>
      </c>
      <c r="J410" t="inlineStr">
        <is>
          <t>Casual</t>
        </is>
      </c>
      <c r="K410" s="23" t="inlineStr">
        <is>
          <t>2/22/2022</t>
        </is>
      </c>
      <c r="L410" s="23" t="inlineStr">
        <is>
          <t>2/22/2022</t>
        </is>
      </c>
      <c r="O410" t="n">
        <v>38</v>
      </c>
    </row>
    <row r="411">
      <c r="A411" t="n">
        <v>40156</v>
      </c>
      <c r="B411" s="1" t="n"/>
      <c r="C411" t="inlineStr">
        <is>
          <t>NSW-QLD</t>
        </is>
      </c>
      <c r="D411" t="inlineStr">
        <is>
          <t>Virtus Health</t>
        </is>
      </c>
      <c r="E411" t="inlineStr">
        <is>
          <t>Registered Nurse</t>
        </is>
      </c>
      <c r="F411" s="1" t="n">
        <v>44899</v>
      </c>
      <c r="H411" t="inlineStr">
        <is>
          <t>IVFN2021</t>
        </is>
      </c>
      <c r="I411" t="inlineStr">
        <is>
          <t>NSW</t>
        </is>
      </c>
      <c r="J411" t="inlineStr">
        <is>
          <t>Part Time</t>
        </is>
      </c>
      <c r="K411" s="23" t="n">
        <v>44899</v>
      </c>
      <c r="L411" s="23" t="n">
        <v>44899</v>
      </c>
      <c r="O411" t="n">
        <v>38</v>
      </c>
    </row>
    <row r="412">
      <c r="A412" t="n">
        <v>40159</v>
      </c>
      <c r="B412" s="1" t="n"/>
      <c r="C412" t="inlineStr">
        <is>
          <t>NSW-QLD</t>
        </is>
      </c>
      <c r="D412" t="inlineStr">
        <is>
          <t>Virtus Health</t>
        </is>
      </c>
      <c r="E412" t="inlineStr">
        <is>
          <t>Registered Nurse</t>
        </is>
      </c>
      <c r="F412" s="1" t="n">
        <v>44809</v>
      </c>
      <c r="H412" t="inlineStr">
        <is>
          <t>IVFN2021</t>
        </is>
      </c>
      <c r="I412" t="inlineStr">
        <is>
          <t>NSW</t>
        </is>
      </c>
      <c r="J412" t="inlineStr">
        <is>
          <t>Casual</t>
        </is>
      </c>
      <c r="K412" s="23" t="n">
        <v>44809</v>
      </c>
      <c r="L412" s="23" t="n">
        <v>44809</v>
      </c>
      <c r="O412" t="n">
        <v>25.5</v>
      </c>
    </row>
    <row r="413">
      <c r="A413" t="n">
        <v>50003</v>
      </c>
      <c r="B413" s="1" t="n"/>
      <c r="C413" t="inlineStr">
        <is>
          <t>NSW-QLD</t>
        </is>
      </c>
      <c r="D413" t="inlineStr">
        <is>
          <t>Virtus Health</t>
        </is>
      </c>
      <c r="E413" t="inlineStr">
        <is>
          <t>Theatre Orderly</t>
        </is>
      </c>
      <c r="F413" s="1" t="n">
        <v>40459</v>
      </c>
      <c r="H413" t="inlineStr">
        <is>
          <t>IVFS2023</t>
        </is>
      </c>
      <c r="I413" t="inlineStr">
        <is>
          <t>NSW</t>
        </is>
      </c>
      <c r="J413" t="inlineStr">
        <is>
          <t>Part Time</t>
        </is>
      </c>
      <c r="K413" s="23" t="n">
        <v>40459</v>
      </c>
      <c r="L413" s="23" t="n">
        <v>40459</v>
      </c>
      <c r="O413" t="n">
        <v>15.2</v>
      </c>
    </row>
    <row r="414">
      <c r="A414" t="n">
        <v>50009</v>
      </c>
      <c r="B414" s="1" t="n"/>
      <c r="C414" t="inlineStr">
        <is>
          <t>NSW-QLD</t>
        </is>
      </c>
      <c r="D414" t="inlineStr">
        <is>
          <t>Virtus Health</t>
        </is>
      </c>
      <c r="E414" t="inlineStr">
        <is>
          <t>Patient Accounts Team Leader</t>
        </is>
      </c>
      <c r="F414" s="1" t="n">
        <v>39880</v>
      </c>
      <c r="H414" t="inlineStr">
        <is>
          <t>IVFS2023</t>
        </is>
      </c>
      <c r="I414" t="inlineStr">
        <is>
          <t>NSW</t>
        </is>
      </c>
      <c r="J414" t="inlineStr">
        <is>
          <t>Full Time</t>
        </is>
      </c>
      <c r="K414" s="23" t="n">
        <v>39880</v>
      </c>
      <c r="L414" s="23" t="n">
        <v>39880</v>
      </c>
      <c r="O414" t="n">
        <v>38</v>
      </c>
    </row>
    <row r="415">
      <c r="A415" t="n">
        <v>50027</v>
      </c>
      <c r="B415" s="1" t="n"/>
      <c r="C415" t="inlineStr">
        <is>
          <t>NSW-QLD</t>
        </is>
      </c>
      <c r="D415" t="inlineStr">
        <is>
          <t>Virtus Health</t>
        </is>
      </c>
      <c r="E415" t="inlineStr">
        <is>
          <t>Registered Nurse</t>
        </is>
      </c>
      <c r="F415" s="1" t="n">
        <v>39425</v>
      </c>
      <c r="H415" t="inlineStr">
        <is>
          <t>IVFN2021</t>
        </is>
      </c>
      <c r="I415" t="inlineStr">
        <is>
          <t>NSW</t>
        </is>
      </c>
      <c r="J415" t="inlineStr">
        <is>
          <t>Part Time</t>
        </is>
      </c>
      <c r="K415" s="23" t="n">
        <v>39425</v>
      </c>
      <c r="L415" s="23" t="n">
        <v>39425</v>
      </c>
      <c r="O415" t="n">
        <v>38</v>
      </c>
    </row>
    <row r="416">
      <c r="A416" t="n">
        <v>50077</v>
      </c>
      <c r="C416" t="inlineStr">
        <is>
          <t>NSW-QLD</t>
        </is>
      </c>
      <c r="D416" t="inlineStr">
        <is>
          <t>Virtus Health</t>
        </is>
      </c>
      <c r="E416" t="inlineStr">
        <is>
          <t>Registered Nurse</t>
        </is>
      </c>
      <c r="F416" t="inlineStr">
        <is>
          <t>7/31/2015</t>
        </is>
      </c>
      <c r="H416" t="inlineStr">
        <is>
          <t>IVFN2021</t>
        </is>
      </c>
      <c r="I416" t="inlineStr">
        <is>
          <t>NSW</t>
        </is>
      </c>
      <c r="J416" t="inlineStr">
        <is>
          <t>Casual</t>
        </is>
      </c>
      <c r="K416" s="23" t="inlineStr">
        <is>
          <t>7/31/2015</t>
        </is>
      </c>
      <c r="L416" s="23" t="inlineStr">
        <is>
          <t>7/31/2015</t>
        </is>
      </c>
      <c r="O416" t="n">
        <v>32</v>
      </c>
    </row>
    <row r="417">
      <c r="A417" t="n">
        <v>50080</v>
      </c>
      <c r="C417" t="inlineStr">
        <is>
          <t>NSW-QLD</t>
        </is>
      </c>
      <c r="D417" t="inlineStr">
        <is>
          <t>Virtus Health</t>
        </is>
      </c>
      <c r="E417" t="inlineStr">
        <is>
          <t>Administration Clerk</t>
        </is>
      </c>
      <c r="F417" t="inlineStr">
        <is>
          <t>10/26/2015</t>
        </is>
      </c>
      <c r="H417" t="inlineStr">
        <is>
          <t>IVFS2023</t>
        </is>
      </c>
      <c r="I417" t="inlineStr">
        <is>
          <t>NSW</t>
        </is>
      </c>
      <c r="J417" t="inlineStr">
        <is>
          <t>Part Time</t>
        </is>
      </c>
      <c r="K417" s="23" t="inlineStr">
        <is>
          <t>10/26/2015</t>
        </is>
      </c>
      <c r="L417" s="23" t="inlineStr">
        <is>
          <t>10/26/2015</t>
        </is>
      </c>
      <c r="O417" t="n">
        <v>38</v>
      </c>
    </row>
    <row r="418">
      <c r="A418" t="n">
        <v>50092</v>
      </c>
      <c r="C418" t="inlineStr">
        <is>
          <t>NSW-QLD</t>
        </is>
      </c>
      <c r="D418" t="inlineStr">
        <is>
          <t>Virtus Health</t>
        </is>
      </c>
      <c r="E418" t="inlineStr">
        <is>
          <t>Registered Nurse</t>
        </is>
      </c>
      <c r="F418" t="inlineStr">
        <is>
          <t>4/18/2016</t>
        </is>
      </c>
      <c r="H418" t="inlineStr">
        <is>
          <t>IVFN2021</t>
        </is>
      </c>
      <c r="I418" t="inlineStr">
        <is>
          <t>NSW</t>
        </is>
      </c>
      <c r="J418" t="inlineStr">
        <is>
          <t>Part Time</t>
        </is>
      </c>
      <c r="K418" s="23" t="inlineStr">
        <is>
          <t>4/18/2016</t>
        </is>
      </c>
      <c r="L418" s="23" t="inlineStr">
        <is>
          <t>4/18/2016</t>
        </is>
      </c>
      <c r="O418" t="n">
        <v>38</v>
      </c>
    </row>
    <row r="419">
      <c r="A419" t="n">
        <v>50115</v>
      </c>
      <c r="B419" s="1" t="n"/>
      <c r="C419" t="inlineStr">
        <is>
          <t>NSW-QLD</t>
        </is>
      </c>
      <c r="D419" t="inlineStr">
        <is>
          <t>Virtus Health</t>
        </is>
      </c>
      <c r="E419" t="inlineStr">
        <is>
          <t>Registered Nurse</t>
        </is>
      </c>
      <c r="F419" t="inlineStr">
        <is>
          <t>6/13/2018</t>
        </is>
      </c>
      <c r="H419" t="inlineStr">
        <is>
          <t>IVFN2021</t>
        </is>
      </c>
      <c r="I419" t="inlineStr">
        <is>
          <t>NSW</t>
        </is>
      </c>
      <c r="J419" t="inlineStr">
        <is>
          <t>Casual</t>
        </is>
      </c>
      <c r="K419" s="23" t="inlineStr">
        <is>
          <t>6/13/2018</t>
        </is>
      </c>
      <c r="L419" s="23" t="inlineStr">
        <is>
          <t>6/13/2018</t>
        </is>
      </c>
      <c r="O419" t="n">
        <v>38</v>
      </c>
    </row>
    <row r="420">
      <c r="A420" t="n">
        <v>50122</v>
      </c>
      <c r="C420" t="inlineStr">
        <is>
          <t>NSW-QLD</t>
        </is>
      </c>
      <c r="D420" t="inlineStr">
        <is>
          <t>Virtus Health</t>
        </is>
      </c>
      <c r="E420" t="inlineStr">
        <is>
          <t>Registered Nurse</t>
        </is>
      </c>
      <c r="F420" t="inlineStr">
        <is>
          <t>10/15/2018</t>
        </is>
      </c>
      <c r="H420" t="inlineStr">
        <is>
          <t>IVFN2021</t>
        </is>
      </c>
      <c r="I420" t="inlineStr">
        <is>
          <t>NSW</t>
        </is>
      </c>
      <c r="J420" t="inlineStr">
        <is>
          <t>Casual</t>
        </is>
      </c>
      <c r="K420" s="23" t="inlineStr">
        <is>
          <t>10/15/2018</t>
        </is>
      </c>
      <c r="L420" s="23" t="inlineStr">
        <is>
          <t>10/15/2018</t>
        </is>
      </c>
      <c r="O420" t="n">
        <v>22.8</v>
      </c>
    </row>
    <row r="421">
      <c r="A421" t="n">
        <v>50127</v>
      </c>
      <c r="B421" s="1" t="n"/>
      <c r="C421" t="inlineStr">
        <is>
          <t>NSW-QLD</t>
        </is>
      </c>
      <c r="D421" t="inlineStr">
        <is>
          <t>Virtus Health</t>
        </is>
      </c>
      <c r="E421" t="inlineStr">
        <is>
          <t>Registered Nurse</t>
        </is>
      </c>
      <c r="F421" s="1" t="n">
        <v>43558</v>
      </c>
      <c r="H421" t="inlineStr">
        <is>
          <t>IVFN2021</t>
        </is>
      </c>
      <c r="I421" t="inlineStr">
        <is>
          <t>NSW</t>
        </is>
      </c>
      <c r="J421" t="inlineStr">
        <is>
          <t>Casual</t>
        </is>
      </c>
      <c r="K421" s="23" t="n">
        <v>43558</v>
      </c>
      <c r="L421" s="23" t="n">
        <v>43558</v>
      </c>
      <c r="O421" t="n">
        <v>38</v>
      </c>
    </row>
    <row r="422">
      <c r="A422" t="n">
        <v>50139</v>
      </c>
      <c r="C422" t="inlineStr">
        <is>
          <t>NSW-QLD</t>
        </is>
      </c>
      <c r="D422" t="inlineStr">
        <is>
          <t>Virtus Health</t>
        </is>
      </c>
      <c r="E422" t="inlineStr">
        <is>
          <t>Registered Nurse</t>
        </is>
      </c>
      <c r="F422" t="inlineStr">
        <is>
          <t>6/24/2019</t>
        </is>
      </c>
      <c r="H422" t="inlineStr">
        <is>
          <t>IVFN2021</t>
        </is>
      </c>
      <c r="I422" t="inlineStr">
        <is>
          <t>NSW</t>
        </is>
      </c>
      <c r="J422" t="inlineStr">
        <is>
          <t>Casual</t>
        </is>
      </c>
      <c r="K422" s="23" t="inlineStr">
        <is>
          <t>6/24/2019</t>
        </is>
      </c>
      <c r="L422" s="23" t="inlineStr">
        <is>
          <t>6/24/2019</t>
        </is>
      </c>
      <c r="O422" t="n">
        <v>38</v>
      </c>
    </row>
    <row r="423">
      <c r="A423" t="n">
        <v>50140</v>
      </c>
      <c r="C423" t="inlineStr">
        <is>
          <t>NSW-QLD</t>
        </is>
      </c>
      <c r="D423" t="inlineStr">
        <is>
          <t>Virtus Health</t>
        </is>
      </c>
      <c r="E423" t="inlineStr">
        <is>
          <t>Registered Nurse</t>
        </is>
      </c>
      <c r="F423" t="inlineStr">
        <is>
          <t>6/24/2019</t>
        </is>
      </c>
      <c r="H423" t="inlineStr">
        <is>
          <t>IVFN2021</t>
        </is>
      </c>
      <c r="I423" t="inlineStr">
        <is>
          <t>NSW</t>
        </is>
      </c>
      <c r="J423" t="inlineStr">
        <is>
          <t>Part Time</t>
        </is>
      </c>
      <c r="K423" s="23" t="inlineStr">
        <is>
          <t>6/24/2019</t>
        </is>
      </c>
      <c r="L423" s="23" t="inlineStr">
        <is>
          <t>6/24/2019</t>
        </is>
      </c>
      <c r="O423" t="n">
        <v>38</v>
      </c>
    </row>
    <row r="424">
      <c r="A424" t="n">
        <v>50142</v>
      </c>
      <c r="C424" t="inlineStr">
        <is>
          <t>NSW-QLD</t>
        </is>
      </c>
      <c r="D424" t="inlineStr">
        <is>
          <t>Virtus Health</t>
        </is>
      </c>
      <c r="E424" t="inlineStr">
        <is>
          <t>Administration Clerk</t>
        </is>
      </c>
      <c r="F424" t="inlineStr">
        <is>
          <t>7/23/2019</t>
        </is>
      </c>
      <c r="H424" t="inlineStr">
        <is>
          <t>IVFS2023</t>
        </is>
      </c>
      <c r="I424" t="inlineStr">
        <is>
          <t>NSW</t>
        </is>
      </c>
      <c r="J424" t="inlineStr">
        <is>
          <t>Part Time</t>
        </is>
      </c>
      <c r="K424" s="23" t="inlineStr">
        <is>
          <t>7/23/2019</t>
        </is>
      </c>
      <c r="L424" s="23" t="inlineStr">
        <is>
          <t>7/23/2019</t>
        </is>
      </c>
      <c r="O424" t="n">
        <v>38</v>
      </c>
    </row>
    <row r="425">
      <c r="A425" t="n">
        <v>50145</v>
      </c>
      <c r="C425" t="inlineStr">
        <is>
          <t>NSW-QLD</t>
        </is>
      </c>
      <c r="D425" t="inlineStr">
        <is>
          <t>Virtus Health</t>
        </is>
      </c>
      <c r="E425" t="inlineStr">
        <is>
          <t>Registered Nurse</t>
        </is>
      </c>
      <c r="F425" t="inlineStr">
        <is>
          <t>7/29/2019</t>
        </is>
      </c>
      <c r="H425" t="inlineStr">
        <is>
          <t>IVFN2021</t>
        </is>
      </c>
      <c r="I425" t="inlineStr">
        <is>
          <t>NSW</t>
        </is>
      </c>
      <c r="J425" t="inlineStr">
        <is>
          <t>Casual</t>
        </is>
      </c>
      <c r="K425" s="23" t="inlineStr">
        <is>
          <t>7/29/2019</t>
        </is>
      </c>
      <c r="L425" s="23" t="inlineStr">
        <is>
          <t>7/29/2019</t>
        </is>
      </c>
      <c r="O425" t="n">
        <v>38</v>
      </c>
    </row>
    <row r="426">
      <c r="A426" t="n">
        <v>50160</v>
      </c>
      <c r="C426" t="inlineStr">
        <is>
          <t>NSW-QLD</t>
        </is>
      </c>
      <c r="D426" t="inlineStr">
        <is>
          <t>Virtus Health</t>
        </is>
      </c>
      <c r="E426" t="inlineStr">
        <is>
          <t>Enrolled Nurse</t>
        </is>
      </c>
      <c r="F426" t="inlineStr">
        <is>
          <t>3/16/2020</t>
        </is>
      </c>
      <c r="H426" t="inlineStr">
        <is>
          <t>IVFN2021</t>
        </is>
      </c>
      <c r="I426" t="inlineStr">
        <is>
          <t>NSW</t>
        </is>
      </c>
      <c r="J426" t="inlineStr">
        <is>
          <t>Part Time</t>
        </is>
      </c>
      <c r="K426" s="23" t="inlineStr">
        <is>
          <t>3/16/2020</t>
        </is>
      </c>
      <c r="L426" s="23" t="inlineStr">
        <is>
          <t>3/16/2020</t>
        </is>
      </c>
      <c r="O426" t="n">
        <v>38</v>
      </c>
    </row>
    <row r="427">
      <c r="A427" t="n">
        <v>50166</v>
      </c>
      <c r="B427" s="1" t="n"/>
      <c r="C427" t="inlineStr">
        <is>
          <t>NSW-QLD</t>
        </is>
      </c>
      <c r="D427" t="inlineStr">
        <is>
          <t>Virtus Health</t>
        </is>
      </c>
      <c r="E427" t="inlineStr">
        <is>
          <t>Registered Nurse</t>
        </is>
      </c>
      <c r="F427" s="1" t="n">
        <v>43837</v>
      </c>
      <c r="H427" t="inlineStr">
        <is>
          <t>IVFN2021</t>
        </is>
      </c>
      <c r="I427" t="inlineStr">
        <is>
          <t>NSW</t>
        </is>
      </c>
      <c r="J427" t="inlineStr">
        <is>
          <t>Full Time</t>
        </is>
      </c>
      <c r="K427" s="23" t="n">
        <v>43837</v>
      </c>
      <c r="L427" s="23" t="n">
        <v>43837</v>
      </c>
      <c r="O427" t="n">
        <v>38</v>
      </c>
    </row>
    <row r="428">
      <c r="A428" t="n">
        <v>50167</v>
      </c>
      <c r="B428" s="1" t="n"/>
      <c r="C428" t="inlineStr">
        <is>
          <t>NSW-QLD</t>
        </is>
      </c>
      <c r="D428" t="inlineStr">
        <is>
          <t>Virtus Health</t>
        </is>
      </c>
      <c r="E428" t="inlineStr">
        <is>
          <t>Administration Team Leader</t>
        </is>
      </c>
      <c r="F428" s="1" t="n">
        <v>43742</v>
      </c>
      <c r="H428" t="inlineStr">
        <is>
          <t>IVFS2023</t>
        </is>
      </c>
      <c r="I428" t="inlineStr">
        <is>
          <t>NSW</t>
        </is>
      </c>
      <c r="J428" t="inlineStr">
        <is>
          <t>Full Time</t>
        </is>
      </c>
      <c r="K428" s="23" t="n">
        <v>43742</v>
      </c>
      <c r="L428" s="23" t="n">
        <v>43742</v>
      </c>
      <c r="O428" t="n">
        <v>38</v>
      </c>
    </row>
    <row r="429">
      <c r="A429" t="n">
        <v>50168</v>
      </c>
      <c r="C429" t="inlineStr">
        <is>
          <t>NSW-QLD</t>
        </is>
      </c>
      <c r="D429" t="inlineStr">
        <is>
          <t>Virtus Health</t>
        </is>
      </c>
      <c r="E429" t="inlineStr">
        <is>
          <t>Registered Nurse</t>
        </is>
      </c>
      <c r="F429" t="inlineStr">
        <is>
          <t>7/20/2020</t>
        </is>
      </c>
      <c r="H429" t="inlineStr">
        <is>
          <t>IVFN2021</t>
        </is>
      </c>
      <c r="I429" t="inlineStr">
        <is>
          <t>NSW</t>
        </is>
      </c>
      <c r="J429" t="inlineStr">
        <is>
          <t>Casual</t>
        </is>
      </c>
      <c r="K429" s="23" t="inlineStr">
        <is>
          <t>7/20/2020</t>
        </is>
      </c>
      <c r="L429" s="23" t="inlineStr">
        <is>
          <t>7/20/2020</t>
        </is>
      </c>
      <c r="O429" t="n">
        <v>34</v>
      </c>
    </row>
    <row r="430">
      <c r="A430" t="n">
        <v>50176</v>
      </c>
      <c r="C430" t="inlineStr">
        <is>
          <t>NSW-QLD</t>
        </is>
      </c>
      <c r="D430" t="inlineStr">
        <is>
          <t>Virtus Health</t>
        </is>
      </c>
      <c r="E430" t="inlineStr">
        <is>
          <t>Registered Nurse</t>
        </is>
      </c>
      <c r="F430" t="inlineStr">
        <is>
          <t>9/14/2020</t>
        </is>
      </c>
      <c r="H430" t="inlineStr">
        <is>
          <t>IVFN2021</t>
        </is>
      </c>
      <c r="I430" t="inlineStr">
        <is>
          <t>NSW</t>
        </is>
      </c>
      <c r="J430" t="inlineStr">
        <is>
          <t>Casual</t>
        </is>
      </c>
      <c r="K430" s="23" t="inlineStr">
        <is>
          <t>9/14/2020</t>
        </is>
      </c>
      <c r="L430" s="23" t="inlineStr">
        <is>
          <t>9/14/2020</t>
        </is>
      </c>
      <c r="O430" t="n">
        <v>38</v>
      </c>
    </row>
    <row r="431">
      <c r="A431" t="n">
        <v>50180</v>
      </c>
      <c r="C431" t="inlineStr">
        <is>
          <t>NSW-QLD</t>
        </is>
      </c>
      <c r="D431" t="inlineStr">
        <is>
          <t>Virtus Health</t>
        </is>
      </c>
      <c r="E431" t="inlineStr">
        <is>
          <t>Registered Nurse</t>
        </is>
      </c>
      <c r="F431" t="inlineStr">
        <is>
          <t>10/26/2020</t>
        </is>
      </c>
      <c r="H431" t="inlineStr">
        <is>
          <t>IVFN2021</t>
        </is>
      </c>
      <c r="I431" t="inlineStr">
        <is>
          <t>NSW</t>
        </is>
      </c>
      <c r="J431" t="inlineStr">
        <is>
          <t>Part Time</t>
        </is>
      </c>
      <c r="K431" s="23" t="inlineStr">
        <is>
          <t>10/26/2020</t>
        </is>
      </c>
      <c r="L431" s="23" t="inlineStr">
        <is>
          <t>10/26/2020</t>
        </is>
      </c>
      <c r="O431" t="n">
        <v>27.5</v>
      </c>
    </row>
    <row r="432">
      <c r="A432" t="n">
        <v>50184</v>
      </c>
      <c r="B432" s="1" t="n"/>
      <c r="C432" t="inlineStr">
        <is>
          <t>NSW-QLD</t>
        </is>
      </c>
      <c r="D432" t="inlineStr">
        <is>
          <t>Virtus Health</t>
        </is>
      </c>
      <c r="E432" t="inlineStr">
        <is>
          <t>CSSD Tech</t>
        </is>
      </c>
      <c r="F432" s="1" t="n">
        <v>43872</v>
      </c>
      <c r="H432" t="inlineStr">
        <is>
          <t>IVFS2023</t>
        </is>
      </c>
      <c r="I432" t="inlineStr">
        <is>
          <t>NSW</t>
        </is>
      </c>
      <c r="J432" t="inlineStr">
        <is>
          <t>Full Time</t>
        </is>
      </c>
      <c r="K432" s="23" t="n">
        <v>43872</v>
      </c>
      <c r="L432" s="23" t="n">
        <v>43872</v>
      </c>
      <c r="O432" t="n">
        <v>38</v>
      </c>
    </row>
    <row r="433">
      <c r="A433" t="n">
        <v>50191</v>
      </c>
      <c r="C433" t="inlineStr">
        <is>
          <t>NSW-QLD</t>
        </is>
      </c>
      <c r="D433" t="inlineStr">
        <is>
          <t>Virtus Health</t>
        </is>
      </c>
      <c r="E433" t="inlineStr">
        <is>
          <t>Registered Nurse</t>
        </is>
      </c>
      <c r="F433" t="inlineStr">
        <is>
          <t>1/29/2021</t>
        </is>
      </c>
      <c r="H433" t="inlineStr">
        <is>
          <t>IVFN2021</t>
        </is>
      </c>
      <c r="I433" t="inlineStr">
        <is>
          <t>NSW</t>
        </is>
      </c>
      <c r="J433" t="inlineStr">
        <is>
          <t>Part Time</t>
        </is>
      </c>
      <c r="K433" s="23" t="inlineStr">
        <is>
          <t>1/29/2021</t>
        </is>
      </c>
      <c r="L433" s="23" t="inlineStr">
        <is>
          <t>1/29/2021</t>
        </is>
      </c>
      <c r="O433" t="n">
        <v>38</v>
      </c>
    </row>
    <row r="434">
      <c r="A434" t="n">
        <v>50195</v>
      </c>
      <c r="C434" t="inlineStr">
        <is>
          <t>NSW-QLD</t>
        </is>
      </c>
      <c r="D434" t="inlineStr">
        <is>
          <t>Virtus Health</t>
        </is>
      </c>
      <c r="E434" t="inlineStr">
        <is>
          <t>Registered Nurse</t>
        </is>
      </c>
      <c r="F434" t="inlineStr">
        <is>
          <t>2/22/2021</t>
        </is>
      </c>
      <c r="H434" t="inlineStr">
        <is>
          <t>IVFN2021</t>
        </is>
      </c>
      <c r="I434" t="inlineStr">
        <is>
          <t>NSW</t>
        </is>
      </c>
      <c r="J434" t="inlineStr">
        <is>
          <t>Part Time</t>
        </is>
      </c>
      <c r="K434" s="23" t="inlineStr">
        <is>
          <t>2/22/2021</t>
        </is>
      </c>
      <c r="L434" s="23" t="inlineStr">
        <is>
          <t>2/22/2021</t>
        </is>
      </c>
      <c r="O434" t="n">
        <v>38</v>
      </c>
    </row>
    <row r="435">
      <c r="A435" t="n">
        <v>50198</v>
      </c>
      <c r="C435" t="inlineStr">
        <is>
          <t>NSW-QLD</t>
        </is>
      </c>
      <c r="D435" t="inlineStr">
        <is>
          <t>Virtus Health</t>
        </is>
      </c>
      <c r="E435" t="inlineStr">
        <is>
          <t>Registered Nurse</t>
        </is>
      </c>
      <c r="F435" t="inlineStr">
        <is>
          <t>3/25/2021</t>
        </is>
      </c>
      <c r="H435" t="inlineStr">
        <is>
          <t>IVFN2021</t>
        </is>
      </c>
      <c r="I435" t="inlineStr">
        <is>
          <t>NSW</t>
        </is>
      </c>
      <c r="J435" t="inlineStr">
        <is>
          <t>Casual</t>
        </is>
      </c>
      <c r="K435" s="23" t="inlineStr">
        <is>
          <t>3/25/2021</t>
        </is>
      </c>
      <c r="L435" s="23" t="inlineStr">
        <is>
          <t>3/25/2021</t>
        </is>
      </c>
      <c r="O435" t="n">
        <v>38</v>
      </c>
    </row>
    <row r="436">
      <c r="A436" t="n">
        <v>50199</v>
      </c>
      <c r="C436" t="inlineStr">
        <is>
          <t>NSW-QLD</t>
        </is>
      </c>
      <c r="D436" t="inlineStr">
        <is>
          <t>Virtus Health</t>
        </is>
      </c>
      <c r="E436" t="inlineStr">
        <is>
          <t>Administration Clerk</t>
        </is>
      </c>
      <c r="F436" t="inlineStr">
        <is>
          <t>3/29/2021</t>
        </is>
      </c>
      <c r="H436" t="inlineStr">
        <is>
          <t>IVFS2023</t>
        </is>
      </c>
      <c r="I436" t="inlineStr">
        <is>
          <t>NSW</t>
        </is>
      </c>
      <c r="J436" t="inlineStr">
        <is>
          <t>Part Time</t>
        </is>
      </c>
      <c r="K436" s="23" t="inlineStr">
        <is>
          <t>3/29/2021</t>
        </is>
      </c>
      <c r="L436" s="23" t="inlineStr">
        <is>
          <t>3/29/2021</t>
        </is>
      </c>
      <c r="O436" t="n">
        <v>38</v>
      </c>
    </row>
    <row r="437">
      <c r="A437" t="n">
        <v>50200</v>
      </c>
      <c r="B437" s="1" t="n"/>
      <c r="C437" t="inlineStr">
        <is>
          <t>NSW-QLD</t>
        </is>
      </c>
      <c r="D437" t="inlineStr">
        <is>
          <t>Virtus Health</t>
        </is>
      </c>
      <c r="E437" t="inlineStr">
        <is>
          <t>Administration Clerk</t>
        </is>
      </c>
      <c r="F437" s="1" t="n">
        <v>44260</v>
      </c>
      <c r="H437" t="inlineStr">
        <is>
          <t>IVFS2023</t>
        </is>
      </c>
      <c r="I437" t="inlineStr">
        <is>
          <t>NSW</t>
        </is>
      </c>
      <c r="J437" t="inlineStr">
        <is>
          <t>Part Time</t>
        </is>
      </c>
      <c r="K437" s="23" t="n">
        <v>44260</v>
      </c>
      <c r="L437" s="23" t="n">
        <v>44260</v>
      </c>
      <c r="O437" t="n">
        <v>38</v>
      </c>
    </row>
    <row r="438">
      <c r="A438" t="n">
        <v>50202</v>
      </c>
      <c r="B438" s="1" t="n"/>
      <c r="C438" t="inlineStr">
        <is>
          <t>NSW-QLD</t>
        </is>
      </c>
      <c r="D438" t="inlineStr">
        <is>
          <t>Virtus Health</t>
        </is>
      </c>
      <c r="E438" t="inlineStr">
        <is>
          <t>Clinical Nurse Specialist</t>
        </is>
      </c>
      <c r="F438" s="1" t="n">
        <v>44383</v>
      </c>
      <c r="H438" t="inlineStr">
        <is>
          <t>IVFN2021</t>
        </is>
      </c>
      <c r="I438" t="inlineStr">
        <is>
          <t>NSW</t>
        </is>
      </c>
      <c r="J438" t="inlineStr">
        <is>
          <t>Part Time</t>
        </is>
      </c>
      <c r="K438" s="23" t="n">
        <v>44383</v>
      </c>
      <c r="L438" s="23" t="n">
        <v>44383</v>
      </c>
      <c r="O438" t="n">
        <v>38</v>
      </c>
    </row>
    <row r="439">
      <c r="A439" t="n">
        <v>50208</v>
      </c>
      <c r="C439" t="inlineStr">
        <is>
          <t>NSW-QLD</t>
        </is>
      </c>
      <c r="D439" t="inlineStr">
        <is>
          <t>Virtus Health</t>
        </is>
      </c>
      <c r="E439" t="inlineStr">
        <is>
          <t>Registered Nurse</t>
        </is>
      </c>
      <c r="F439" t="inlineStr">
        <is>
          <t>2/21/2022</t>
        </is>
      </c>
      <c r="H439" t="inlineStr">
        <is>
          <t>IVFN2021</t>
        </is>
      </c>
      <c r="I439" t="inlineStr">
        <is>
          <t>NSW</t>
        </is>
      </c>
      <c r="J439" t="inlineStr">
        <is>
          <t>Casual</t>
        </is>
      </c>
      <c r="K439" s="23" t="inlineStr">
        <is>
          <t>2/21/2022</t>
        </is>
      </c>
      <c r="L439" s="23" t="inlineStr">
        <is>
          <t>2/21/2022</t>
        </is>
      </c>
      <c r="O439" t="n">
        <v>38</v>
      </c>
    </row>
    <row r="440">
      <c r="A440" t="n">
        <v>50209</v>
      </c>
      <c r="C440" t="inlineStr">
        <is>
          <t>NSW-QLD</t>
        </is>
      </c>
      <c r="D440" t="inlineStr">
        <is>
          <t>Virtus Health</t>
        </is>
      </c>
      <c r="E440" t="inlineStr">
        <is>
          <t>Administration Clerk</t>
        </is>
      </c>
      <c r="F440" t="inlineStr">
        <is>
          <t>2/28/2022</t>
        </is>
      </c>
      <c r="H440" t="inlineStr">
        <is>
          <t>IVFS2023</t>
        </is>
      </c>
      <c r="I440" t="inlineStr">
        <is>
          <t>NSW</t>
        </is>
      </c>
      <c r="J440" t="inlineStr">
        <is>
          <t>Casual</t>
        </is>
      </c>
      <c r="K440" s="23" t="inlineStr">
        <is>
          <t>2/28/2022</t>
        </is>
      </c>
      <c r="L440" s="23" t="inlineStr">
        <is>
          <t>2/28/2022</t>
        </is>
      </c>
      <c r="O440" t="n">
        <v>34.2</v>
      </c>
    </row>
    <row r="441">
      <c r="A441" t="n">
        <v>50212</v>
      </c>
      <c r="C441" t="inlineStr">
        <is>
          <t>NSW-QLD</t>
        </is>
      </c>
      <c r="D441" t="inlineStr">
        <is>
          <t>Virtus Health</t>
        </is>
      </c>
      <c r="E441" t="inlineStr">
        <is>
          <t>CSSD Tech</t>
        </is>
      </c>
      <c r="F441" t="inlineStr">
        <is>
          <t>3/21/2022</t>
        </is>
      </c>
      <c r="H441" t="inlineStr">
        <is>
          <t>IVFS2023</t>
        </is>
      </c>
      <c r="I441" t="inlineStr">
        <is>
          <t>NSW</t>
        </is>
      </c>
      <c r="J441" t="inlineStr">
        <is>
          <t>Casual</t>
        </is>
      </c>
      <c r="K441" s="23" t="inlineStr">
        <is>
          <t>3/21/2022</t>
        </is>
      </c>
      <c r="L441" s="23" t="inlineStr">
        <is>
          <t>3/21/2022</t>
        </is>
      </c>
      <c r="O441" t="n">
        <v>38</v>
      </c>
    </row>
    <row r="442">
      <c r="A442" t="n">
        <v>50214</v>
      </c>
      <c r="C442" t="inlineStr">
        <is>
          <t>NSW-QLD</t>
        </is>
      </c>
      <c r="D442" t="inlineStr">
        <is>
          <t>Virtus Health</t>
        </is>
      </c>
      <c r="E442" t="inlineStr">
        <is>
          <t>Stores Coordinator/Theatre Orderly</t>
        </is>
      </c>
      <c r="F442" t="inlineStr">
        <is>
          <t>4/25/2022</t>
        </is>
      </c>
      <c r="H442" t="inlineStr">
        <is>
          <t>IVFS2023</t>
        </is>
      </c>
      <c r="I442" t="inlineStr">
        <is>
          <t>NSW</t>
        </is>
      </c>
      <c r="J442" t="inlineStr">
        <is>
          <t>Full Time</t>
        </is>
      </c>
      <c r="K442" s="23" t="inlineStr">
        <is>
          <t>4/25/2022</t>
        </is>
      </c>
      <c r="L442" s="23" t="inlineStr">
        <is>
          <t>4/25/2022</t>
        </is>
      </c>
      <c r="O442" t="n">
        <v>38</v>
      </c>
    </row>
    <row r="443">
      <c r="A443" t="n">
        <v>50216</v>
      </c>
      <c r="B443" s="1" t="n"/>
      <c r="C443" t="inlineStr">
        <is>
          <t>NSW-QLD</t>
        </is>
      </c>
      <c r="D443" t="inlineStr">
        <is>
          <t>Virtus Health</t>
        </is>
      </c>
      <c r="E443" t="inlineStr">
        <is>
          <t>Enrolled Nurse</t>
        </is>
      </c>
      <c r="F443" s="1" t="n">
        <v>44597</v>
      </c>
      <c r="H443" t="inlineStr">
        <is>
          <t>IVFN2021</t>
        </is>
      </c>
      <c r="I443" t="inlineStr">
        <is>
          <t>NSW</t>
        </is>
      </c>
      <c r="J443" t="inlineStr">
        <is>
          <t>Part Time</t>
        </is>
      </c>
      <c r="K443" s="23" t="n">
        <v>44597</v>
      </c>
      <c r="L443" s="23" t="n">
        <v>44597</v>
      </c>
      <c r="O443" t="n">
        <v>38</v>
      </c>
    </row>
    <row r="444">
      <c r="A444" t="n">
        <v>50217</v>
      </c>
      <c r="C444" t="inlineStr">
        <is>
          <t>NSW-QLD</t>
        </is>
      </c>
      <c r="D444" t="inlineStr">
        <is>
          <t>Virtus Health</t>
        </is>
      </c>
      <c r="E444" t="inlineStr">
        <is>
          <t>Registered Nurse</t>
        </is>
      </c>
      <c r="F444" t="inlineStr">
        <is>
          <t>5/23/2022</t>
        </is>
      </c>
      <c r="H444" t="inlineStr">
        <is>
          <t>IVFN2021</t>
        </is>
      </c>
      <c r="I444" t="inlineStr">
        <is>
          <t>NSW</t>
        </is>
      </c>
      <c r="J444" t="inlineStr">
        <is>
          <t>Casual</t>
        </is>
      </c>
      <c r="K444" s="23" t="inlineStr">
        <is>
          <t>5/23/2022</t>
        </is>
      </c>
      <c r="L444" s="23" t="inlineStr">
        <is>
          <t>5/23/2022</t>
        </is>
      </c>
      <c r="O444" t="n">
        <v>28.5</v>
      </c>
    </row>
    <row r="445">
      <c r="A445" t="n">
        <v>60013</v>
      </c>
      <c r="C445" t="inlineStr">
        <is>
          <t>NSW-QLD</t>
        </is>
      </c>
      <c r="D445" t="inlineStr">
        <is>
          <t>Virtus Health</t>
        </is>
      </c>
      <c r="E445" t="inlineStr">
        <is>
          <t>Registered Nurse</t>
        </is>
      </c>
      <c r="F445" t="inlineStr">
        <is>
          <t>10/19/2009</t>
        </is>
      </c>
      <c r="H445" t="inlineStr">
        <is>
          <t>QN2025</t>
        </is>
      </c>
      <c r="I445" t="inlineStr">
        <is>
          <t>QLD</t>
        </is>
      </c>
      <c r="J445" t="inlineStr">
        <is>
          <t>Part Time</t>
        </is>
      </c>
      <c r="K445" s="23" t="inlineStr">
        <is>
          <t>10/19/2009</t>
        </is>
      </c>
      <c r="L445" s="23" t="inlineStr">
        <is>
          <t>10/19/2009</t>
        </is>
      </c>
      <c r="O445" t="n">
        <v>16</v>
      </c>
    </row>
    <row r="446">
      <c r="A446" t="n">
        <v>60018</v>
      </c>
      <c r="B446" s="1" t="n"/>
      <c r="C446" t="inlineStr">
        <is>
          <t>NSW-QLD</t>
        </is>
      </c>
      <c r="D446" t="inlineStr">
        <is>
          <t>Virtus Health</t>
        </is>
      </c>
      <c r="E446" t="inlineStr">
        <is>
          <t>Registered Nurse</t>
        </is>
      </c>
      <c r="F446" s="1" t="n">
        <v>37234</v>
      </c>
      <c r="H446" t="inlineStr">
        <is>
          <t>QN2025</t>
        </is>
      </c>
      <c r="I446" t="inlineStr">
        <is>
          <t>QLD</t>
        </is>
      </c>
      <c r="J446" t="inlineStr">
        <is>
          <t>Part Time</t>
        </is>
      </c>
      <c r="K446" s="23" t="n">
        <v>37234</v>
      </c>
      <c r="L446" s="23" t="n">
        <v>37234</v>
      </c>
      <c r="O446" t="n">
        <v>32</v>
      </c>
    </row>
    <row r="447">
      <c r="A447" t="n">
        <v>60020</v>
      </c>
      <c r="C447" t="inlineStr">
        <is>
          <t>NSW-QLD</t>
        </is>
      </c>
      <c r="D447" t="inlineStr">
        <is>
          <t>Virtus Health</t>
        </is>
      </c>
      <c r="E447" t="inlineStr">
        <is>
          <t>Assistant in Nursing</t>
        </is>
      </c>
      <c r="F447" t="inlineStr">
        <is>
          <t>6/18/2008</t>
        </is>
      </c>
      <c r="H447" t="inlineStr">
        <is>
          <t>QN2025</t>
        </is>
      </c>
      <c r="I447" t="inlineStr">
        <is>
          <t>QLD</t>
        </is>
      </c>
      <c r="J447" t="inlineStr">
        <is>
          <t>Casual</t>
        </is>
      </c>
      <c r="K447" s="23" t="inlineStr">
        <is>
          <t>6/18/2008</t>
        </is>
      </c>
      <c r="L447" s="23" t="inlineStr">
        <is>
          <t>6/18/2008</t>
        </is>
      </c>
      <c r="O447" t="n">
        <v>38</v>
      </c>
    </row>
    <row r="448">
      <c r="A448" t="n">
        <v>60022</v>
      </c>
      <c r="C448" t="inlineStr">
        <is>
          <t>NSW-QLD</t>
        </is>
      </c>
      <c r="D448" t="inlineStr">
        <is>
          <t>Virtus Health</t>
        </is>
      </c>
      <c r="E448" t="inlineStr">
        <is>
          <t>Administration Team Leader</t>
        </is>
      </c>
      <c r="F448" t="inlineStr">
        <is>
          <t>2/17/2004</t>
        </is>
      </c>
      <c r="H448" t="inlineStr">
        <is>
          <t>IVFS2023</t>
        </is>
      </c>
      <c r="I448" t="inlineStr">
        <is>
          <t>QLD</t>
        </is>
      </c>
      <c r="J448" t="inlineStr">
        <is>
          <t>Full Time</t>
        </is>
      </c>
      <c r="K448" s="23" t="inlineStr">
        <is>
          <t>2/17/2004</t>
        </is>
      </c>
      <c r="L448" s="23" t="inlineStr">
        <is>
          <t>2/17/2004</t>
        </is>
      </c>
      <c r="O448" t="n">
        <v>26.6</v>
      </c>
    </row>
    <row r="449">
      <c r="A449" t="n">
        <v>60024</v>
      </c>
      <c r="B449" s="1" t="n"/>
      <c r="C449" t="inlineStr">
        <is>
          <t>NSW-QLD</t>
        </is>
      </c>
      <c r="D449" t="inlineStr">
        <is>
          <t>Virtus Health</t>
        </is>
      </c>
      <c r="E449" t="inlineStr">
        <is>
          <t>Registered Nurse</t>
        </is>
      </c>
      <c r="F449" s="1" t="n">
        <v>40243</v>
      </c>
      <c r="G449" s="1" t="n">
        <v>45818</v>
      </c>
      <c r="H449" t="inlineStr">
        <is>
          <t>QN2025</t>
        </is>
      </c>
      <c r="I449" t="inlineStr">
        <is>
          <t>QLD</t>
        </is>
      </c>
      <c r="J449" t="inlineStr">
        <is>
          <t>Part Time</t>
        </is>
      </c>
      <c r="K449" s="23" t="n">
        <v>40243</v>
      </c>
      <c r="L449" s="23" t="n">
        <v>40243</v>
      </c>
      <c r="O449" t="n">
        <v>32</v>
      </c>
    </row>
    <row r="450">
      <c r="A450" t="n">
        <v>60024</v>
      </c>
      <c r="B450" s="1" t="n"/>
      <c r="C450" t="inlineStr">
        <is>
          <t>NSW-QLD</t>
        </is>
      </c>
      <c r="D450" t="inlineStr">
        <is>
          <t>Virtus Health</t>
        </is>
      </c>
      <c r="E450" t="inlineStr">
        <is>
          <t>Registered Nurse</t>
        </is>
      </c>
      <c r="F450" s="1" t="n">
        <v>45848</v>
      </c>
      <c r="H450" t="inlineStr">
        <is>
          <t>QN2025</t>
        </is>
      </c>
      <c r="I450" t="inlineStr">
        <is>
          <t>QLD</t>
        </is>
      </c>
      <c r="J450" t="inlineStr">
        <is>
          <t>Part Time</t>
        </is>
      </c>
      <c r="K450" s="23" t="n">
        <v>40243</v>
      </c>
      <c r="L450" s="23" t="n">
        <v>40243</v>
      </c>
      <c r="O450" t="n">
        <v>24</v>
      </c>
    </row>
    <row r="451">
      <c r="A451" t="n">
        <v>60037</v>
      </c>
      <c r="C451" t="inlineStr">
        <is>
          <t>NSW-QLD</t>
        </is>
      </c>
      <c r="D451" t="inlineStr">
        <is>
          <t>Virtus Health</t>
        </is>
      </c>
      <c r="E451" t="inlineStr">
        <is>
          <t>Clinical Nurse</t>
        </is>
      </c>
      <c r="F451" t="inlineStr">
        <is>
          <t>11/20/2017</t>
        </is>
      </c>
      <c r="H451" t="inlineStr">
        <is>
          <t>QN2025</t>
        </is>
      </c>
      <c r="I451" t="inlineStr">
        <is>
          <t>QLD</t>
        </is>
      </c>
      <c r="J451" t="inlineStr">
        <is>
          <t>Part Time</t>
        </is>
      </c>
      <c r="K451" s="23" t="inlineStr">
        <is>
          <t>11/20/2017</t>
        </is>
      </c>
      <c r="L451" s="23" t="inlineStr">
        <is>
          <t>11/20/2017</t>
        </is>
      </c>
      <c r="O451" t="n">
        <v>38</v>
      </c>
    </row>
    <row r="452">
      <c r="A452" t="n">
        <v>60038</v>
      </c>
      <c r="B452" s="1" t="n"/>
      <c r="C452" t="inlineStr">
        <is>
          <t>NSW-QLD</t>
        </is>
      </c>
      <c r="D452" t="inlineStr">
        <is>
          <t>Virtus Health</t>
        </is>
      </c>
      <c r="E452" t="inlineStr">
        <is>
          <t>Director of Nursing</t>
        </is>
      </c>
      <c r="F452" s="1" t="n">
        <v>43647</v>
      </c>
      <c r="H452" t="inlineStr">
        <is>
          <t>QN2025</t>
        </is>
      </c>
      <c r="I452" t="inlineStr">
        <is>
          <t>QLD</t>
        </is>
      </c>
      <c r="J452" t="inlineStr">
        <is>
          <t>Part Time</t>
        </is>
      </c>
      <c r="K452" s="23" t="n">
        <v>43647</v>
      </c>
      <c r="L452" s="23" t="n">
        <v>43647</v>
      </c>
      <c r="O452" t="n">
        <v>3.8</v>
      </c>
    </row>
    <row r="453">
      <c r="A453" t="n">
        <v>60041</v>
      </c>
      <c r="C453" t="inlineStr">
        <is>
          <t>NSW-QLD</t>
        </is>
      </c>
      <c r="D453" t="inlineStr">
        <is>
          <t>Virtus Health</t>
        </is>
      </c>
      <c r="E453" t="inlineStr">
        <is>
          <t>Registered Nurse</t>
        </is>
      </c>
      <c r="F453" t="inlineStr">
        <is>
          <t>7/15/2019</t>
        </is>
      </c>
      <c r="H453" t="inlineStr">
        <is>
          <t>QN2025</t>
        </is>
      </c>
      <c r="I453" t="inlineStr">
        <is>
          <t>QLD</t>
        </is>
      </c>
      <c r="J453" t="inlineStr">
        <is>
          <t>Casual</t>
        </is>
      </c>
      <c r="K453" s="23" t="inlineStr">
        <is>
          <t>7/15/2019</t>
        </is>
      </c>
      <c r="L453" s="23" t="inlineStr">
        <is>
          <t>7/15/2019</t>
        </is>
      </c>
      <c r="O453" t="n">
        <v>38</v>
      </c>
    </row>
    <row r="454">
      <c r="A454" t="n">
        <v>60043</v>
      </c>
      <c r="C454" t="inlineStr">
        <is>
          <t>NSW-QLD</t>
        </is>
      </c>
      <c r="D454" t="inlineStr">
        <is>
          <t>Virtus Health</t>
        </is>
      </c>
      <c r="E454" t="inlineStr">
        <is>
          <t>Registered Nurse</t>
        </is>
      </c>
      <c r="F454" t="inlineStr">
        <is>
          <t>8/17/2020</t>
        </is>
      </c>
      <c r="H454" t="inlineStr">
        <is>
          <t>QN2025</t>
        </is>
      </c>
      <c r="I454" t="inlineStr">
        <is>
          <t>QLD</t>
        </is>
      </c>
      <c r="J454" t="inlineStr">
        <is>
          <t>Casual</t>
        </is>
      </c>
      <c r="K454" s="23" t="inlineStr">
        <is>
          <t>8/17/2020</t>
        </is>
      </c>
      <c r="L454" s="23" t="inlineStr">
        <is>
          <t>8/17/2020</t>
        </is>
      </c>
      <c r="O454" t="n">
        <v>38</v>
      </c>
    </row>
    <row r="455">
      <c r="A455" t="n">
        <v>60045</v>
      </c>
      <c r="C455" t="inlineStr">
        <is>
          <t>NSW-QLD</t>
        </is>
      </c>
      <c r="D455" t="inlineStr">
        <is>
          <t>Virtus Health</t>
        </is>
      </c>
      <c r="E455" t="inlineStr">
        <is>
          <t>Registered Nurse</t>
        </is>
      </c>
      <c r="F455" t="inlineStr">
        <is>
          <t>4/29/2021</t>
        </is>
      </c>
      <c r="H455" t="inlineStr">
        <is>
          <t>QN2025</t>
        </is>
      </c>
      <c r="I455" t="inlineStr">
        <is>
          <t>QLD</t>
        </is>
      </c>
      <c r="J455" t="inlineStr">
        <is>
          <t>Casual</t>
        </is>
      </c>
      <c r="K455" s="23" t="inlineStr">
        <is>
          <t>4/29/2021</t>
        </is>
      </c>
      <c r="L455" s="23" t="inlineStr">
        <is>
          <t>4/29/2021</t>
        </is>
      </c>
      <c r="O455" t="n">
        <v>15</v>
      </c>
    </row>
    <row r="456">
      <c r="A456" t="n">
        <v>60046</v>
      </c>
      <c r="C456" t="inlineStr">
        <is>
          <t>NSW-QLD</t>
        </is>
      </c>
      <c r="D456" t="inlineStr">
        <is>
          <t>Virtus Health</t>
        </is>
      </c>
      <c r="E456" t="inlineStr">
        <is>
          <t>Registered Nurse</t>
        </is>
      </c>
      <c r="F456" t="inlineStr">
        <is>
          <t>5/27/2021</t>
        </is>
      </c>
      <c r="H456" t="inlineStr">
        <is>
          <t>QN2025</t>
        </is>
      </c>
      <c r="I456" t="inlineStr">
        <is>
          <t>QLD</t>
        </is>
      </c>
      <c r="J456" t="inlineStr">
        <is>
          <t>Casual</t>
        </is>
      </c>
      <c r="K456" s="23" t="inlineStr">
        <is>
          <t>5/27/2021</t>
        </is>
      </c>
      <c r="L456" s="23" t="inlineStr">
        <is>
          <t>5/27/2021</t>
        </is>
      </c>
      <c r="O456" t="n">
        <v>38</v>
      </c>
    </row>
    <row r="457">
      <c r="A457" t="n">
        <v>60048</v>
      </c>
      <c r="C457" t="inlineStr">
        <is>
          <t>NSW-QLD</t>
        </is>
      </c>
      <c r="D457" t="inlineStr">
        <is>
          <t>Virtus Health</t>
        </is>
      </c>
      <c r="E457" t="inlineStr">
        <is>
          <t>CSSD Tech</t>
        </is>
      </c>
      <c r="F457" t="inlineStr">
        <is>
          <t>2/21/2022</t>
        </is>
      </c>
      <c r="H457" t="inlineStr">
        <is>
          <t>IVFS2023</t>
        </is>
      </c>
      <c r="I457" t="inlineStr">
        <is>
          <t>QLD</t>
        </is>
      </c>
      <c r="J457" t="inlineStr">
        <is>
          <t>Part Time</t>
        </is>
      </c>
      <c r="K457" s="23" t="inlineStr">
        <is>
          <t>2/21/2022</t>
        </is>
      </c>
      <c r="L457" s="23" t="inlineStr">
        <is>
          <t>2/21/2022</t>
        </is>
      </c>
      <c r="O457" t="n">
        <v>30.4</v>
      </c>
    </row>
    <row r="458">
      <c r="A458" t="n">
        <v>60050</v>
      </c>
      <c r="C458" t="inlineStr">
        <is>
          <t>NSW-QLD</t>
        </is>
      </c>
      <c r="D458" t="inlineStr">
        <is>
          <t>Virtus Health</t>
        </is>
      </c>
      <c r="E458" t="inlineStr">
        <is>
          <t>Registered Nurse</t>
        </is>
      </c>
      <c r="F458" t="inlineStr">
        <is>
          <t>4/19/2022</t>
        </is>
      </c>
      <c r="H458" t="inlineStr">
        <is>
          <t>QN2025</t>
        </is>
      </c>
      <c r="I458" t="inlineStr">
        <is>
          <t>QLD</t>
        </is>
      </c>
      <c r="J458" t="inlineStr">
        <is>
          <t>Casual</t>
        </is>
      </c>
      <c r="K458" s="23" t="inlineStr">
        <is>
          <t>4/19/2022</t>
        </is>
      </c>
      <c r="L458" s="23" t="inlineStr">
        <is>
          <t>4/19/2022</t>
        </is>
      </c>
      <c r="O458" t="n">
        <v>15.2</v>
      </c>
    </row>
    <row r="459">
      <c r="A459" t="n">
        <v>60104</v>
      </c>
      <c r="C459" t="inlineStr">
        <is>
          <t>NSW-QLD</t>
        </is>
      </c>
      <c r="D459" t="inlineStr">
        <is>
          <t>Virtus Health</t>
        </is>
      </c>
      <c r="E459" t="inlineStr">
        <is>
          <t>CSSD Tech</t>
        </is>
      </c>
      <c r="F459" t="inlineStr">
        <is>
          <t>5/21/2012</t>
        </is>
      </c>
      <c r="G459" t="inlineStr">
        <is>
          <t>12/22/2024</t>
        </is>
      </c>
      <c r="H459" t="inlineStr">
        <is>
          <t>IVFS2023</t>
        </is>
      </c>
      <c r="I459" t="inlineStr">
        <is>
          <t>QLD</t>
        </is>
      </c>
      <c r="J459" t="inlineStr">
        <is>
          <t>Part Time</t>
        </is>
      </c>
      <c r="K459" s="23" t="inlineStr">
        <is>
          <t>5/21/2012</t>
        </is>
      </c>
      <c r="L459" s="23" t="inlineStr">
        <is>
          <t>5/21/2012</t>
        </is>
      </c>
      <c r="O459" t="n">
        <v>40</v>
      </c>
    </row>
    <row r="460">
      <c r="A460" t="n">
        <v>60104</v>
      </c>
      <c r="C460" t="inlineStr">
        <is>
          <t>NSW-QLD</t>
        </is>
      </c>
      <c r="D460" t="inlineStr">
        <is>
          <t>Virtus Health</t>
        </is>
      </c>
      <c r="E460" t="inlineStr">
        <is>
          <t>CSSD Tech</t>
        </is>
      </c>
      <c r="F460" t="inlineStr">
        <is>
          <t>12/23/2024</t>
        </is>
      </c>
      <c r="H460" t="inlineStr">
        <is>
          <t>IVFS2023</t>
        </is>
      </c>
      <c r="I460" t="inlineStr">
        <is>
          <t>QLD</t>
        </is>
      </c>
      <c r="J460" t="inlineStr">
        <is>
          <t>Part Time</t>
        </is>
      </c>
      <c r="K460" s="23" t="inlineStr">
        <is>
          <t>5/21/2012</t>
        </is>
      </c>
      <c r="L460" s="23" t="inlineStr">
        <is>
          <t>5/21/2012</t>
        </is>
      </c>
      <c r="O460" t="n">
        <v>24</v>
      </c>
    </row>
    <row r="461">
      <c r="A461" t="n">
        <v>60112</v>
      </c>
      <c r="B461" s="1" t="n"/>
      <c r="C461" t="inlineStr">
        <is>
          <t>NSW-QLD</t>
        </is>
      </c>
      <c r="D461" t="inlineStr">
        <is>
          <t>Virtus Health</t>
        </is>
      </c>
      <c r="E461" t="inlineStr">
        <is>
          <t>Registered Nurse</t>
        </is>
      </c>
      <c r="F461" s="1" t="n">
        <v>38513</v>
      </c>
      <c r="H461" t="inlineStr">
        <is>
          <t>QN2025</t>
        </is>
      </c>
      <c r="I461" t="inlineStr">
        <is>
          <t>QLD</t>
        </is>
      </c>
      <c r="J461" t="inlineStr">
        <is>
          <t>Casual</t>
        </is>
      </c>
      <c r="K461" s="23" t="n">
        <v>38513</v>
      </c>
      <c r="L461" s="23" t="n">
        <v>38513</v>
      </c>
      <c r="O461" t="n">
        <v>38</v>
      </c>
    </row>
    <row r="462">
      <c r="A462" t="n">
        <v>60118</v>
      </c>
      <c r="B462" s="1" t="n"/>
      <c r="C462" t="inlineStr">
        <is>
          <t>NSW-QLD</t>
        </is>
      </c>
      <c r="D462" t="inlineStr">
        <is>
          <t>Virtus Health</t>
        </is>
      </c>
      <c r="E462" t="inlineStr">
        <is>
          <t>Registered Nurse</t>
        </is>
      </c>
      <c r="F462" s="1" t="n">
        <v>37022</v>
      </c>
      <c r="H462" t="inlineStr">
        <is>
          <t>QN2025</t>
        </is>
      </c>
      <c r="I462" t="inlineStr">
        <is>
          <t>QLD</t>
        </is>
      </c>
      <c r="J462" t="inlineStr">
        <is>
          <t>Part Time</t>
        </is>
      </c>
      <c r="K462" s="23" t="n">
        <v>37022</v>
      </c>
      <c r="L462" s="23" t="n">
        <v>37022</v>
      </c>
      <c r="O462" t="n">
        <v>18</v>
      </c>
    </row>
    <row r="463">
      <c r="A463" t="n">
        <v>60125</v>
      </c>
      <c r="B463" s="1" t="n"/>
      <c r="C463" t="inlineStr">
        <is>
          <t>NSW-QLD</t>
        </is>
      </c>
      <c r="D463" t="inlineStr">
        <is>
          <t>Virtus Health</t>
        </is>
      </c>
      <c r="E463" t="inlineStr">
        <is>
          <t>Registered Nurse</t>
        </is>
      </c>
      <c r="F463" s="1" t="n">
        <v>34367</v>
      </c>
      <c r="H463" t="inlineStr">
        <is>
          <t>QN2025</t>
        </is>
      </c>
      <c r="I463" t="inlineStr">
        <is>
          <t>QLD</t>
        </is>
      </c>
      <c r="J463" t="inlineStr">
        <is>
          <t>Full Time</t>
        </is>
      </c>
      <c r="K463" s="23" t="n">
        <v>34367</v>
      </c>
      <c r="L463" s="23" t="n">
        <v>34367</v>
      </c>
      <c r="O463" t="n">
        <v>40</v>
      </c>
    </row>
    <row r="464">
      <c r="A464" t="n">
        <v>60129</v>
      </c>
      <c r="B464" s="1" t="n"/>
      <c r="C464" t="inlineStr">
        <is>
          <t>NSW-QLD</t>
        </is>
      </c>
      <c r="D464" t="inlineStr">
        <is>
          <t>Virtus Health</t>
        </is>
      </c>
      <c r="E464" t="inlineStr">
        <is>
          <t>Registered Nurse</t>
        </is>
      </c>
      <c r="F464" s="1" t="n">
        <v>39630</v>
      </c>
      <c r="H464" t="inlineStr">
        <is>
          <t>QN2025</t>
        </is>
      </c>
      <c r="I464" t="inlineStr">
        <is>
          <t>QLD</t>
        </is>
      </c>
      <c r="J464" t="inlineStr">
        <is>
          <t>Part Time</t>
        </is>
      </c>
      <c r="K464" s="23" t="n">
        <v>39630</v>
      </c>
      <c r="L464" s="23" t="n">
        <v>39630</v>
      </c>
      <c r="O464" t="n">
        <v>24</v>
      </c>
    </row>
    <row r="465">
      <c r="A465" t="n">
        <v>60150</v>
      </c>
      <c r="C465" t="inlineStr">
        <is>
          <t>NSW-QLD</t>
        </is>
      </c>
      <c r="D465" t="inlineStr">
        <is>
          <t>Virtus Health</t>
        </is>
      </c>
      <c r="E465" t="inlineStr">
        <is>
          <t>Registered Nurse</t>
        </is>
      </c>
      <c r="F465" t="inlineStr">
        <is>
          <t>11/30/2015</t>
        </is>
      </c>
      <c r="H465" t="inlineStr">
        <is>
          <t>QN2025</t>
        </is>
      </c>
      <c r="I465" t="inlineStr">
        <is>
          <t>QLD</t>
        </is>
      </c>
      <c r="J465" t="inlineStr">
        <is>
          <t>Part Time</t>
        </is>
      </c>
      <c r="K465" s="23" t="inlineStr">
        <is>
          <t>11/30/2015</t>
        </is>
      </c>
      <c r="L465" s="23" t="inlineStr">
        <is>
          <t>11/30/2015</t>
        </is>
      </c>
      <c r="O465" t="n">
        <v>38</v>
      </c>
    </row>
    <row r="466">
      <c r="A466" t="n">
        <v>60162</v>
      </c>
      <c r="C466" t="inlineStr">
        <is>
          <t>NSW-QLD</t>
        </is>
      </c>
      <c r="D466" t="inlineStr">
        <is>
          <t>Virtus Health</t>
        </is>
      </c>
      <c r="E466" t="inlineStr">
        <is>
          <t>Registered Nurse</t>
        </is>
      </c>
      <c r="F466" t="inlineStr">
        <is>
          <t>7/13/2020</t>
        </is>
      </c>
      <c r="H466" t="inlineStr">
        <is>
          <t>QN2025</t>
        </is>
      </c>
      <c r="I466" t="inlineStr">
        <is>
          <t>QLD</t>
        </is>
      </c>
      <c r="J466" t="inlineStr">
        <is>
          <t>Casual</t>
        </is>
      </c>
      <c r="K466" s="23" t="inlineStr">
        <is>
          <t>7/13/2020</t>
        </is>
      </c>
      <c r="L466" s="23" t="inlineStr">
        <is>
          <t>7/13/2020</t>
        </is>
      </c>
      <c r="O466" t="n">
        <v>38</v>
      </c>
    </row>
    <row r="467">
      <c r="A467" t="n">
        <v>60163</v>
      </c>
      <c r="C467" t="inlineStr">
        <is>
          <t>NSW-QLD</t>
        </is>
      </c>
      <c r="D467" t="inlineStr">
        <is>
          <t>Virtus Health</t>
        </is>
      </c>
      <c r="E467" t="inlineStr">
        <is>
          <t>Registered Nurse</t>
        </is>
      </c>
      <c r="F467" t="inlineStr">
        <is>
          <t>9/14/2020</t>
        </is>
      </c>
      <c r="H467" t="inlineStr">
        <is>
          <t>QN2025</t>
        </is>
      </c>
      <c r="I467" t="inlineStr">
        <is>
          <t>QLD</t>
        </is>
      </c>
      <c r="J467" t="inlineStr">
        <is>
          <t>Part Time</t>
        </is>
      </c>
      <c r="K467" s="23" t="inlineStr">
        <is>
          <t>9/14/2020</t>
        </is>
      </c>
      <c r="L467" s="23" t="inlineStr">
        <is>
          <t>9/14/2020</t>
        </is>
      </c>
      <c r="O467" t="n">
        <v>38</v>
      </c>
    </row>
    <row r="468">
      <c r="A468" t="n">
        <v>60177</v>
      </c>
      <c r="C468" t="inlineStr">
        <is>
          <t>NSW-QLD</t>
        </is>
      </c>
      <c r="D468" t="inlineStr">
        <is>
          <t>Virtus Health</t>
        </is>
      </c>
      <c r="E468" t="inlineStr">
        <is>
          <t>Director of Nursing</t>
        </is>
      </c>
      <c r="F468" t="inlineStr">
        <is>
          <t>7/19/2021</t>
        </is>
      </c>
      <c r="H468" t="inlineStr">
        <is>
          <t>QN2025</t>
        </is>
      </c>
      <c r="I468" t="inlineStr">
        <is>
          <t>QLD</t>
        </is>
      </c>
      <c r="J468" t="inlineStr">
        <is>
          <t>Full Time</t>
        </is>
      </c>
      <c r="K468" s="23" t="inlineStr">
        <is>
          <t>7/19/2021</t>
        </is>
      </c>
      <c r="L468" s="23" t="inlineStr">
        <is>
          <t>7/19/2021</t>
        </is>
      </c>
      <c r="O468" t="n">
        <v>36</v>
      </c>
    </row>
    <row r="469">
      <c r="A469" t="n">
        <v>60180</v>
      </c>
      <c r="C469" t="inlineStr">
        <is>
          <t>NSW-QLD</t>
        </is>
      </c>
      <c r="D469" t="inlineStr">
        <is>
          <t>Virtus Health</t>
        </is>
      </c>
      <c r="E469" t="inlineStr">
        <is>
          <t>Administration Clerk</t>
        </is>
      </c>
      <c r="F469" t="inlineStr">
        <is>
          <t>7/14/2008</t>
        </is>
      </c>
      <c r="H469" t="inlineStr">
        <is>
          <t>IVFS2023</t>
        </is>
      </c>
      <c r="I469" t="inlineStr">
        <is>
          <t>QLD</t>
        </is>
      </c>
      <c r="J469" t="inlineStr">
        <is>
          <t>Full Time</t>
        </is>
      </c>
      <c r="K469" s="23" t="inlineStr">
        <is>
          <t>7/14/2008</t>
        </is>
      </c>
      <c r="L469" s="23" t="inlineStr">
        <is>
          <t>7/14/2008</t>
        </is>
      </c>
      <c r="O469" t="n">
        <v>38</v>
      </c>
    </row>
    <row r="470">
      <c r="A470" t="n">
        <v>60182</v>
      </c>
      <c r="B470" s="1" t="n"/>
      <c r="C470" t="inlineStr">
        <is>
          <t>NSW-QLD</t>
        </is>
      </c>
      <c r="D470" t="inlineStr">
        <is>
          <t>Virtus Health</t>
        </is>
      </c>
      <c r="E470" t="inlineStr">
        <is>
          <t>CSSD Tech</t>
        </is>
      </c>
      <c r="F470" s="1" t="n">
        <v>41791</v>
      </c>
      <c r="G470" s="1" t="n">
        <v>45303</v>
      </c>
      <c r="H470" t="inlineStr">
        <is>
          <t>IVFS2023</t>
        </is>
      </c>
      <c r="I470" t="inlineStr">
        <is>
          <t>QLD</t>
        </is>
      </c>
      <c r="J470" t="inlineStr">
        <is>
          <t>Part Time</t>
        </is>
      </c>
      <c r="K470" s="23" t="n">
        <v>41791</v>
      </c>
      <c r="L470" s="23" t="n">
        <v>41791</v>
      </c>
      <c r="O470" t="n">
        <v>38</v>
      </c>
    </row>
    <row r="471">
      <c r="A471" t="n">
        <v>60182</v>
      </c>
      <c r="B471" s="1" t="n"/>
      <c r="C471" t="inlineStr">
        <is>
          <t>NSW-QLD</t>
        </is>
      </c>
      <c r="D471" t="inlineStr">
        <is>
          <t>Virtus Health</t>
        </is>
      </c>
      <c r="E471" t="inlineStr">
        <is>
          <t>CSSD Tech</t>
        </is>
      </c>
      <c r="F471" s="1" t="n">
        <v>45334</v>
      </c>
      <c r="H471" t="inlineStr">
        <is>
          <t>IVFS2023</t>
        </is>
      </c>
      <c r="I471" t="inlineStr">
        <is>
          <t>QLD</t>
        </is>
      </c>
      <c r="J471" t="inlineStr">
        <is>
          <t>Part Time</t>
        </is>
      </c>
      <c r="K471" s="23" t="n">
        <v>41791</v>
      </c>
      <c r="L471" s="23" t="n">
        <v>41791</v>
      </c>
      <c r="O471" t="n">
        <v>16</v>
      </c>
    </row>
    <row r="472">
      <c r="A472" t="n">
        <v>60185</v>
      </c>
      <c r="C472" t="inlineStr">
        <is>
          <t>NSW-QLD</t>
        </is>
      </c>
      <c r="D472" t="inlineStr">
        <is>
          <t>Virtus Health</t>
        </is>
      </c>
      <c r="E472" t="inlineStr">
        <is>
          <t>CSSD Team Leader</t>
        </is>
      </c>
      <c r="F472" t="inlineStr">
        <is>
          <t>2/25/2022</t>
        </is>
      </c>
      <c r="H472" t="inlineStr">
        <is>
          <t>IVFS2023</t>
        </is>
      </c>
      <c r="I472" t="inlineStr">
        <is>
          <t>QLD</t>
        </is>
      </c>
      <c r="J472" t="inlineStr">
        <is>
          <t>Full Time</t>
        </is>
      </c>
      <c r="K472" s="23" t="inlineStr">
        <is>
          <t>2/25/2022</t>
        </is>
      </c>
      <c r="L472" s="23" t="inlineStr">
        <is>
          <t>2/25/2022</t>
        </is>
      </c>
      <c r="O472" t="n">
        <v>32</v>
      </c>
    </row>
    <row r="473">
      <c r="A473" t="n">
        <v>61005</v>
      </c>
      <c r="B473" s="1" t="n"/>
      <c r="C473" t="inlineStr">
        <is>
          <t>NSW-QLD</t>
        </is>
      </c>
      <c r="D473" t="inlineStr">
        <is>
          <t>Virtus Health</t>
        </is>
      </c>
      <c r="E473" t="inlineStr">
        <is>
          <t>Senior Service Desk Operator</t>
        </is>
      </c>
      <c r="F473" s="1" t="n">
        <v>42377</v>
      </c>
      <c r="H473" t="inlineStr">
        <is>
          <t>QLD</t>
        </is>
      </c>
      <c r="I473" t="inlineStr">
        <is>
          <t>QLD</t>
        </is>
      </c>
      <c r="J473" t="inlineStr">
        <is>
          <t>Full Time</t>
        </is>
      </c>
      <c r="K473" s="23" t="n">
        <v>42377</v>
      </c>
      <c r="L473" s="23" t="n">
        <v>42377</v>
      </c>
      <c r="O473" t="n">
        <v>38</v>
      </c>
    </row>
    <row r="474">
      <c r="A474" t="n">
        <v>61012</v>
      </c>
      <c r="C474" t="inlineStr">
        <is>
          <t>NSW-QLD</t>
        </is>
      </c>
      <c r="D474" t="inlineStr">
        <is>
          <t>Virtus Health</t>
        </is>
      </c>
      <c r="E474" t="inlineStr">
        <is>
          <t>Service Desk Operator</t>
        </is>
      </c>
      <c r="F474" t="inlineStr">
        <is>
          <t>10/25/2021</t>
        </is>
      </c>
      <c r="H474" t="inlineStr">
        <is>
          <t>QLD</t>
        </is>
      </c>
      <c r="I474" t="inlineStr">
        <is>
          <t>QLD</t>
        </is>
      </c>
      <c r="J474" t="inlineStr">
        <is>
          <t>Full Time</t>
        </is>
      </c>
      <c r="K474" s="23" t="inlineStr">
        <is>
          <t>10/25/2021</t>
        </is>
      </c>
      <c r="L474" s="23" t="inlineStr">
        <is>
          <t>10/25/2021</t>
        </is>
      </c>
      <c r="O474" t="n">
        <v>38</v>
      </c>
    </row>
    <row r="475">
      <c r="A475" t="n">
        <v>70004</v>
      </c>
      <c r="C475" t="inlineStr">
        <is>
          <t>NSW-QLD</t>
        </is>
      </c>
      <c r="D475" t="inlineStr">
        <is>
          <t>Virtus Health</t>
        </is>
      </c>
      <c r="E475" t="inlineStr">
        <is>
          <t>Regional Clinical Nurse Specialist</t>
        </is>
      </c>
      <c r="F475" t="inlineStr">
        <is>
          <t>11/22/2004</t>
        </is>
      </c>
      <c r="H475" t="inlineStr">
        <is>
          <t>QN2025</t>
        </is>
      </c>
      <c r="I475" t="inlineStr">
        <is>
          <t>QLD</t>
        </is>
      </c>
      <c r="J475" t="inlineStr">
        <is>
          <t>Full Time</t>
        </is>
      </c>
      <c r="K475" s="23" t="inlineStr">
        <is>
          <t>11/22/2004</t>
        </is>
      </c>
      <c r="L475" s="23" t="inlineStr">
        <is>
          <t>11/22/2004</t>
        </is>
      </c>
      <c r="O475" t="n">
        <v>38</v>
      </c>
    </row>
    <row r="476">
      <c r="A476" t="n">
        <v>70009</v>
      </c>
      <c r="C476" t="inlineStr">
        <is>
          <t>NSW-QLD</t>
        </is>
      </c>
      <c r="D476" t="inlineStr">
        <is>
          <t>Virtus Health</t>
        </is>
      </c>
      <c r="E476" t="inlineStr">
        <is>
          <t>Nurse Coordinator</t>
        </is>
      </c>
      <c r="F476" t="inlineStr">
        <is>
          <t>7/26/2010</t>
        </is>
      </c>
      <c r="H476" t="inlineStr">
        <is>
          <t>QN2025</t>
        </is>
      </c>
      <c r="I476" t="inlineStr">
        <is>
          <t>QLD</t>
        </is>
      </c>
      <c r="J476" t="inlineStr">
        <is>
          <t>Part Time</t>
        </is>
      </c>
      <c r="K476" s="23" t="inlineStr">
        <is>
          <t>7/26/2010</t>
        </is>
      </c>
      <c r="L476" s="23" t="inlineStr">
        <is>
          <t>7/26/2010</t>
        </is>
      </c>
      <c r="O476" t="n">
        <v>15.2</v>
      </c>
    </row>
    <row r="477">
      <c r="A477" t="n">
        <v>70011</v>
      </c>
      <c r="C477" t="inlineStr">
        <is>
          <t>NSW-QLD</t>
        </is>
      </c>
      <c r="D477" t="inlineStr">
        <is>
          <t>Virtus Health</t>
        </is>
      </c>
      <c r="E477" t="inlineStr">
        <is>
          <t>Embryologist</t>
        </is>
      </c>
      <c r="F477" t="inlineStr">
        <is>
          <t>6/30/2008</t>
        </is>
      </c>
      <c r="H477" t="inlineStr">
        <is>
          <t>QS2024</t>
        </is>
      </c>
      <c r="I477" t="inlineStr">
        <is>
          <t>QLD</t>
        </is>
      </c>
      <c r="J477" t="inlineStr">
        <is>
          <t>Part Time</t>
        </is>
      </c>
      <c r="K477" s="23" t="inlineStr">
        <is>
          <t>6/30/2008</t>
        </is>
      </c>
      <c r="L477" s="23" t="inlineStr">
        <is>
          <t>6/30/2008</t>
        </is>
      </c>
      <c r="O477" t="n">
        <v>15.2</v>
      </c>
    </row>
    <row r="478">
      <c r="A478" t="n">
        <v>70013</v>
      </c>
      <c r="C478" t="inlineStr">
        <is>
          <t>NSW-QLD</t>
        </is>
      </c>
      <c r="D478" t="inlineStr">
        <is>
          <t>Virtus Health</t>
        </is>
      </c>
      <c r="E478" t="inlineStr">
        <is>
          <t>Regional Clinical Nurse Specialist</t>
        </is>
      </c>
      <c r="F478" t="inlineStr">
        <is>
          <t>6/29/2015</t>
        </is>
      </c>
      <c r="H478" t="inlineStr">
        <is>
          <t>QN2025</t>
        </is>
      </c>
      <c r="I478" t="inlineStr">
        <is>
          <t>QLD</t>
        </is>
      </c>
      <c r="J478" t="inlineStr">
        <is>
          <t>Part Time</t>
        </is>
      </c>
      <c r="K478" s="23" t="inlineStr">
        <is>
          <t>6/29/2015</t>
        </is>
      </c>
      <c r="L478" s="23" t="inlineStr">
        <is>
          <t>6/29/2015</t>
        </is>
      </c>
      <c r="O478" t="n">
        <v>18</v>
      </c>
    </row>
    <row r="479">
      <c r="A479" t="n">
        <v>70027</v>
      </c>
      <c r="B479" s="1" t="n"/>
      <c r="C479" t="inlineStr">
        <is>
          <t>NSW-QLD</t>
        </is>
      </c>
      <c r="D479" t="inlineStr">
        <is>
          <t>Virtus Health</t>
        </is>
      </c>
      <c r="E479" t="inlineStr">
        <is>
          <t>Laboratory Supervisor</t>
        </is>
      </c>
      <c r="F479" s="1" t="n">
        <v>43688</v>
      </c>
      <c r="H479" t="inlineStr">
        <is>
          <t>QS2024</t>
        </is>
      </c>
      <c r="I479" t="inlineStr">
        <is>
          <t>QLD</t>
        </is>
      </c>
      <c r="J479" t="inlineStr">
        <is>
          <t>Full Time</t>
        </is>
      </c>
      <c r="K479" s="23" t="n">
        <v>43688</v>
      </c>
      <c r="L479" s="23" t="n">
        <v>43688</v>
      </c>
      <c r="O479" t="n">
        <v>38</v>
      </c>
    </row>
    <row r="480">
      <c r="A480" t="n">
        <v>70030</v>
      </c>
      <c r="C480" t="inlineStr">
        <is>
          <t>NSW-QLD</t>
        </is>
      </c>
      <c r="D480" t="inlineStr">
        <is>
          <t>Virtus Health</t>
        </is>
      </c>
      <c r="E480" t="inlineStr">
        <is>
          <t>Registered Nurse</t>
        </is>
      </c>
      <c r="F480" t="inlineStr">
        <is>
          <t>4/21/2021</t>
        </is>
      </c>
      <c r="H480" t="inlineStr">
        <is>
          <t>QN2025</t>
        </is>
      </c>
      <c r="I480" t="inlineStr">
        <is>
          <t>QLD</t>
        </is>
      </c>
      <c r="J480" t="inlineStr">
        <is>
          <t>Part Time</t>
        </is>
      </c>
      <c r="K480" s="23" t="inlineStr">
        <is>
          <t>4/21/2021</t>
        </is>
      </c>
      <c r="L480" s="23" t="inlineStr">
        <is>
          <t>4/21/2021</t>
        </is>
      </c>
      <c r="O480" t="n">
        <v>38</v>
      </c>
    </row>
    <row r="481">
      <c r="A481" t="n">
        <v>80010</v>
      </c>
      <c r="C481" t="inlineStr">
        <is>
          <t>NSW-QLD</t>
        </is>
      </c>
      <c r="D481" t="inlineStr">
        <is>
          <t>Virtus Health</t>
        </is>
      </c>
      <c r="E481" t="inlineStr">
        <is>
          <t>Pathology Scientist</t>
        </is>
      </c>
      <c r="F481" t="inlineStr">
        <is>
          <t>5/19/2008</t>
        </is>
      </c>
      <c r="H481" t="inlineStr">
        <is>
          <t>QS2024</t>
        </is>
      </c>
      <c r="I481" t="inlineStr">
        <is>
          <t>QLD</t>
        </is>
      </c>
      <c r="J481" t="inlineStr">
        <is>
          <t>Full Time</t>
        </is>
      </c>
      <c r="K481" s="23" t="inlineStr">
        <is>
          <t>5/19/2008</t>
        </is>
      </c>
      <c r="L481" s="23" t="inlineStr">
        <is>
          <t>5/19/2008</t>
        </is>
      </c>
      <c r="O481" t="n">
        <v>38</v>
      </c>
    </row>
    <row r="482">
      <c r="A482" t="n">
        <v>80024</v>
      </c>
      <c r="C482" t="inlineStr">
        <is>
          <t>NSW-QLD</t>
        </is>
      </c>
      <c r="D482" t="inlineStr">
        <is>
          <t>Virtus Health</t>
        </is>
      </c>
      <c r="E482" t="inlineStr">
        <is>
          <t>Embryologist</t>
        </is>
      </c>
      <c r="F482" t="inlineStr">
        <is>
          <t>8/18/2008</t>
        </is>
      </c>
      <c r="H482" t="inlineStr">
        <is>
          <t>QS2024</t>
        </is>
      </c>
      <c r="I482" t="inlineStr">
        <is>
          <t>QLD</t>
        </is>
      </c>
      <c r="J482" t="inlineStr">
        <is>
          <t>Part Time</t>
        </is>
      </c>
      <c r="K482" s="23" t="inlineStr">
        <is>
          <t>8/18/2008</t>
        </is>
      </c>
      <c r="L482" s="23" t="inlineStr">
        <is>
          <t>8/18/2008</t>
        </is>
      </c>
      <c r="O482" t="n">
        <v>38</v>
      </c>
    </row>
    <row r="483">
      <c r="A483" t="n">
        <v>80026</v>
      </c>
      <c r="B483" s="1" t="n"/>
      <c r="C483" t="inlineStr">
        <is>
          <t>NSW-QLD</t>
        </is>
      </c>
      <c r="D483" t="inlineStr">
        <is>
          <t>Virtus Health</t>
        </is>
      </c>
      <c r="E483" t="inlineStr">
        <is>
          <t>Regional Clinic Manager/Clinical Nurse Specialist</t>
        </is>
      </c>
      <c r="F483" s="1" t="n">
        <v>36898</v>
      </c>
      <c r="G483" s="1" t="n">
        <v>45236</v>
      </c>
      <c r="H483" t="inlineStr">
        <is>
          <t>QLD</t>
        </is>
      </c>
      <c r="I483" t="inlineStr">
        <is>
          <t>QLD</t>
        </is>
      </c>
      <c r="J483" t="inlineStr">
        <is>
          <t>Part Time</t>
        </is>
      </c>
      <c r="K483" s="23" t="n">
        <v>36898</v>
      </c>
      <c r="L483" s="23" t="n">
        <v>36898</v>
      </c>
      <c r="O483" t="n">
        <v>38</v>
      </c>
    </row>
    <row r="484">
      <c r="A484" t="n">
        <v>80026</v>
      </c>
      <c r="B484" s="1" t="n"/>
      <c r="C484" t="inlineStr">
        <is>
          <t>NSW-QLD</t>
        </is>
      </c>
      <c r="D484" t="inlineStr">
        <is>
          <t>Virtus Health</t>
        </is>
      </c>
      <c r="E484" t="inlineStr">
        <is>
          <t>Regional Clinic Manager/Clinical Nurse Specialist</t>
        </is>
      </c>
      <c r="F484" s="1" t="n">
        <v>45266</v>
      </c>
      <c r="H484" t="inlineStr">
        <is>
          <t>QLD</t>
        </is>
      </c>
      <c r="I484" t="inlineStr">
        <is>
          <t>QLD</t>
        </is>
      </c>
      <c r="J484" t="inlineStr">
        <is>
          <t>Part Time</t>
        </is>
      </c>
      <c r="K484" s="23" t="n">
        <v>36898</v>
      </c>
      <c r="L484" s="23" t="n">
        <v>36898</v>
      </c>
      <c r="O484" t="n">
        <v>32</v>
      </c>
    </row>
    <row r="485">
      <c r="A485" t="n">
        <v>80031</v>
      </c>
      <c r="B485" s="1" t="n"/>
      <c r="C485" t="inlineStr">
        <is>
          <t>NSW-QLD</t>
        </is>
      </c>
      <c r="D485" t="inlineStr">
        <is>
          <t>Virtus Health</t>
        </is>
      </c>
      <c r="E485" t="inlineStr">
        <is>
          <t>Registered Nurse</t>
        </is>
      </c>
      <c r="F485" s="1" t="n">
        <v>38534</v>
      </c>
      <c r="G485" t="inlineStr">
        <is>
          <t>3/26/2023</t>
        </is>
      </c>
      <c r="H485" t="inlineStr">
        <is>
          <t>QN2025</t>
        </is>
      </c>
      <c r="I485" t="inlineStr">
        <is>
          <t>QLD</t>
        </is>
      </c>
      <c r="J485" t="inlineStr">
        <is>
          <t>Part Time</t>
        </is>
      </c>
      <c r="K485" s="23" t="n">
        <v>38534</v>
      </c>
      <c r="L485" s="23" t="n">
        <v>38534</v>
      </c>
      <c r="O485" t="n">
        <v>30.4</v>
      </c>
    </row>
    <row r="486">
      <c r="A486" t="n">
        <v>80031</v>
      </c>
      <c r="B486" s="1" t="n"/>
      <c r="C486" t="inlineStr">
        <is>
          <t>NSW-QLD</t>
        </is>
      </c>
      <c r="D486" t="inlineStr">
        <is>
          <t>Virtus Health</t>
        </is>
      </c>
      <c r="E486" t="inlineStr">
        <is>
          <t>Registered Nurse</t>
        </is>
      </c>
      <c r="F486" t="inlineStr">
        <is>
          <t>3/27/2023</t>
        </is>
      </c>
      <c r="H486" t="inlineStr">
        <is>
          <t>QN2025</t>
        </is>
      </c>
      <c r="I486" t="inlineStr">
        <is>
          <t>QLD</t>
        </is>
      </c>
      <c r="J486" t="inlineStr">
        <is>
          <t>Part Time</t>
        </is>
      </c>
      <c r="K486" s="23" t="n">
        <v>38534</v>
      </c>
      <c r="L486" s="23" t="n">
        <v>38534</v>
      </c>
      <c r="O486" t="n">
        <v>18</v>
      </c>
    </row>
    <row r="487">
      <c r="A487" t="n">
        <v>80033</v>
      </c>
      <c r="C487" t="inlineStr">
        <is>
          <t>NSW-QLD</t>
        </is>
      </c>
      <c r="D487" t="inlineStr">
        <is>
          <t>Virtus Health</t>
        </is>
      </c>
      <c r="E487" t="inlineStr">
        <is>
          <t>Embryologist - Team Leader</t>
        </is>
      </c>
      <c r="F487" t="inlineStr">
        <is>
          <t>1/14/2002</t>
        </is>
      </c>
      <c r="H487" t="inlineStr">
        <is>
          <t>QS2024</t>
        </is>
      </c>
      <c r="I487" t="inlineStr">
        <is>
          <t>QLD</t>
        </is>
      </c>
      <c r="J487" t="inlineStr">
        <is>
          <t>Full Time</t>
        </is>
      </c>
      <c r="K487" s="23" t="inlineStr">
        <is>
          <t>1/14/2002</t>
        </is>
      </c>
      <c r="L487" s="23" t="inlineStr">
        <is>
          <t>1/14/2002</t>
        </is>
      </c>
      <c r="O487" t="n">
        <v>38</v>
      </c>
    </row>
    <row r="488">
      <c r="A488" t="n">
        <v>80042</v>
      </c>
      <c r="C488" t="inlineStr">
        <is>
          <t>NSW-QLD</t>
        </is>
      </c>
      <c r="D488" t="inlineStr">
        <is>
          <t>Virtus Health</t>
        </is>
      </c>
      <c r="E488" t="inlineStr">
        <is>
          <t>Embryologist</t>
        </is>
      </c>
      <c r="F488" s="1" t="n">
        <v>37261</v>
      </c>
      <c r="H488" t="inlineStr">
        <is>
          <t>QS2024</t>
        </is>
      </c>
      <c r="I488" t="inlineStr">
        <is>
          <t>QLD</t>
        </is>
      </c>
      <c r="J488" t="inlineStr">
        <is>
          <t>Full Time</t>
        </is>
      </c>
      <c r="K488" s="23" t="n">
        <v>37261</v>
      </c>
      <c r="L488" s="23" t="n">
        <v>37261</v>
      </c>
      <c r="O488" t="n">
        <v>38</v>
      </c>
    </row>
    <row r="489">
      <c r="A489" t="n">
        <v>80046</v>
      </c>
      <c r="B489" s="1" t="n"/>
      <c r="C489" t="inlineStr">
        <is>
          <t>NSW-QLD</t>
        </is>
      </c>
      <c r="D489" t="inlineStr">
        <is>
          <t>Virtus Health</t>
        </is>
      </c>
      <c r="E489" t="inlineStr">
        <is>
          <t>Embryologist</t>
        </is>
      </c>
      <c r="F489" s="1" t="n">
        <v>41310</v>
      </c>
      <c r="H489" t="inlineStr">
        <is>
          <t>QS2024</t>
        </is>
      </c>
      <c r="I489" t="inlineStr">
        <is>
          <t>QLD</t>
        </is>
      </c>
      <c r="J489" t="inlineStr">
        <is>
          <t>Part Time</t>
        </is>
      </c>
      <c r="K489" s="23" t="n">
        <v>41310</v>
      </c>
      <c r="L489" s="23" t="n">
        <v>41310</v>
      </c>
      <c r="O489" t="n">
        <v>30.4</v>
      </c>
    </row>
    <row r="490">
      <c r="A490" t="n">
        <v>80047</v>
      </c>
      <c r="C490" t="inlineStr">
        <is>
          <t>NSW-QLD</t>
        </is>
      </c>
      <c r="D490" t="inlineStr">
        <is>
          <t>Virtus Health</t>
        </is>
      </c>
      <c r="E490" t="inlineStr">
        <is>
          <t>Embryologist</t>
        </is>
      </c>
      <c r="F490" t="inlineStr">
        <is>
          <t>1/27/2004</t>
        </is>
      </c>
      <c r="H490" t="inlineStr">
        <is>
          <t>QS2024</t>
        </is>
      </c>
      <c r="I490" t="inlineStr">
        <is>
          <t>QLD</t>
        </is>
      </c>
      <c r="J490" t="inlineStr">
        <is>
          <t>Part Time</t>
        </is>
      </c>
      <c r="K490" s="23" t="inlineStr">
        <is>
          <t>1/27/2004</t>
        </is>
      </c>
      <c r="L490" s="23" t="inlineStr">
        <is>
          <t>1/27/2004</t>
        </is>
      </c>
      <c r="O490" t="n">
        <v>22.8</v>
      </c>
    </row>
    <row r="491">
      <c r="A491" t="n">
        <v>80053</v>
      </c>
      <c r="C491" t="inlineStr">
        <is>
          <t>NSW-QLD</t>
        </is>
      </c>
      <c r="D491" t="inlineStr">
        <is>
          <t>Virtus Health</t>
        </is>
      </c>
      <c r="E491" t="inlineStr">
        <is>
          <t>Embryologist</t>
        </is>
      </c>
      <c r="F491" t="inlineStr">
        <is>
          <t>7/14/2005</t>
        </is>
      </c>
      <c r="H491" t="inlineStr">
        <is>
          <t>QS2024</t>
        </is>
      </c>
      <c r="I491" t="inlineStr">
        <is>
          <t>QLD</t>
        </is>
      </c>
      <c r="J491" t="inlineStr">
        <is>
          <t>Part Time</t>
        </is>
      </c>
      <c r="K491" s="23" t="inlineStr">
        <is>
          <t>7/14/2005</t>
        </is>
      </c>
      <c r="L491" s="23" t="inlineStr">
        <is>
          <t>7/14/2005</t>
        </is>
      </c>
      <c r="O491" t="n">
        <v>30.4</v>
      </c>
    </row>
    <row r="492">
      <c r="A492" t="n">
        <v>80055</v>
      </c>
      <c r="C492" t="inlineStr">
        <is>
          <t>NSW-QLD</t>
        </is>
      </c>
      <c r="D492" t="inlineStr">
        <is>
          <t>Virtus Health</t>
        </is>
      </c>
      <c r="E492" t="inlineStr">
        <is>
          <t>Nurse Coordinator</t>
        </is>
      </c>
      <c r="F492" t="inlineStr">
        <is>
          <t>11/25/2013</t>
        </is>
      </c>
      <c r="H492" t="inlineStr">
        <is>
          <t>QN2025</t>
        </is>
      </c>
      <c r="I492" t="inlineStr">
        <is>
          <t>QLD</t>
        </is>
      </c>
      <c r="J492" t="inlineStr">
        <is>
          <t>Part Time</t>
        </is>
      </c>
      <c r="K492" s="23" t="inlineStr">
        <is>
          <t>11/25/2013</t>
        </is>
      </c>
      <c r="L492" s="23" t="inlineStr">
        <is>
          <t>11/25/2013</t>
        </is>
      </c>
      <c r="O492" t="n">
        <v>32</v>
      </c>
    </row>
    <row r="493">
      <c r="A493" t="n">
        <v>80061</v>
      </c>
      <c r="B493" s="1" t="n"/>
      <c r="C493" t="inlineStr">
        <is>
          <t>NSW-QLD</t>
        </is>
      </c>
      <c r="D493" t="inlineStr">
        <is>
          <t>Virtus Health</t>
        </is>
      </c>
      <c r="E493" t="inlineStr">
        <is>
          <t>Embryologist - Team Leader</t>
        </is>
      </c>
      <c r="F493" s="1" t="n">
        <v>41032</v>
      </c>
      <c r="H493" t="inlineStr">
        <is>
          <t>QS2024</t>
        </is>
      </c>
      <c r="I493" t="inlineStr">
        <is>
          <t>QLD</t>
        </is>
      </c>
      <c r="J493" t="inlineStr">
        <is>
          <t>Part Time</t>
        </is>
      </c>
      <c r="K493" s="23" t="n">
        <v>41032</v>
      </c>
      <c r="L493" s="23" t="n">
        <v>41032</v>
      </c>
      <c r="O493" t="n">
        <v>22.8</v>
      </c>
    </row>
    <row r="494">
      <c r="A494" t="n">
        <v>80065</v>
      </c>
      <c r="C494" t="inlineStr">
        <is>
          <t>NSW-QLD</t>
        </is>
      </c>
      <c r="D494" t="inlineStr">
        <is>
          <t>Virtus Health</t>
        </is>
      </c>
      <c r="E494" t="inlineStr">
        <is>
          <t>Clinical Nurse</t>
        </is>
      </c>
      <c r="F494" t="inlineStr">
        <is>
          <t>2/27/2012</t>
        </is>
      </c>
      <c r="H494" t="inlineStr">
        <is>
          <t>QN2025</t>
        </is>
      </c>
      <c r="I494" t="inlineStr">
        <is>
          <t>QLD</t>
        </is>
      </c>
      <c r="J494" t="inlineStr">
        <is>
          <t>Part Time</t>
        </is>
      </c>
      <c r="K494" s="23" t="inlineStr">
        <is>
          <t>2/27/2012</t>
        </is>
      </c>
      <c r="L494" s="23" t="inlineStr">
        <is>
          <t>2/27/2012</t>
        </is>
      </c>
      <c r="O494" t="n">
        <v>36</v>
      </c>
    </row>
    <row r="495">
      <c r="A495" t="n">
        <v>80066</v>
      </c>
      <c r="C495" t="inlineStr">
        <is>
          <t>NSW-QLD</t>
        </is>
      </c>
      <c r="D495" t="inlineStr">
        <is>
          <t>Virtus Health</t>
        </is>
      </c>
      <c r="E495" t="inlineStr">
        <is>
          <t>Administration</t>
        </is>
      </c>
      <c r="F495" t="inlineStr">
        <is>
          <t>7/24/2013</t>
        </is>
      </c>
      <c r="H495" t="inlineStr">
        <is>
          <t>IVFS2023</t>
        </is>
      </c>
      <c r="I495" t="inlineStr">
        <is>
          <t>QLD</t>
        </is>
      </c>
      <c r="J495" t="inlineStr">
        <is>
          <t>Part Time</t>
        </is>
      </c>
      <c r="K495" s="23" t="inlineStr">
        <is>
          <t>7/24/2013</t>
        </is>
      </c>
      <c r="L495" s="23" t="inlineStr">
        <is>
          <t>7/24/2013</t>
        </is>
      </c>
      <c r="O495" t="n">
        <v>38</v>
      </c>
    </row>
    <row r="496">
      <c r="A496" t="n">
        <v>80067</v>
      </c>
      <c r="B496" s="1" t="n"/>
      <c r="C496" t="inlineStr">
        <is>
          <t>NSW-QLD</t>
        </is>
      </c>
      <c r="D496" t="inlineStr">
        <is>
          <t>Virtus Health</t>
        </is>
      </c>
      <c r="E496" t="inlineStr">
        <is>
          <t>Clinical Nurse</t>
        </is>
      </c>
      <c r="F496" t="inlineStr">
        <is>
          <t>7/13/2011</t>
        </is>
      </c>
      <c r="H496" t="inlineStr">
        <is>
          <t>QN2025</t>
        </is>
      </c>
      <c r="I496" t="inlineStr">
        <is>
          <t>QLD</t>
        </is>
      </c>
      <c r="J496" t="inlineStr">
        <is>
          <t>Casual</t>
        </is>
      </c>
      <c r="K496" s="23" t="inlineStr">
        <is>
          <t>7/13/2011</t>
        </is>
      </c>
      <c r="L496" s="23" t="inlineStr">
        <is>
          <t>7/13/2011</t>
        </is>
      </c>
      <c r="O496" t="n">
        <v>38</v>
      </c>
    </row>
    <row r="497">
      <c r="A497" t="n">
        <v>80068</v>
      </c>
      <c r="C497" t="inlineStr">
        <is>
          <t>NSW-QLD</t>
        </is>
      </c>
      <c r="D497" t="inlineStr">
        <is>
          <t>Virtus Health</t>
        </is>
      </c>
      <c r="E497" t="inlineStr">
        <is>
          <t>Clinical Nurse</t>
        </is>
      </c>
      <c r="F497" t="inlineStr">
        <is>
          <t>1/31/2012</t>
        </is>
      </c>
      <c r="G497" s="1" t="n">
        <v>45390</v>
      </c>
      <c r="H497" t="inlineStr">
        <is>
          <t>QN2025</t>
        </is>
      </c>
      <c r="I497" t="inlineStr">
        <is>
          <t>QLD</t>
        </is>
      </c>
      <c r="J497" t="inlineStr">
        <is>
          <t>Part Time</t>
        </is>
      </c>
      <c r="K497" s="23" t="inlineStr">
        <is>
          <t>1/31/2012</t>
        </is>
      </c>
      <c r="L497" s="23" t="inlineStr">
        <is>
          <t>1/31/2012</t>
        </is>
      </c>
      <c r="O497" t="n">
        <v>24</v>
      </c>
    </row>
    <row r="498">
      <c r="A498" t="n">
        <v>80068</v>
      </c>
      <c r="C498" t="inlineStr">
        <is>
          <t>NSW-QLD</t>
        </is>
      </c>
      <c r="D498" t="inlineStr">
        <is>
          <t>Virtus Health</t>
        </is>
      </c>
      <c r="E498" t="inlineStr">
        <is>
          <t>Clinical Nurse</t>
        </is>
      </c>
      <c r="F498" s="1" t="n">
        <v>45420</v>
      </c>
      <c r="G498" t="inlineStr">
        <is>
          <t>9/16/2025</t>
        </is>
      </c>
      <c r="H498" t="inlineStr">
        <is>
          <t>QN2025</t>
        </is>
      </c>
      <c r="I498" t="inlineStr">
        <is>
          <t>QLD</t>
        </is>
      </c>
      <c r="J498" t="inlineStr">
        <is>
          <t>Part Time</t>
        </is>
      </c>
      <c r="K498" s="23" t="inlineStr">
        <is>
          <t>1/31/2012</t>
        </is>
      </c>
      <c r="L498" s="23" t="inlineStr">
        <is>
          <t>1/31/2012</t>
        </is>
      </c>
      <c r="O498" t="n">
        <v>20</v>
      </c>
    </row>
    <row r="499">
      <c r="A499" t="n">
        <v>80068</v>
      </c>
      <c r="C499" t="inlineStr">
        <is>
          <t>NSW-QLD</t>
        </is>
      </c>
      <c r="D499" t="inlineStr">
        <is>
          <t>Virtus Health</t>
        </is>
      </c>
      <c r="E499" t="inlineStr">
        <is>
          <t>Clinical Nurse</t>
        </is>
      </c>
      <c r="F499" t="inlineStr">
        <is>
          <t>9/17/2025</t>
        </is>
      </c>
      <c r="H499" t="inlineStr">
        <is>
          <t>QN2025</t>
        </is>
      </c>
      <c r="I499" t="inlineStr">
        <is>
          <t>QLD</t>
        </is>
      </c>
      <c r="J499" t="inlineStr">
        <is>
          <t>Part Time</t>
        </is>
      </c>
      <c r="K499" s="23" t="inlineStr">
        <is>
          <t>1/31/2012</t>
        </is>
      </c>
      <c r="L499" s="23" t="inlineStr">
        <is>
          <t>1/31/2012</t>
        </is>
      </c>
      <c r="O499" t="n">
        <v>16</v>
      </c>
    </row>
    <row r="500">
      <c r="A500" t="n">
        <v>80071</v>
      </c>
      <c r="B500" s="1" t="n"/>
      <c r="C500" t="inlineStr">
        <is>
          <t>NSW-QLD</t>
        </is>
      </c>
      <c r="D500" t="inlineStr">
        <is>
          <t>Virtus Health</t>
        </is>
      </c>
      <c r="E500" t="inlineStr">
        <is>
          <t>Administration</t>
        </is>
      </c>
      <c r="F500" s="1" t="n">
        <v>41123</v>
      </c>
      <c r="H500" t="inlineStr">
        <is>
          <t>IVFS2023</t>
        </is>
      </c>
      <c r="I500" t="inlineStr">
        <is>
          <t>QLD</t>
        </is>
      </c>
      <c r="J500" t="inlineStr">
        <is>
          <t>Part Time</t>
        </is>
      </c>
      <c r="K500" s="23" t="n">
        <v>41123</v>
      </c>
      <c r="L500" s="23" t="n">
        <v>41123</v>
      </c>
      <c r="O500" t="n">
        <v>36</v>
      </c>
    </row>
    <row r="501">
      <c r="A501" t="n">
        <v>80079</v>
      </c>
      <c r="C501" t="inlineStr">
        <is>
          <t>NSW-QLD</t>
        </is>
      </c>
      <c r="D501" t="inlineStr">
        <is>
          <t>Virtus Health</t>
        </is>
      </c>
      <c r="E501" t="inlineStr">
        <is>
          <t>Phlebotomist</t>
        </is>
      </c>
      <c r="F501" t="inlineStr">
        <is>
          <t>2/18/2008</t>
        </is>
      </c>
      <c r="H501" t="inlineStr">
        <is>
          <t>IVFS2023</t>
        </is>
      </c>
      <c r="I501" t="inlineStr">
        <is>
          <t>QLD</t>
        </is>
      </c>
      <c r="J501" t="inlineStr">
        <is>
          <t>Full Time</t>
        </is>
      </c>
      <c r="K501" s="23" t="inlineStr">
        <is>
          <t>2/18/2008</t>
        </is>
      </c>
      <c r="L501" s="23" t="inlineStr">
        <is>
          <t>2/18/2008</t>
        </is>
      </c>
      <c r="O501" t="n">
        <v>38</v>
      </c>
    </row>
    <row r="502">
      <c r="A502" t="n">
        <v>80081</v>
      </c>
      <c r="C502" t="inlineStr">
        <is>
          <t>NSW-QLD</t>
        </is>
      </c>
      <c r="D502" t="inlineStr">
        <is>
          <t>Virtus Health</t>
        </is>
      </c>
      <c r="E502" t="inlineStr">
        <is>
          <t>Revenue and Billing Team Leader</t>
        </is>
      </c>
      <c r="F502" t="inlineStr">
        <is>
          <t>11/24/2009</t>
        </is>
      </c>
      <c r="H502" t="inlineStr">
        <is>
          <t>IVFS2023</t>
        </is>
      </c>
      <c r="I502" t="inlineStr">
        <is>
          <t>QLD</t>
        </is>
      </c>
      <c r="J502" t="inlineStr">
        <is>
          <t>Full Time</t>
        </is>
      </c>
      <c r="K502" s="23" t="inlineStr">
        <is>
          <t>11/24/2009</t>
        </is>
      </c>
      <c r="L502" s="23" t="inlineStr">
        <is>
          <t>11/24/2009</t>
        </is>
      </c>
      <c r="O502" t="n">
        <v>38</v>
      </c>
    </row>
    <row r="503">
      <c r="A503" t="n">
        <v>80089</v>
      </c>
      <c r="C503" t="inlineStr">
        <is>
          <t>NSW-QLD</t>
        </is>
      </c>
      <c r="D503" t="inlineStr">
        <is>
          <t>Virtus Health</t>
        </is>
      </c>
      <c r="E503" t="inlineStr">
        <is>
          <t>Donor Liaison</t>
        </is>
      </c>
      <c r="F503" t="inlineStr">
        <is>
          <t>1/15/2013</t>
        </is>
      </c>
      <c r="H503" t="inlineStr">
        <is>
          <t>IVFS2023</t>
        </is>
      </c>
      <c r="I503" t="inlineStr">
        <is>
          <t>QLD</t>
        </is>
      </c>
      <c r="J503" t="inlineStr">
        <is>
          <t>Full Time</t>
        </is>
      </c>
      <c r="K503" s="23" t="inlineStr">
        <is>
          <t>1/15/2013</t>
        </is>
      </c>
      <c r="L503" s="23" t="inlineStr">
        <is>
          <t>1/15/2013</t>
        </is>
      </c>
      <c r="O503" t="n">
        <v>38</v>
      </c>
    </row>
    <row r="504">
      <c r="A504" t="n">
        <v>80098</v>
      </c>
      <c r="C504" t="inlineStr">
        <is>
          <t>NSW-QLD</t>
        </is>
      </c>
      <c r="D504" t="inlineStr">
        <is>
          <t>Virtus Health</t>
        </is>
      </c>
      <c r="E504" t="inlineStr">
        <is>
          <t>Pathology Supervising Scientist</t>
        </is>
      </c>
      <c r="F504" t="inlineStr">
        <is>
          <t>8/27/2001</t>
        </is>
      </c>
      <c r="H504" t="inlineStr">
        <is>
          <t>QS2024</t>
        </is>
      </c>
      <c r="I504" t="inlineStr">
        <is>
          <t>QLD</t>
        </is>
      </c>
      <c r="J504" t="inlineStr">
        <is>
          <t>Full Time</t>
        </is>
      </c>
      <c r="K504" s="23" t="inlineStr">
        <is>
          <t>8/27/2001</t>
        </is>
      </c>
      <c r="L504" s="23" t="inlineStr">
        <is>
          <t>8/27/2001</t>
        </is>
      </c>
      <c r="O504" t="n">
        <v>3</v>
      </c>
    </row>
    <row r="505">
      <c r="A505" t="n">
        <v>80101</v>
      </c>
      <c r="C505" t="inlineStr">
        <is>
          <t>NSW-QLD</t>
        </is>
      </c>
      <c r="D505" t="inlineStr">
        <is>
          <t>Virtus Health</t>
        </is>
      </c>
      <c r="E505" t="inlineStr">
        <is>
          <t>Andrologist</t>
        </is>
      </c>
      <c r="F505" t="inlineStr">
        <is>
          <t>5/24/2012</t>
        </is>
      </c>
      <c r="H505" t="inlineStr">
        <is>
          <t>QS2024</t>
        </is>
      </c>
      <c r="I505" t="inlineStr">
        <is>
          <t>QLD</t>
        </is>
      </c>
      <c r="J505" t="inlineStr">
        <is>
          <t>Full Time</t>
        </is>
      </c>
      <c r="K505" s="23" t="inlineStr">
        <is>
          <t>5/24/2012</t>
        </is>
      </c>
      <c r="L505" s="23" t="inlineStr">
        <is>
          <t>5/24/2012</t>
        </is>
      </c>
      <c r="O505" t="n">
        <v>38</v>
      </c>
    </row>
    <row r="506">
      <c r="A506" t="n">
        <v>80102</v>
      </c>
      <c r="C506" t="inlineStr">
        <is>
          <t>NSW-QLD</t>
        </is>
      </c>
      <c r="D506" t="inlineStr">
        <is>
          <t>Virtus Health</t>
        </is>
      </c>
      <c r="E506" t="inlineStr">
        <is>
          <t>Embryologist</t>
        </is>
      </c>
      <c r="F506" t="inlineStr">
        <is>
          <t>2/27/1989</t>
        </is>
      </c>
      <c r="G506" t="inlineStr">
        <is>
          <t>12/27/2022</t>
        </is>
      </c>
      <c r="H506" t="inlineStr">
        <is>
          <t>QS2024</t>
        </is>
      </c>
      <c r="I506" t="inlineStr">
        <is>
          <t>QLD</t>
        </is>
      </c>
      <c r="J506" t="inlineStr">
        <is>
          <t>Part Time</t>
        </is>
      </c>
      <c r="K506" s="23" t="inlineStr">
        <is>
          <t>2/27/1989</t>
        </is>
      </c>
      <c r="L506" s="23" t="inlineStr">
        <is>
          <t>2/27/1989</t>
        </is>
      </c>
      <c r="O506" t="n">
        <v>15.2</v>
      </c>
    </row>
    <row r="507">
      <c r="A507" t="n">
        <v>80102</v>
      </c>
      <c r="C507" t="inlineStr">
        <is>
          <t>NSW-QLD</t>
        </is>
      </c>
      <c r="D507" t="inlineStr">
        <is>
          <t>Virtus Health</t>
        </is>
      </c>
      <c r="E507" t="inlineStr">
        <is>
          <t>Embryologist</t>
        </is>
      </c>
      <c r="F507" t="inlineStr">
        <is>
          <t>12/28/2022</t>
        </is>
      </c>
      <c r="H507" t="inlineStr">
        <is>
          <t>QS2024</t>
        </is>
      </c>
      <c r="I507" t="inlineStr">
        <is>
          <t>QLD</t>
        </is>
      </c>
      <c r="J507" t="inlineStr">
        <is>
          <t>Part Time</t>
        </is>
      </c>
      <c r="K507" s="23" t="inlineStr">
        <is>
          <t>2/27/1989</t>
        </is>
      </c>
      <c r="L507" s="23" t="inlineStr">
        <is>
          <t>2/27/1989</t>
        </is>
      </c>
      <c r="O507" t="n">
        <v>22.8</v>
      </c>
    </row>
    <row r="508">
      <c r="A508" t="n">
        <v>80103</v>
      </c>
      <c r="B508" s="1" t="n"/>
      <c r="C508" t="inlineStr">
        <is>
          <t>NSW-QLD</t>
        </is>
      </c>
      <c r="D508" t="inlineStr">
        <is>
          <t>Virtus Health</t>
        </is>
      </c>
      <c r="E508" t="inlineStr">
        <is>
          <t>Embryologist</t>
        </is>
      </c>
      <c r="F508" s="1" t="n">
        <v>40059</v>
      </c>
      <c r="H508" t="inlineStr">
        <is>
          <t>QS2024</t>
        </is>
      </c>
      <c r="I508" t="inlineStr">
        <is>
          <t>QLD</t>
        </is>
      </c>
      <c r="J508" t="inlineStr">
        <is>
          <t>Full Time</t>
        </is>
      </c>
      <c r="K508" s="23" t="n">
        <v>40059</v>
      </c>
      <c r="L508" s="23" t="n">
        <v>40059</v>
      </c>
      <c r="O508" t="n">
        <v>38</v>
      </c>
    </row>
    <row r="509">
      <c r="A509" t="n">
        <v>80105</v>
      </c>
      <c r="B509" s="1" t="n"/>
      <c r="C509" t="inlineStr">
        <is>
          <t>NSW-QLD</t>
        </is>
      </c>
      <c r="D509" t="inlineStr">
        <is>
          <t>Virtus Health</t>
        </is>
      </c>
      <c r="E509" t="inlineStr">
        <is>
          <t xml:space="preserve">Senior Scientist - </t>
        </is>
      </c>
      <c r="F509" s="1" t="n">
        <v>39724</v>
      </c>
      <c r="H509" t="inlineStr">
        <is>
          <t>QS2024</t>
        </is>
      </c>
      <c r="I509" t="inlineStr">
        <is>
          <t>QLD</t>
        </is>
      </c>
      <c r="J509" t="inlineStr">
        <is>
          <t>Full Time</t>
        </is>
      </c>
      <c r="K509" s="23" t="n">
        <v>39724</v>
      </c>
      <c r="L509" s="23" t="n">
        <v>39724</v>
      </c>
      <c r="O509" t="n">
        <v>38</v>
      </c>
    </row>
    <row r="510">
      <c r="A510" t="n">
        <v>80106</v>
      </c>
      <c r="C510" t="inlineStr">
        <is>
          <t>NSW-QLD</t>
        </is>
      </c>
      <c r="D510" t="inlineStr">
        <is>
          <t>Virtus Health</t>
        </is>
      </c>
      <c r="E510" t="inlineStr">
        <is>
          <t>Embryologist</t>
        </is>
      </c>
      <c r="F510" t="inlineStr">
        <is>
          <t>10/14/1996</t>
        </is>
      </c>
      <c r="H510" t="inlineStr">
        <is>
          <t>QS2024</t>
        </is>
      </c>
      <c r="I510" t="inlineStr">
        <is>
          <t>QLD</t>
        </is>
      </c>
      <c r="J510" t="inlineStr">
        <is>
          <t>Full Time</t>
        </is>
      </c>
      <c r="K510" s="23" t="inlineStr">
        <is>
          <t>10/14/1996</t>
        </is>
      </c>
      <c r="L510" s="23" t="inlineStr">
        <is>
          <t>10/14/1996</t>
        </is>
      </c>
      <c r="O510" t="n">
        <v>38</v>
      </c>
    </row>
    <row r="511">
      <c r="A511" t="n">
        <v>80108</v>
      </c>
      <c r="B511" s="1" t="n"/>
      <c r="C511" t="inlineStr">
        <is>
          <t>NSW-QLD</t>
        </is>
      </c>
      <c r="D511" t="inlineStr">
        <is>
          <t>Virtus Health</t>
        </is>
      </c>
      <c r="E511" t="inlineStr">
        <is>
          <t>Embryologist</t>
        </is>
      </c>
      <c r="F511" s="1" t="n">
        <v>35130</v>
      </c>
      <c r="G511" t="inlineStr">
        <is>
          <t>5/28/2023</t>
        </is>
      </c>
      <c r="H511" t="inlineStr">
        <is>
          <t>QS2024</t>
        </is>
      </c>
      <c r="I511" t="inlineStr">
        <is>
          <t>QLD</t>
        </is>
      </c>
      <c r="J511" t="inlineStr">
        <is>
          <t>Part Time</t>
        </is>
      </c>
      <c r="K511" s="23" t="n">
        <v>35130</v>
      </c>
      <c r="L511" s="23" t="n">
        <v>35130</v>
      </c>
      <c r="O511" t="n">
        <v>38</v>
      </c>
    </row>
    <row r="512">
      <c r="A512" t="n">
        <v>80108</v>
      </c>
      <c r="B512" s="1" t="n"/>
      <c r="C512" t="inlineStr">
        <is>
          <t>NSW-QLD</t>
        </is>
      </c>
      <c r="D512" t="inlineStr">
        <is>
          <t>Virtus Health</t>
        </is>
      </c>
      <c r="E512" t="inlineStr">
        <is>
          <t>Embryologist</t>
        </is>
      </c>
      <c r="F512" t="inlineStr">
        <is>
          <t>5/29/2023</t>
        </is>
      </c>
      <c r="H512" t="inlineStr">
        <is>
          <t>QS2024</t>
        </is>
      </c>
      <c r="I512" t="inlineStr">
        <is>
          <t>QLD</t>
        </is>
      </c>
      <c r="J512" t="inlineStr">
        <is>
          <t>Part Time</t>
        </is>
      </c>
      <c r="K512" s="23" t="n">
        <v>35130</v>
      </c>
      <c r="L512" s="23" t="n">
        <v>35130</v>
      </c>
      <c r="O512" t="n">
        <v>30.4</v>
      </c>
    </row>
    <row r="513">
      <c r="A513" t="n">
        <v>80110</v>
      </c>
      <c r="B513" s="1" t="n"/>
      <c r="C513" t="inlineStr">
        <is>
          <t>NSW-QLD</t>
        </is>
      </c>
      <c r="D513" t="inlineStr">
        <is>
          <t>Virtus Health</t>
        </is>
      </c>
      <c r="E513" t="inlineStr">
        <is>
          <t>Embryologist</t>
        </is>
      </c>
      <c r="F513" s="1" t="n">
        <v>40519</v>
      </c>
      <c r="H513" t="inlineStr">
        <is>
          <t>QS2024</t>
        </is>
      </c>
      <c r="I513" t="inlineStr">
        <is>
          <t>QLD</t>
        </is>
      </c>
      <c r="J513" t="inlineStr">
        <is>
          <t>Part Time</t>
        </is>
      </c>
      <c r="K513" s="23" t="n">
        <v>40519</v>
      </c>
      <c r="L513" s="23" t="n">
        <v>40519</v>
      </c>
      <c r="O513" t="n">
        <v>15.2</v>
      </c>
    </row>
    <row r="514">
      <c r="A514" t="n">
        <v>80116</v>
      </c>
      <c r="C514" t="inlineStr">
        <is>
          <t>NSW-QLD</t>
        </is>
      </c>
      <c r="D514" t="inlineStr">
        <is>
          <t>Virtus Health</t>
        </is>
      </c>
      <c r="E514" t="inlineStr">
        <is>
          <t>Genetic Senior Scientist</t>
        </is>
      </c>
      <c r="F514" t="inlineStr">
        <is>
          <t>5/28/2013</t>
        </is>
      </c>
      <c r="H514" t="inlineStr">
        <is>
          <t>QS2024</t>
        </is>
      </c>
      <c r="I514" t="inlineStr">
        <is>
          <t>QLD</t>
        </is>
      </c>
      <c r="J514" t="inlineStr">
        <is>
          <t>Full Time</t>
        </is>
      </c>
      <c r="K514" s="23" t="inlineStr">
        <is>
          <t>5/28/2013</t>
        </is>
      </c>
      <c r="L514" s="23" t="inlineStr">
        <is>
          <t>5/28/2013</t>
        </is>
      </c>
      <c r="O514" t="n">
        <v>38</v>
      </c>
    </row>
    <row r="515">
      <c r="A515" t="n">
        <v>80117</v>
      </c>
      <c r="B515" s="1" t="n"/>
      <c r="C515" t="inlineStr">
        <is>
          <t>NSW-QLD</t>
        </is>
      </c>
      <c r="D515" t="inlineStr">
        <is>
          <t>Virtus Health</t>
        </is>
      </c>
      <c r="E515" t="inlineStr">
        <is>
          <t>Genetic Scientist</t>
        </is>
      </c>
      <c r="F515" s="1" t="n">
        <v>40637</v>
      </c>
      <c r="H515" t="inlineStr">
        <is>
          <t>QS2024</t>
        </is>
      </c>
      <c r="I515" t="inlineStr">
        <is>
          <t>QLD</t>
        </is>
      </c>
      <c r="J515" t="inlineStr">
        <is>
          <t>Part Time</t>
        </is>
      </c>
      <c r="K515" s="23" t="n">
        <v>40637</v>
      </c>
      <c r="L515" s="23" t="n">
        <v>40637</v>
      </c>
      <c r="O515" t="n">
        <v>38</v>
      </c>
    </row>
    <row r="516">
      <c r="A516" t="n">
        <v>80119</v>
      </c>
      <c r="C516" t="inlineStr">
        <is>
          <t>NSW-QLD</t>
        </is>
      </c>
      <c r="D516" t="inlineStr">
        <is>
          <t>Virtus Health</t>
        </is>
      </c>
      <c r="E516" t="inlineStr">
        <is>
          <t>Genetic Senior Scientist</t>
        </is>
      </c>
      <c r="F516" t="inlineStr">
        <is>
          <t>6/17/2013</t>
        </is>
      </c>
      <c r="H516" t="inlineStr">
        <is>
          <t>QS2024</t>
        </is>
      </c>
      <c r="I516" t="inlineStr">
        <is>
          <t>QLD</t>
        </is>
      </c>
      <c r="J516" t="inlineStr">
        <is>
          <t>Full Time</t>
        </is>
      </c>
      <c r="K516" s="23" t="inlineStr">
        <is>
          <t>6/17/2013</t>
        </is>
      </c>
      <c r="L516" s="23" t="inlineStr">
        <is>
          <t>6/17/2013</t>
        </is>
      </c>
      <c r="O516" t="n">
        <v>38</v>
      </c>
    </row>
    <row r="517">
      <c r="A517" t="n">
        <v>80122</v>
      </c>
      <c r="B517" s="1" t="n"/>
      <c r="C517" t="inlineStr">
        <is>
          <t>NSW-QLD</t>
        </is>
      </c>
      <c r="D517" t="inlineStr">
        <is>
          <t>Virtus Health</t>
        </is>
      </c>
      <c r="E517" t="inlineStr">
        <is>
          <t>Genetic Scientist</t>
        </is>
      </c>
      <c r="F517" s="1" t="n">
        <v>40607</v>
      </c>
      <c r="H517" t="inlineStr">
        <is>
          <t>QS2024</t>
        </is>
      </c>
      <c r="I517" t="inlineStr">
        <is>
          <t>QLD</t>
        </is>
      </c>
      <c r="J517" t="inlineStr">
        <is>
          <t>Part Time</t>
        </is>
      </c>
      <c r="K517" s="23" t="n">
        <v>40607</v>
      </c>
      <c r="L517" s="23" t="n">
        <v>40607</v>
      </c>
      <c r="O517" t="n">
        <v>38</v>
      </c>
    </row>
    <row r="518">
      <c r="A518" t="n">
        <v>80123</v>
      </c>
      <c r="C518" t="inlineStr">
        <is>
          <t>NSW-QLD</t>
        </is>
      </c>
      <c r="D518" t="inlineStr">
        <is>
          <t>Virtus Health</t>
        </is>
      </c>
      <c r="E518" t="inlineStr">
        <is>
          <t>Genetic Senior Scientist</t>
        </is>
      </c>
      <c r="F518" t="inlineStr">
        <is>
          <t>3/25/2013</t>
        </is>
      </c>
      <c r="H518" t="inlineStr">
        <is>
          <t>QS2024</t>
        </is>
      </c>
      <c r="I518" t="inlineStr">
        <is>
          <t>QLD</t>
        </is>
      </c>
      <c r="J518" t="inlineStr">
        <is>
          <t>Full Time</t>
        </is>
      </c>
      <c r="K518" s="23" t="inlineStr">
        <is>
          <t>3/25/2013</t>
        </is>
      </c>
      <c r="L518" s="23" t="inlineStr">
        <is>
          <t>3/25/2013</t>
        </is>
      </c>
      <c r="O518" t="n">
        <v>38</v>
      </c>
    </row>
    <row r="519">
      <c r="A519" t="n">
        <v>80125</v>
      </c>
      <c r="B519" s="1" t="n"/>
      <c r="C519" t="inlineStr">
        <is>
          <t>NSW-QLD</t>
        </is>
      </c>
      <c r="D519" t="inlineStr">
        <is>
          <t>Virtus Health</t>
        </is>
      </c>
      <c r="E519" t="inlineStr">
        <is>
          <t>Genetic Scientist</t>
        </is>
      </c>
      <c r="F519" s="1" t="n">
        <v>41526</v>
      </c>
      <c r="H519" t="inlineStr">
        <is>
          <t>QS2024</t>
        </is>
      </c>
      <c r="I519" t="inlineStr">
        <is>
          <t>QLD</t>
        </is>
      </c>
      <c r="J519" t="inlineStr">
        <is>
          <t>Full Time</t>
        </is>
      </c>
      <c r="K519" s="23" t="n">
        <v>41526</v>
      </c>
      <c r="L519" s="23" t="n">
        <v>41526</v>
      </c>
      <c r="O519" t="n">
        <v>13</v>
      </c>
    </row>
    <row r="520">
      <c r="A520" t="n">
        <v>80131</v>
      </c>
      <c r="C520" t="inlineStr">
        <is>
          <t>NSW-QLD</t>
        </is>
      </c>
      <c r="D520" t="inlineStr">
        <is>
          <t>Virtus Health</t>
        </is>
      </c>
      <c r="E520" t="inlineStr">
        <is>
          <t>Donor Coordinator</t>
        </is>
      </c>
      <c r="F520" t="inlineStr">
        <is>
          <t>7/30/2007</t>
        </is>
      </c>
      <c r="H520" t="inlineStr">
        <is>
          <t>QN2025</t>
        </is>
      </c>
      <c r="I520" t="inlineStr">
        <is>
          <t>QLD</t>
        </is>
      </c>
      <c r="J520" t="inlineStr">
        <is>
          <t>Part Time</t>
        </is>
      </c>
      <c r="K520" s="23" t="inlineStr">
        <is>
          <t>7/30/2007</t>
        </is>
      </c>
      <c r="L520" s="23" t="inlineStr">
        <is>
          <t>7/30/2007</t>
        </is>
      </c>
      <c r="O520" t="n">
        <v>30.4</v>
      </c>
    </row>
    <row r="521">
      <c r="A521" t="n">
        <v>80137</v>
      </c>
      <c r="B521" s="1" t="n"/>
      <c r="C521" t="inlineStr">
        <is>
          <t>NSW-QLD</t>
        </is>
      </c>
      <c r="D521" t="inlineStr">
        <is>
          <t>Virtus Health</t>
        </is>
      </c>
      <c r="E521" t="inlineStr">
        <is>
          <t>Operation Projects</t>
        </is>
      </c>
      <c r="F521" s="1" t="n">
        <v>41978</v>
      </c>
      <c r="H521" t="inlineStr">
        <is>
          <t>QLD</t>
        </is>
      </c>
      <c r="I521" t="inlineStr">
        <is>
          <t>QLD</t>
        </is>
      </c>
      <c r="J521" t="inlineStr">
        <is>
          <t>Full Time</t>
        </is>
      </c>
      <c r="K521" s="23" t="n">
        <v>41978</v>
      </c>
      <c r="L521" s="23" t="n">
        <v>41978</v>
      </c>
      <c r="O521" t="n">
        <v>34.2</v>
      </c>
    </row>
    <row r="522">
      <c r="A522" t="n">
        <v>80139</v>
      </c>
      <c r="B522" s="1" t="n"/>
      <c r="C522" t="inlineStr">
        <is>
          <t>NSW-QLD</t>
        </is>
      </c>
      <c r="D522" t="inlineStr">
        <is>
          <t>Virtus Health</t>
        </is>
      </c>
      <c r="E522" t="inlineStr">
        <is>
          <t>Phlebotomist</t>
        </is>
      </c>
      <c r="F522" s="1" t="n">
        <v>41976</v>
      </c>
      <c r="H522" t="inlineStr">
        <is>
          <t>IVFS2023</t>
        </is>
      </c>
      <c r="I522" t="inlineStr">
        <is>
          <t>QLD</t>
        </is>
      </c>
      <c r="J522" t="inlineStr">
        <is>
          <t>Part Time</t>
        </is>
      </c>
      <c r="K522" s="23" t="n">
        <v>41976</v>
      </c>
      <c r="L522" s="23" t="n">
        <v>41976</v>
      </c>
      <c r="O522" t="n">
        <v>28.5</v>
      </c>
    </row>
    <row r="523">
      <c r="A523" t="n">
        <v>80146</v>
      </c>
      <c r="C523" t="inlineStr">
        <is>
          <t>NSW-QLD</t>
        </is>
      </c>
      <c r="D523" t="inlineStr">
        <is>
          <t>Virtus Health</t>
        </is>
      </c>
      <c r="E523" t="inlineStr">
        <is>
          <t>Nurse Coordinator</t>
        </is>
      </c>
      <c r="F523" t="inlineStr">
        <is>
          <t>10/29/2012</t>
        </is>
      </c>
      <c r="H523" t="inlineStr">
        <is>
          <t>QN2025</t>
        </is>
      </c>
      <c r="I523" t="inlineStr">
        <is>
          <t>QLD</t>
        </is>
      </c>
      <c r="J523" t="inlineStr">
        <is>
          <t>Part Time</t>
        </is>
      </c>
      <c r="K523" s="23" t="inlineStr">
        <is>
          <t>10/29/2012</t>
        </is>
      </c>
      <c r="L523" s="23" t="inlineStr">
        <is>
          <t>10/29/2012</t>
        </is>
      </c>
      <c r="O523" t="n">
        <v>22.8</v>
      </c>
    </row>
    <row r="524">
      <c r="A524" t="n">
        <v>80167</v>
      </c>
      <c r="C524" t="inlineStr">
        <is>
          <t>NSW-QLD</t>
        </is>
      </c>
      <c r="D524" t="inlineStr">
        <is>
          <t>Virtus Health</t>
        </is>
      </c>
      <c r="E524" t="inlineStr">
        <is>
          <t>Genetic Scientist</t>
        </is>
      </c>
      <c r="F524" t="inlineStr">
        <is>
          <t>2/23/2015</t>
        </is>
      </c>
      <c r="H524" t="inlineStr">
        <is>
          <t>QS2024</t>
        </is>
      </c>
      <c r="I524" t="inlineStr">
        <is>
          <t>QLD</t>
        </is>
      </c>
      <c r="J524" t="inlineStr">
        <is>
          <t>Part Time</t>
        </is>
      </c>
      <c r="K524" s="23" t="inlineStr">
        <is>
          <t>2/23/2015</t>
        </is>
      </c>
      <c r="L524" s="23" t="inlineStr">
        <is>
          <t>2/23/2015</t>
        </is>
      </c>
      <c r="O524" t="n">
        <v>26</v>
      </c>
    </row>
    <row r="525">
      <c r="A525" t="n">
        <v>80187</v>
      </c>
      <c r="B525" s="1" t="n"/>
      <c r="C525" t="inlineStr">
        <is>
          <t>NSW-QLD</t>
        </is>
      </c>
      <c r="D525" t="inlineStr">
        <is>
          <t>Virtus Health</t>
        </is>
      </c>
      <c r="E525" t="inlineStr">
        <is>
          <t>Embryologist</t>
        </is>
      </c>
      <c r="F525" s="1" t="n">
        <v>42165</v>
      </c>
      <c r="H525" t="inlineStr">
        <is>
          <t>QS2024</t>
        </is>
      </c>
      <c r="I525" t="inlineStr">
        <is>
          <t>QLD</t>
        </is>
      </c>
      <c r="J525" t="inlineStr">
        <is>
          <t>Full Time</t>
        </is>
      </c>
      <c r="K525" s="23" t="n">
        <v>42165</v>
      </c>
      <c r="L525" s="23" t="n">
        <v>42165</v>
      </c>
      <c r="O525" t="n">
        <v>38</v>
      </c>
    </row>
    <row r="526">
      <c r="A526" t="n">
        <v>80202</v>
      </c>
      <c r="C526" t="inlineStr">
        <is>
          <t>NSW-QLD</t>
        </is>
      </c>
      <c r="D526" t="inlineStr">
        <is>
          <t>Virtus Health</t>
        </is>
      </c>
      <c r="E526" t="inlineStr">
        <is>
          <t>Phlebotomist</t>
        </is>
      </c>
      <c r="F526" t="inlineStr">
        <is>
          <t>1/18/2016</t>
        </is>
      </c>
      <c r="H526" t="inlineStr">
        <is>
          <t>IVFS2023</t>
        </is>
      </c>
      <c r="I526" t="inlineStr">
        <is>
          <t>QLD</t>
        </is>
      </c>
      <c r="J526" t="inlineStr">
        <is>
          <t>Casual</t>
        </is>
      </c>
      <c r="K526" s="23" t="inlineStr">
        <is>
          <t>1/18/2016</t>
        </is>
      </c>
      <c r="L526" s="23" t="inlineStr">
        <is>
          <t>1/18/2016</t>
        </is>
      </c>
      <c r="O526" t="n">
        <v>38</v>
      </c>
    </row>
    <row r="527">
      <c r="A527" t="n">
        <v>80204</v>
      </c>
      <c r="C527" t="inlineStr">
        <is>
          <t>NSW-QLD</t>
        </is>
      </c>
      <c r="D527" t="inlineStr">
        <is>
          <t>Virtus Health</t>
        </is>
      </c>
      <c r="E527" t="inlineStr">
        <is>
          <t>Senior Embryologist/Quality Management</t>
        </is>
      </c>
      <c r="F527" t="inlineStr">
        <is>
          <t>1/25/2016</t>
        </is>
      </c>
      <c r="H527" t="inlineStr">
        <is>
          <t>QS2024</t>
        </is>
      </c>
      <c r="I527" t="inlineStr">
        <is>
          <t>TAS</t>
        </is>
      </c>
      <c r="J527" t="inlineStr">
        <is>
          <t>Part Time</t>
        </is>
      </c>
      <c r="K527" s="23" t="inlineStr">
        <is>
          <t>1/25/2016</t>
        </is>
      </c>
      <c r="L527" s="23" t="inlineStr">
        <is>
          <t>1/25/2016</t>
        </is>
      </c>
      <c r="O527" t="n">
        <v>38</v>
      </c>
    </row>
    <row r="528">
      <c r="A528" t="n">
        <v>80216</v>
      </c>
      <c r="C528" t="inlineStr">
        <is>
          <t>NSW-QLD</t>
        </is>
      </c>
      <c r="D528" t="inlineStr">
        <is>
          <t>Virtus Health</t>
        </is>
      </c>
      <c r="E528" t="inlineStr">
        <is>
          <t>Nurse Coordinator</t>
        </is>
      </c>
      <c r="F528" t="inlineStr">
        <is>
          <t>6/20/2016</t>
        </is>
      </c>
      <c r="H528" t="inlineStr">
        <is>
          <t>QN2025</t>
        </is>
      </c>
      <c r="I528" t="inlineStr">
        <is>
          <t>QLD</t>
        </is>
      </c>
      <c r="J528" t="inlineStr">
        <is>
          <t>Full Time</t>
        </is>
      </c>
      <c r="K528" s="23" t="inlineStr">
        <is>
          <t>6/20/2016</t>
        </is>
      </c>
      <c r="L528" s="23" t="inlineStr">
        <is>
          <t>6/20/2016</t>
        </is>
      </c>
      <c r="O528" t="n">
        <v>38</v>
      </c>
    </row>
    <row r="529">
      <c r="A529" t="n">
        <v>80222</v>
      </c>
      <c r="C529" t="inlineStr">
        <is>
          <t>NSW-QLD</t>
        </is>
      </c>
      <c r="D529" t="inlineStr">
        <is>
          <t>Virtus Health</t>
        </is>
      </c>
      <c r="E529" t="inlineStr">
        <is>
          <t>Laboratory Technician</t>
        </is>
      </c>
      <c r="F529" t="inlineStr">
        <is>
          <t>6/20/2016</t>
        </is>
      </c>
      <c r="H529" t="inlineStr">
        <is>
          <t>QS2024</t>
        </is>
      </c>
      <c r="I529" t="inlineStr">
        <is>
          <t>QLD</t>
        </is>
      </c>
      <c r="J529" t="inlineStr">
        <is>
          <t>Part Time</t>
        </is>
      </c>
      <c r="K529" s="23" t="inlineStr">
        <is>
          <t>6/20/2016</t>
        </is>
      </c>
      <c r="L529" s="23" t="inlineStr">
        <is>
          <t>6/20/2016</t>
        </is>
      </c>
      <c r="O529" t="n">
        <v>38</v>
      </c>
    </row>
    <row r="530">
      <c r="A530" t="n">
        <v>80229</v>
      </c>
      <c r="B530" s="1" t="n"/>
      <c r="C530" t="inlineStr">
        <is>
          <t>NSW-QLD</t>
        </is>
      </c>
      <c r="D530" t="inlineStr">
        <is>
          <t>Virtus Health</t>
        </is>
      </c>
      <c r="E530" t="inlineStr">
        <is>
          <t>Administration</t>
        </is>
      </c>
      <c r="F530" s="1" t="n">
        <v>42653</v>
      </c>
      <c r="H530" t="inlineStr">
        <is>
          <t>IVFS2023</t>
        </is>
      </c>
      <c r="I530" t="inlineStr">
        <is>
          <t>QLD</t>
        </is>
      </c>
      <c r="J530" t="inlineStr">
        <is>
          <t>Full Time</t>
        </is>
      </c>
      <c r="K530" s="23" t="n">
        <v>42653</v>
      </c>
      <c r="L530" s="23" t="n">
        <v>42653</v>
      </c>
      <c r="O530" t="n">
        <v>38</v>
      </c>
    </row>
    <row r="531">
      <c r="A531" t="n">
        <v>80255</v>
      </c>
      <c r="B531" s="1" t="n"/>
      <c r="C531" t="inlineStr">
        <is>
          <t>NSW-QLD</t>
        </is>
      </c>
      <c r="D531" t="inlineStr">
        <is>
          <t>Virtus Health</t>
        </is>
      </c>
      <c r="E531" t="inlineStr">
        <is>
          <t>Trainee Embryologist</t>
        </is>
      </c>
      <c r="F531" s="1" t="n">
        <v>42771</v>
      </c>
      <c r="H531" t="inlineStr">
        <is>
          <t>QS2024</t>
        </is>
      </c>
      <c r="I531" t="inlineStr">
        <is>
          <t>QLD</t>
        </is>
      </c>
      <c r="J531" t="inlineStr">
        <is>
          <t>Part Time</t>
        </is>
      </c>
      <c r="K531" s="23" t="n">
        <v>42771</v>
      </c>
      <c r="L531" s="23" t="n">
        <v>42771</v>
      </c>
      <c r="O531" t="n">
        <v>32</v>
      </c>
    </row>
    <row r="532">
      <c r="A532" t="n">
        <v>80260</v>
      </c>
      <c r="B532" s="1" t="n"/>
      <c r="C532" t="inlineStr">
        <is>
          <t>NSW-QLD</t>
        </is>
      </c>
      <c r="D532" t="inlineStr">
        <is>
          <t>Virtus Health</t>
        </is>
      </c>
      <c r="E532" t="inlineStr">
        <is>
          <t>Accounts Receivable Officer</t>
        </is>
      </c>
      <c r="F532" s="1" t="n">
        <v>43015</v>
      </c>
      <c r="H532" t="inlineStr">
        <is>
          <t>IVFS2023</t>
        </is>
      </c>
      <c r="I532" t="inlineStr">
        <is>
          <t>QLD</t>
        </is>
      </c>
      <c r="J532" t="inlineStr">
        <is>
          <t>Part Time</t>
        </is>
      </c>
      <c r="K532" s="23" t="n">
        <v>43015</v>
      </c>
      <c r="L532" s="23" t="n">
        <v>43015</v>
      </c>
      <c r="O532" t="n">
        <v>38</v>
      </c>
    </row>
    <row r="533">
      <c r="A533" t="n">
        <v>80293</v>
      </c>
      <c r="B533" s="1" t="n"/>
      <c r="C533" t="inlineStr">
        <is>
          <t>NSW-QLD</t>
        </is>
      </c>
      <c r="D533" t="inlineStr">
        <is>
          <t>Virtus Health</t>
        </is>
      </c>
      <c r="E533" t="inlineStr">
        <is>
          <t>Registered Nurse</t>
        </is>
      </c>
      <c r="F533" s="1" t="n">
        <v>40269</v>
      </c>
      <c r="H533" t="inlineStr">
        <is>
          <t>QN2025</t>
        </is>
      </c>
      <c r="I533" t="inlineStr">
        <is>
          <t>QLD</t>
        </is>
      </c>
      <c r="J533" t="inlineStr">
        <is>
          <t>Casual</t>
        </is>
      </c>
      <c r="K533" s="23" t="n">
        <v>40269</v>
      </c>
      <c r="L533" s="23" t="n">
        <v>40269</v>
      </c>
      <c r="O533" t="n">
        <v>38</v>
      </c>
    </row>
    <row r="534">
      <c r="A534" t="n">
        <v>80300</v>
      </c>
      <c r="B534" s="1" t="n"/>
      <c r="C534" t="inlineStr">
        <is>
          <t>NSW-QLD</t>
        </is>
      </c>
      <c r="D534" t="inlineStr">
        <is>
          <t>Virtus Health</t>
        </is>
      </c>
      <c r="E534" t="inlineStr">
        <is>
          <t>Registered Nurse/Clinic Co-Ordinator</t>
        </is>
      </c>
      <c r="F534" s="1" t="n">
        <v>43138</v>
      </c>
      <c r="H534" t="inlineStr">
        <is>
          <t>QN2025</t>
        </is>
      </c>
      <c r="I534" t="inlineStr">
        <is>
          <t>QLD</t>
        </is>
      </c>
      <c r="J534" t="inlineStr">
        <is>
          <t>Full Time</t>
        </is>
      </c>
      <c r="K534" s="23" t="n">
        <v>43138</v>
      </c>
      <c r="L534" s="23" t="n">
        <v>43138</v>
      </c>
      <c r="O534" t="n">
        <v>38</v>
      </c>
    </row>
    <row r="535">
      <c r="A535" t="n">
        <v>80301</v>
      </c>
      <c r="B535" s="1" t="n"/>
      <c r="C535" t="inlineStr">
        <is>
          <t>NSW-QLD</t>
        </is>
      </c>
      <c r="D535" t="inlineStr">
        <is>
          <t>Virtus Health</t>
        </is>
      </c>
      <c r="E535" t="inlineStr">
        <is>
          <t>Courier</t>
        </is>
      </c>
      <c r="F535" s="1" t="n">
        <v>43411</v>
      </c>
      <c r="H535" t="inlineStr">
        <is>
          <t>IVFS2023</t>
        </is>
      </c>
      <c r="I535" t="inlineStr">
        <is>
          <t>QLD</t>
        </is>
      </c>
      <c r="J535" t="inlineStr">
        <is>
          <t>Part Time</t>
        </is>
      </c>
      <c r="K535" s="23" t="n">
        <v>43411</v>
      </c>
      <c r="L535" s="23" t="n">
        <v>43411</v>
      </c>
      <c r="O535" t="n">
        <v>25.5</v>
      </c>
    </row>
    <row r="536">
      <c r="A536" t="n">
        <v>80315</v>
      </c>
      <c r="C536" t="inlineStr">
        <is>
          <t>NSW-QLD</t>
        </is>
      </c>
      <c r="D536" t="inlineStr">
        <is>
          <t>Virtus Health</t>
        </is>
      </c>
      <c r="E536" t="inlineStr">
        <is>
          <t>Laboratory Technician</t>
        </is>
      </c>
      <c r="F536" t="inlineStr">
        <is>
          <t>5/27/2019</t>
        </is>
      </c>
      <c r="H536" t="inlineStr">
        <is>
          <t>QS2024</t>
        </is>
      </c>
      <c r="I536" t="inlineStr">
        <is>
          <t>QLD</t>
        </is>
      </c>
      <c r="J536" t="inlineStr">
        <is>
          <t>Full Time</t>
        </is>
      </c>
      <c r="K536" s="23" t="inlineStr">
        <is>
          <t>5/27/2019</t>
        </is>
      </c>
      <c r="L536" s="23" t="inlineStr">
        <is>
          <t>5/27/2019</t>
        </is>
      </c>
      <c r="O536" t="n">
        <v>38</v>
      </c>
    </row>
    <row r="537">
      <c r="A537" t="n">
        <v>80327</v>
      </c>
      <c r="C537" t="inlineStr">
        <is>
          <t>NSW-QLD</t>
        </is>
      </c>
      <c r="D537" t="inlineStr">
        <is>
          <t>Virtus Health</t>
        </is>
      </c>
      <c r="E537" t="inlineStr">
        <is>
          <t>Financial Accountant</t>
        </is>
      </c>
      <c r="F537" t="inlineStr">
        <is>
          <t>9/23/2019</t>
        </is>
      </c>
      <c r="H537" t="inlineStr">
        <is>
          <t>QLD</t>
        </is>
      </c>
      <c r="I537" t="inlineStr">
        <is>
          <t>QLD</t>
        </is>
      </c>
      <c r="J537" t="inlineStr">
        <is>
          <t>Full Time</t>
        </is>
      </c>
      <c r="K537" s="23" t="inlineStr">
        <is>
          <t>9/23/2019</t>
        </is>
      </c>
      <c r="L537" s="23" t="inlineStr">
        <is>
          <t>9/23/2019</t>
        </is>
      </c>
      <c r="O537" t="n">
        <v>38</v>
      </c>
    </row>
    <row r="538">
      <c r="A538" t="n">
        <v>80329</v>
      </c>
      <c r="C538" t="inlineStr">
        <is>
          <t>NSW-QLD</t>
        </is>
      </c>
      <c r="D538" t="inlineStr">
        <is>
          <t>Virtus Health</t>
        </is>
      </c>
      <c r="E538" t="inlineStr">
        <is>
          <t>Pathology Scientist</t>
        </is>
      </c>
      <c r="F538" t="inlineStr">
        <is>
          <t>10/17/2019</t>
        </is>
      </c>
      <c r="H538" t="inlineStr">
        <is>
          <t>QS2024</t>
        </is>
      </c>
      <c r="I538" t="inlineStr">
        <is>
          <t>QLD</t>
        </is>
      </c>
      <c r="J538" t="inlineStr">
        <is>
          <t>Full Time</t>
        </is>
      </c>
      <c r="K538" s="23" t="inlineStr">
        <is>
          <t>10/17/2019</t>
        </is>
      </c>
      <c r="L538" s="23" t="inlineStr">
        <is>
          <t>10/17/2019</t>
        </is>
      </c>
      <c r="O538" t="n">
        <v>38</v>
      </c>
    </row>
    <row r="539">
      <c r="A539" t="n">
        <v>80330</v>
      </c>
      <c r="C539" t="inlineStr">
        <is>
          <t>NSW-QLD</t>
        </is>
      </c>
      <c r="D539" t="inlineStr">
        <is>
          <t>Virtus Health</t>
        </is>
      </c>
      <c r="E539" t="inlineStr">
        <is>
          <t>Enrolled Nurse</t>
        </is>
      </c>
      <c r="F539" t="inlineStr">
        <is>
          <t>5/24/2019</t>
        </is>
      </c>
      <c r="H539" t="inlineStr">
        <is>
          <t>QN2025</t>
        </is>
      </c>
      <c r="I539" t="inlineStr">
        <is>
          <t>QLD</t>
        </is>
      </c>
      <c r="J539" t="inlineStr">
        <is>
          <t>Part Time</t>
        </is>
      </c>
      <c r="K539" s="23" t="inlineStr">
        <is>
          <t>5/24/2019</t>
        </is>
      </c>
      <c r="L539" s="23" t="inlineStr">
        <is>
          <t>5/24/2019</t>
        </is>
      </c>
      <c r="O539" t="n">
        <v>22.8</v>
      </c>
    </row>
    <row r="540">
      <c r="A540" t="n">
        <v>80338</v>
      </c>
      <c r="B540" s="1" t="n"/>
      <c r="C540" t="inlineStr">
        <is>
          <t>NSW-QLD</t>
        </is>
      </c>
      <c r="D540" t="inlineStr">
        <is>
          <t>Virtus Health</t>
        </is>
      </c>
      <c r="E540" t="inlineStr">
        <is>
          <t>National Operations Manager - Diagnostics</t>
        </is>
      </c>
      <c r="F540" s="1" t="n">
        <v>43892</v>
      </c>
      <c r="H540" t="inlineStr">
        <is>
          <t>QLD</t>
        </is>
      </c>
      <c r="I540" t="inlineStr">
        <is>
          <t>QLD</t>
        </is>
      </c>
      <c r="J540" t="inlineStr">
        <is>
          <t>Full Time</t>
        </is>
      </c>
      <c r="K540" s="23" t="n">
        <v>43892</v>
      </c>
      <c r="L540" s="23" t="n">
        <v>43892</v>
      </c>
      <c r="O540" t="n">
        <v>38</v>
      </c>
    </row>
    <row r="541">
      <c r="A541" t="n">
        <v>80342</v>
      </c>
      <c r="B541" s="1" t="n"/>
      <c r="C541" t="inlineStr">
        <is>
          <t>NSW-QLD</t>
        </is>
      </c>
      <c r="D541" t="inlineStr">
        <is>
          <t>Virtus Health</t>
        </is>
      </c>
      <c r="E541" t="inlineStr">
        <is>
          <t>Embryologist</t>
        </is>
      </c>
      <c r="F541" s="1" t="n">
        <v>44140</v>
      </c>
      <c r="H541" t="inlineStr">
        <is>
          <t>QS2024</t>
        </is>
      </c>
      <c r="I541" t="inlineStr">
        <is>
          <t>QLD</t>
        </is>
      </c>
      <c r="J541" t="inlineStr">
        <is>
          <t>Full Time</t>
        </is>
      </c>
      <c r="K541" s="23" t="n">
        <v>44140</v>
      </c>
      <c r="L541" s="23" t="n">
        <v>44140</v>
      </c>
      <c r="O541" t="n">
        <v>28</v>
      </c>
    </row>
    <row r="542">
      <c r="A542" t="n">
        <v>80343</v>
      </c>
      <c r="B542" s="1" t="n"/>
      <c r="C542" t="inlineStr">
        <is>
          <t>NSW-QLD</t>
        </is>
      </c>
      <c r="D542" t="inlineStr">
        <is>
          <t>Virtus Health</t>
        </is>
      </c>
      <c r="E542" t="inlineStr">
        <is>
          <t>Nurse Coordinator</t>
        </is>
      </c>
      <c r="F542" s="1" t="n">
        <v>44140</v>
      </c>
      <c r="H542" t="inlineStr">
        <is>
          <t>QN2025</t>
        </is>
      </c>
      <c r="I542" t="inlineStr">
        <is>
          <t>QLD</t>
        </is>
      </c>
      <c r="J542" t="inlineStr">
        <is>
          <t>Part Time</t>
        </is>
      </c>
      <c r="K542" s="23" t="n">
        <v>44140</v>
      </c>
      <c r="L542" s="23" t="n">
        <v>44140</v>
      </c>
      <c r="O542" t="n">
        <v>38</v>
      </c>
    </row>
    <row r="543">
      <c r="A543" t="n">
        <v>80348</v>
      </c>
      <c r="C543" t="inlineStr">
        <is>
          <t>NSW-QLD</t>
        </is>
      </c>
      <c r="D543" t="inlineStr">
        <is>
          <t>Virtus Health</t>
        </is>
      </c>
      <c r="E543" t="inlineStr">
        <is>
          <t>Embryologist</t>
        </is>
      </c>
      <c r="F543" t="inlineStr">
        <is>
          <t>5/25/2020</t>
        </is>
      </c>
      <c r="H543" t="inlineStr">
        <is>
          <t>QS2024</t>
        </is>
      </c>
      <c r="I543" t="inlineStr">
        <is>
          <t>QLD</t>
        </is>
      </c>
      <c r="J543" t="inlineStr">
        <is>
          <t>Full Time</t>
        </is>
      </c>
      <c r="K543" s="23" t="inlineStr">
        <is>
          <t>5/25/2020</t>
        </is>
      </c>
      <c r="L543" s="23" t="inlineStr">
        <is>
          <t>5/25/2020</t>
        </is>
      </c>
      <c r="O543" t="n">
        <v>38</v>
      </c>
    </row>
    <row r="544">
      <c r="A544" t="n">
        <v>80351</v>
      </c>
      <c r="B544" s="1" t="n"/>
      <c r="C544" t="inlineStr">
        <is>
          <t>NSW-QLD</t>
        </is>
      </c>
      <c r="D544" t="inlineStr">
        <is>
          <t>Virtus Health</t>
        </is>
      </c>
      <c r="E544" t="inlineStr">
        <is>
          <t>Fertility Lab Manager</t>
        </is>
      </c>
      <c r="F544" s="1" t="n">
        <v>43836</v>
      </c>
      <c r="H544" t="inlineStr">
        <is>
          <t>QLD</t>
        </is>
      </c>
      <c r="I544" t="inlineStr">
        <is>
          <t>QLD</t>
        </is>
      </c>
      <c r="J544" t="inlineStr">
        <is>
          <t>Full Time</t>
        </is>
      </c>
      <c r="K544" s="23" t="n">
        <v>43836</v>
      </c>
      <c r="L544" s="23" t="n">
        <v>43836</v>
      </c>
      <c r="O544" t="n">
        <v>28.5</v>
      </c>
    </row>
    <row r="545">
      <c r="A545" t="n">
        <v>80359</v>
      </c>
      <c r="C545" t="inlineStr">
        <is>
          <t>NSW-QLD</t>
        </is>
      </c>
      <c r="D545" t="inlineStr">
        <is>
          <t>Virtus Health</t>
        </is>
      </c>
      <c r="E545" t="inlineStr">
        <is>
          <t>Clinical Administration-Nursing</t>
        </is>
      </c>
      <c r="F545" t="inlineStr">
        <is>
          <t>7/13/2020</t>
        </is>
      </c>
      <c r="H545" t="inlineStr">
        <is>
          <t>IVFS2023</t>
        </is>
      </c>
      <c r="I545" t="inlineStr">
        <is>
          <t>QLD</t>
        </is>
      </c>
      <c r="J545" t="inlineStr">
        <is>
          <t>Full Time</t>
        </is>
      </c>
      <c r="K545" s="23" t="inlineStr">
        <is>
          <t>7/13/2020</t>
        </is>
      </c>
      <c r="L545" s="23" t="inlineStr">
        <is>
          <t>7/13/2020</t>
        </is>
      </c>
      <c r="O545" t="n">
        <v>38</v>
      </c>
    </row>
    <row r="546">
      <c r="A546" t="n">
        <v>80364</v>
      </c>
      <c r="B546" s="1" t="n"/>
      <c r="C546" t="inlineStr">
        <is>
          <t>NSW-QLD</t>
        </is>
      </c>
      <c r="D546" t="inlineStr">
        <is>
          <t>Virtus Health</t>
        </is>
      </c>
      <c r="E546" t="inlineStr">
        <is>
          <t xml:space="preserve"> Acc Receivable Mgr</t>
        </is>
      </c>
      <c r="F546" s="1" t="n">
        <v>44143</v>
      </c>
      <c r="H546" t="inlineStr">
        <is>
          <t>IVFS2023</t>
        </is>
      </c>
      <c r="I546" t="inlineStr">
        <is>
          <t>QLD</t>
        </is>
      </c>
      <c r="J546" t="inlineStr">
        <is>
          <t>Full Time</t>
        </is>
      </c>
      <c r="K546" s="23" t="n">
        <v>44143</v>
      </c>
      <c r="L546" s="23" t="n">
        <v>44143</v>
      </c>
      <c r="O546" t="n">
        <v>38</v>
      </c>
    </row>
    <row r="547">
      <c r="A547" t="n">
        <v>80372</v>
      </c>
      <c r="C547" t="inlineStr">
        <is>
          <t>NSW-QLD</t>
        </is>
      </c>
      <c r="D547" t="inlineStr">
        <is>
          <t>Virtus Health</t>
        </is>
      </c>
      <c r="E547" t="inlineStr">
        <is>
          <t xml:space="preserve"> Embryologist</t>
        </is>
      </c>
      <c r="F547" t="inlineStr">
        <is>
          <t>9/14/2020</t>
        </is>
      </c>
      <c r="H547" t="inlineStr">
        <is>
          <t>QS2024</t>
        </is>
      </c>
      <c r="I547" t="inlineStr">
        <is>
          <t>QLD</t>
        </is>
      </c>
      <c r="J547" t="inlineStr">
        <is>
          <t>Full Time</t>
        </is>
      </c>
      <c r="K547" s="23" t="inlineStr">
        <is>
          <t>9/14/2020</t>
        </is>
      </c>
      <c r="L547" s="23" t="inlineStr">
        <is>
          <t>9/14/2020</t>
        </is>
      </c>
      <c r="O547" t="n">
        <v>27</v>
      </c>
    </row>
    <row r="548">
      <c r="A548" t="n">
        <v>80375</v>
      </c>
      <c r="C548" t="inlineStr">
        <is>
          <t>NSW-QLD</t>
        </is>
      </c>
      <c r="D548" t="inlineStr">
        <is>
          <t>Virtus Health</t>
        </is>
      </c>
      <c r="E548" t="inlineStr">
        <is>
          <t>Executive Assistant &amp; HR Administration</t>
        </is>
      </c>
      <c r="F548" t="inlineStr">
        <is>
          <t>9/21/2020</t>
        </is>
      </c>
      <c r="H548" t="inlineStr">
        <is>
          <t>QLD</t>
        </is>
      </c>
      <c r="I548" t="inlineStr">
        <is>
          <t>QLD</t>
        </is>
      </c>
      <c r="J548" t="inlineStr">
        <is>
          <t>Full Time</t>
        </is>
      </c>
      <c r="K548" s="23" t="inlineStr">
        <is>
          <t>9/21/2020</t>
        </is>
      </c>
      <c r="L548" s="23" t="inlineStr">
        <is>
          <t>9/21/2020</t>
        </is>
      </c>
      <c r="O548" t="n">
        <v>38</v>
      </c>
    </row>
    <row r="549">
      <c r="A549" t="n">
        <v>80378</v>
      </c>
      <c r="C549" t="inlineStr">
        <is>
          <t>NSW-QLD</t>
        </is>
      </c>
      <c r="D549" t="inlineStr">
        <is>
          <t>Virtus Health</t>
        </is>
      </c>
      <c r="E549" t="inlineStr">
        <is>
          <t>Laboratory Technician</t>
        </is>
      </c>
      <c r="F549" t="inlineStr">
        <is>
          <t>9/28/2020</t>
        </is>
      </c>
      <c r="H549" t="inlineStr">
        <is>
          <t>QS2024</t>
        </is>
      </c>
      <c r="I549" t="inlineStr">
        <is>
          <t>QLD</t>
        </is>
      </c>
      <c r="J549" t="inlineStr">
        <is>
          <t>Part Time</t>
        </is>
      </c>
      <c r="K549" s="23" t="inlineStr">
        <is>
          <t>9/28/2020</t>
        </is>
      </c>
      <c r="L549" s="23" t="inlineStr">
        <is>
          <t>9/28/2020</t>
        </is>
      </c>
      <c r="O549" t="n">
        <v>34.2</v>
      </c>
    </row>
    <row r="550">
      <c r="A550" t="n">
        <v>80385</v>
      </c>
      <c r="C550" t="inlineStr">
        <is>
          <t>NSW-QLD</t>
        </is>
      </c>
      <c r="D550" t="inlineStr">
        <is>
          <t>Virtus Health</t>
        </is>
      </c>
      <c r="E550" t="inlineStr">
        <is>
          <t>Courier</t>
        </is>
      </c>
      <c r="F550" t="inlineStr">
        <is>
          <t>10/20/2020</t>
        </is>
      </c>
      <c r="H550" t="inlineStr">
        <is>
          <t>IVFS2023</t>
        </is>
      </c>
      <c r="I550" t="inlineStr">
        <is>
          <t>QLD</t>
        </is>
      </c>
      <c r="J550" t="inlineStr">
        <is>
          <t>Part Time</t>
        </is>
      </c>
      <c r="K550" s="23" t="inlineStr">
        <is>
          <t>10/20/2020</t>
        </is>
      </c>
      <c r="L550" s="23" t="inlineStr">
        <is>
          <t>10/20/2020</t>
        </is>
      </c>
      <c r="O550" t="n">
        <v>22</v>
      </c>
    </row>
    <row r="551">
      <c r="A551" t="n">
        <v>80392</v>
      </c>
      <c r="C551" t="inlineStr">
        <is>
          <t>NSW-QLD</t>
        </is>
      </c>
      <c r="D551" t="inlineStr">
        <is>
          <t>Virtus Health</t>
        </is>
      </c>
      <c r="E551" t="inlineStr">
        <is>
          <t>Phlebotomist</t>
        </is>
      </c>
      <c r="F551" t="inlineStr">
        <is>
          <t>1/14/2021</t>
        </is>
      </c>
      <c r="H551" t="inlineStr">
        <is>
          <t>IVFS2023</t>
        </is>
      </c>
      <c r="I551" t="inlineStr">
        <is>
          <t>QLD</t>
        </is>
      </c>
      <c r="J551" t="inlineStr">
        <is>
          <t>Casual</t>
        </is>
      </c>
      <c r="K551" s="23" t="inlineStr">
        <is>
          <t>1/14/2021</t>
        </is>
      </c>
      <c r="L551" s="23" t="inlineStr">
        <is>
          <t>1/14/2021</t>
        </is>
      </c>
      <c r="O551" t="n">
        <v>38</v>
      </c>
    </row>
    <row r="552">
      <c r="A552" t="n">
        <v>80397</v>
      </c>
      <c r="B552" s="1" t="n"/>
      <c r="C552" t="inlineStr">
        <is>
          <t>NSW-QLD</t>
        </is>
      </c>
      <c r="D552" t="inlineStr">
        <is>
          <t>Virtus Health</t>
        </is>
      </c>
      <c r="E552" t="inlineStr">
        <is>
          <t>Embryology Regional Coordinator</t>
        </is>
      </c>
      <c r="F552" s="1" t="n">
        <v>43836</v>
      </c>
      <c r="H552" t="inlineStr">
        <is>
          <t>QS2024</t>
        </is>
      </c>
      <c r="I552" t="inlineStr">
        <is>
          <t>QLD</t>
        </is>
      </c>
      <c r="J552" t="inlineStr">
        <is>
          <t>Full Time</t>
        </is>
      </c>
      <c r="K552" s="23" t="n">
        <v>43836</v>
      </c>
      <c r="L552" s="23" t="n">
        <v>43836</v>
      </c>
      <c r="O552" t="n">
        <v>38</v>
      </c>
    </row>
    <row r="553">
      <c r="A553" t="n">
        <v>80398</v>
      </c>
      <c r="B553" s="1" t="n"/>
      <c r="C553" t="inlineStr">
        <is>
          <t>NSW-QLD</t>
        </is>
      </c>
      <c r="D553" t="inlineStr">
        <is>
          <t>Virtus Health</t>
        </is>
      </c>
      <c r="E553" t="inlineStr">
        <is>
          <t xml:space="preserve">Acting Managing Director </t>
        </is>
      </c>
      <c r="F553" s="1" t="n">
        <v>44199</v>
      </c>
      <c r="H553" t="inlineStr">
        <is>
          <t>QLD</t>
        </is>
      </c>
      <c r="I553" t="inlineStr">
        <is>
          <t>QLD</t>
        </is>
      </c>
      <c r="J553" t="inlineStr">
        <is>
          <t>Full Time</t>
        </is>
      </c>
      <c r="K553" s="23" t="n">
        <v>44199</v>
      </c>
      <c r="L553" s="23" t="n">
        <v>44199</v>
      </c>
      <c r="O553" t="n">
        <v>38</v>
      </c>
    </row>
    <row r="554">
      <c r="A554" t="n">
        <v>80400</v>
      </c>
      <c r="B554" s="1" t="n"/>
      <c r="C554" t="inlineStr">
        <is>
          <t>NSW-QLD</t>
        </is>
      </c>
      <c r="D554" t="inlineStr">
        <is>
          <t>Virtus Health</t>
        </is>
      </c>
      <c r="E554" t="inlineStr">
        <is>
          <t>Nurse Coordinator</t>
        </is>
      </c>
      <c r="F554" s="1" t="n">
        <v>44199</v>
      </c>
      <c r="H554" t="inlineStr">
        <is>
          <t>QN2025</t>
        </is>
      </c>
      <c r="I554" t="inlineStr">
        <is>
          <t>QLD</t>
        </is>
      </c>
      <c r="J554" t="inlineStr">
        <is>
          <t>Part Time</t>
        </is>
      </c>
      <c r="K554" s="23" t="n">
        <v>44199</v>
      </c>
      <c r="L554" s="23" t="n">
        <v>44199</v>
      </c>
      <c r="O554" t="n">
        <v>38</v>
      </c>
    </row>
    <row r="555">
      <c r="A555" t="n">
        <v>80402</v>
      </c>
      <c r="C555" t="inlineStr">
        <is>
          <t>NSW-QLD</t>
        </is>
      </c>
      <c r="D555" t="inlineStr">
        <is>
          <t>Virtus Health</t>
        </is>
      </c>
      <c r="E555" t="inlineStr">
        <is>
          <t xml:space="preserve"> Embryologist</t>
        </is>
      </c>
      <c r="F555" t="inlineStr">
        <is>
          <t>3/22/2021</t>
        </is>
      </c>
      <c r="H555" t="inlineStr">
        <is>
          <t>QS2024</t>
        </is>
      </c>
      <c r="I555" t="inlineStr">
        <is>
          <t>QLD</t>
        </is>
      </c>
      <c r="J555" t="inlineStr">
        <is>
          <t>Full Time</t>
        </is>
      </c>
      <c r="K555" s="23" t="inlineStr">
        <is>
          <t>3/22/2021</t>
        </is>
      </c>
      <c r="L555" s="23" t="inlineStr">
        <is>
          <t>3/22/2021</t>
        </is>
      </c>
      <c r="O555" t="n">
        <v>38</v>
      </c>
    </row>
    <row r="556">
      <c r="A556" t="n">
        <v>80410</v>
      </c>
      <c r="C556" t="inlineStr">
        <is>
          <t>NSW-QLD</t>
        </is>
      </c>
      <c r="D556" t="inlineStr">
        <is>
          <t>Virtus Health</t>
        </is>
      </c>
      <c r="E556" t="inlineStr">
        <is>
          <t>Embryologist</t>
        </is>
      </c>
      <c r="F556" t="inlineStr">
        <is>
          <t>4/26/2021</t>
        </is>
      </c>
      <c r="H556" t="inlineStr">
        <is>
          <t>QS2024</t>
        </is>
      </c>
      <c r="I556" t="inlineStr">
        <is>
          <t>QLD</t>
        </is>
      </c>
      <c r="J556" t="inlineStr">
        <is>
          <t>Full Time</t>
        </is>
      </c>
      <c r="K556" s="23" t="inlineStr">
        <is>
          <t>4/26/2021</t>
        </is>
      </c>
      <c r="L556" s="23" t="inlineStr">
        <is>
          <t>4/26/2021</t>
        </is>
      </c>
      <c r="O556" t="n">
        <v>38</v>
      </c>
    </row>
    <row r="557">
      <c r="A557" t="n">
        <v>80413</v>
      </c>
      <c r="B557" s="1" t="n"/>
      <c r="C557" t="inlineStr">
        <is>
          <t>NSW-QLD</t>
        </is>
      </c>
      <c r="D557" t="inlineStr">
        <is>
          <t>Virtus Health</t>
        </is>
      </c>
      <c r="E557" t="inlineStr">
        <is>
          <t>Senior Counsellor</t>
        </is>
      </c>
      <c r="F557" s="1" t="n">
        <v>44474</v>
      </c>
      <c r="H557" t="inlineStr">
        <is>
          <t>IVFC2022</t>
        </is>
      </c>
      <c r="I557" t="inlineStr">
        <is>
          <t>QLD</t>
        </is>
      </c>
      <c r="J557" t="inlineStr">
        <is>
          <t>Part Time</t>
        </is>
      </c>
      <c r="K557" s="23" t="n">
        <v>44474</v>
      </c>
      <c r="L557" s="23" t="n">
        <v>44474</v>
      </c>
      <c r="O557" t="n">
        <v>38</v>
      </c>
    </row>
    <row r="558">
      <c r="A558" t="n">
        <v>80414</v>
      </c>
      <c r="C558" t="inlineStr">
        <is>
          <t>NSW-QLD</t>
        </is>
      </c>
      <c r="D558" t="inlineStr">
        <is>
          <t>Virtus Health</t>
        </is>
      </c>
      <c r="E558" t="inlineStr">
        <is>
          <t>Nurse Coordinator</t>
        </is>
      </c>
      <c r="F558" t="inlineStr">
        <is>
          <t>5/17/2021</t>
        </is>
      </c>
      <c r="H558" t="inlineStr">
        <is>
          <t>QN2025</t>
        </is>
      </c>
      <c r="I558" t="inlineStr">
        <is>
          <t>QLD</t>
        </is>
      </c>
      <c r="J558" t="inlineStr">
        <is>
          <t>Part Time</t>
        </is>
      </c>
      <c r="K558" s="23" t="inlineStr">
        <is>
          <t>5/17/2021</t>
        </is>
      </c>
      <c r="L558" s="23" t="inlineStr">
        <is>
          <t>5/17/2021</t>
        </is>
      </c>
      <c r="O558" t="n">
        <v>30</v>
      </c>
    </row>
    <row r="559">
      <c r="A559" t="n">
        <v>80415</v>
      </c>
      <c r="C559" t="inlineStr">
        <is>
          <t>NSW-QLD</t>
        </is>
      </c>
      <c r="D559" t="inlineStr">
        <is>
          <t>Virtus Health</t>
        </is>
      </c>
      <c r="E559" t="inlineStr">
        <is>
          <t>IVF Nurse Coordinator</t>
        </is>
      </c>
      <c r="F559" t="inlineStr">
        <is>
          <t>5/17/2021</t>
        </is>
      </c>
      <c r="H559" t="inlineStr">
        <is>
          <t>QN2025</t>
        </is>
      </c>
      <c r="I559" t="inlineStr">
        <is>
          <t>QLD</t>
        </is>
      </c>
      <c r="J559" t="inlineStr">
        <is>
          <t>Part Time</t>
        </is>
      </c>
      <c r="K559" s="23" t="inlineStr">
        <is>
          <t>5/17/2021</t>
        </is>
      </c>
      <c r="L559" s="23" t="inlineStr">
        <is>
          <t>5/17/2021</t>
        </is>
      </c>
      <c r="O559" t="n">
        <v>38</v>
      </c>
    </row>
    <row r="560">
      <c r="A560" t="n">
        <v>80420</v>
      </c>
      <c r="C560" t="inlineStr">
        <is>
          <t>NSW-QLD</t>
        </is>
      </c>
      <c r="D560" t="inlineStr">
        <is>
          <t>Virtus Health</t>
        </is>
      </c>
      <c r="E560" t="inlineStr">
        <is>
          <t>Phlebotomist</t>
        </is>
      </c>
      <c r="F560" t="inlineStr">
        <is>
          <t>6/16/2021</t>
        </is>
      </c>
      <c r="H560" t="inlineStr">
        <is>
          <t>IVFS2023</t>
        </is>
      </c>
      <c r="I560" t="inlineStr">
        <is>
          <t>QLD</t>
        </is>
      </c>
      <c r="J560" t="inlineStr">
        <is>
          <t>Casual</t>
        </is>
      </c>
      <c r="K560" s="23" t="inlineStr">
        <is>
          <t>6/16/2021</t>
        </is>
      </c>
      <c r="L560" s="23" t="inlineStr">
        <is>
          <t>6/16/2021</t>
        </is>
      </c>
      <c r="O560" t="n">
        <v>34</v>
      </c>
    </row>
    <row r="561">
      <c r="A561" t="n">
        <v>80427</v>
      </c>
      <c r="C561" t="inlineStr">
        <is>
          <t>NSW-QLD</t>
        </is>
      </c>
      <c r="D561" t="inlineStr">
        <is>
          <t>Virtus Health</t>
        </is>
      </c>
      <c r="E561" t="inlineStr">
        <is>
          <t>Finance Officer</t>
        </is>
      </c>
      <c r="F561" t="inlineStr">
        <is>
          <t>7/19/2021</t>
        </is>
      </c>
      <c r="H561" t="inlineStr">
        <is>
          <t>QLD</t>
        </is>
      </c>
      <c r="I561" t="inlineStr">
        <is>
          <t>QLD</t>
        </is>
      </c>
      <c r="J561" t="inlineStr">
        <is>
          <t>Full Time</t>
        </is>
      </c>
      <c r="K561" s="23" t="inlineStr">
        <is>
          <t>7/19/2021</t>
        </is>
      </c>
      <c r="L561" s="23" t="inlineStr">
        <is>
          <t>7/19/2021</t>
        </is>
      </c>
      <c r="O561" t="n">
        <v>15.2</v>
      </c>
    </row>
    <row r="562">
      <c r="A562" t="n">
        <v>80428</v>
      </c>
      <c r="B562" s="1" t="n"/>
      <c r="C562" t="inlineStr">
        <is>
          <t>NSW-QLD</t>
        </is>
      </c>
      <c r="D562" t="inlineStr">
        <is>
          <t>Virtus Health</t>
        </is>
      </c>
      <c r="E562" t="inlineStr">
        <is>
          <t>Pracrtice Manager</t>
        </is>
      </c>
      <c r="F562" s="1" t="n">
        <v>42464</v>
      </c>
      <c r="H562" t="inlineStr">
        <is>
          <t>IVFS2023</t>
        </is>
      </c>
      <c r="I562" t="inlineStr">
        <is>
          <t>QLD</t>
        </is>
      </c>
      <c r="J562" t="inlineStr">
        <is>
          <t>Part Time</t>
        </is>
      </c>
      <c r="K562" s="23" t="n">
        <v>42464</v>
      </c>
      <c r="L562" s="23" t="n">
        <v>42464</v>
      </c>
      <c r="O562" t="n">
        <v>30</v>
      </c>
    </row>
    <row r="563">
      <c r="A563" t="n">
        <v>80434</v>
      </c>
      <c r="B563" s="1" t="n"/>
      <c r="C563" t="inlineStr">
        <is>
          <t>NSW-QLD</t>
        </is>
      </c>
      <c r="D563" t="inlineStr">
        <is>
          <t>Virtus Health</t>
        </is>
      </c>
      <c r="E563" t="inlineStr">
        <is>
          <t>Registered Nurse</t>
        </is>
      </c>
      <c r="F563" s="1" t="n">
        <v>38905</v>
      </c>
      <c r="G563" s="1" t="n">
        <v>45513</v>
      </c>
      <c r="H563" t="inlineStr">
        <is>
          <t>QN2025</t>
        </is>
      </c>
      <c r="I563" t="inlineStr">
        <is>
          <t>QLD</t>
        </is>
      </c>
      <c r="J563" t="inlineStr">
        <is>
          <t>Part Time</t>
        </is>
      </c>
      <c r="K563" s="23" t="n">
        <v>38905</v>
      </c>
      <c r="L563" s="23" t="n">
        <v>38905</v>
      </c>
      <c r="O563" t="n">
        <v>30.4</v>
      </c>
    </row>
    <row r="564">
      <c r="A564" t="n">
        <v>80434</v>
      </c>
      <c r="B564" s="1" t="n"/>
      <c r="C564" t="inlineStr">
        <is>
          <t>NSW-QLD</t>
        </is>
      </c>
      <c r="D564" t="inlineStr">
        <is>
          <t>Virtus Health</t>
        </is>
      </c>
      <c r="E564" t="inlineStr">
        <is>
          <t>Registered Nurse</t>
        </is>
      </c>
      <c r="F564" s="1" t="n">
        <v>45544</v>
      </c>
      <c r="H564" t="inlineStr">
        <is>
          <t>QN2025</t>
        </is>
      </c>
      <c r="I564" t="inlineStr">
        <is>
          <t>QLD</t>
        </is>
      </c>
      <c r="J564" t="inlineStr">
        <is>
          <t>Part Time</t>
        </is>
      </c>
      <c r="K564" s="23" t="n">
        <v>38905</v>
      </c>
      <c r="L564" s="23" t="n">
        <v>38905</v>
      </c>
      <c r="O564" t="n">
        <v>26.6</v>
      </c>
    </row>
    <row r="565">
      <c r="A565" t="n">
        <v>80438</v>
      </c>
      <c r="B565" s="1" t="n"/>
      <c r="C565" t="inlineStr">
        <is>
          <t>NSW-QLD</t>
        </is>
      </c>
      <c r="D565" t="inlineStr">
        <is>
          <t>Virtus Health</t>
        </is>
      </c>
      <c r="E565" t="inlineStr">
        <is>
          <t>Phlebotomist/ Administration</t>
        </is>
      </c>
      <c r="F565" s="1" t="n">
        <v>44326</v>
      </c>
      <c r="H565" t="inlineStr">
        <is>
          <t>IVFS2023</t>
        </is>
      </c>
      <c r="I565" t="inlineStr">
        <is>
          <t>QLD</t>
        </is>
      </c>
      <c r="J565" t="inlineStr">
        <is>
          <t>Part Time</t>
        </is>
      </c>
      <c r="K565" s="23" t="n">
        <v>44326</v>
      </c>
      <c r="L565" s="23" t="n">
        <v>44326</v>
      </c>
      <c r="O565" t="n">
        <v>30.4</v>
      </c>
    </row>
    <row r="566">
      <c r="A566" t="n">
        <v>80442</v>
      </c>
      <c r="C566" t="inlineStr">
        <is>
          <t>NSW-QLD</t>
        </is>
      </c>
      <c r="D566" t="inlineStr">
        <is>
          <t>Virtus Health</t>
        </is>
      </c>
      <c r="E566" t="inlineStr">
        <is>
          <t>Clinical Administrator-Nursing</t>
        </is>
      </c>
      <c r="F566" t="inlineStr">
        <is>
          <t>11/22/2021</t>
        </is>
      </c>
      <c r="H566" t="inlineStr">
        <is>
          <t>IVFS2023</t>
        </is>
      </c>
      <c r="I566" t="inlineStr">
        <is>
          <t>QLD</t>
        </is>
      </c>
      <c r="J566" t="inlineStr">
        <is>
          <t>Full Time</t>
        </is>
      </c>
      <c r="K566" s="23" t="inlineStr">
        <is>
          <t>11/22/2021</t>
        </is>
      </c>
      <c r="L566" s="23" t="inlineStr">
        <is>
          <t>11/22/2021</t>
        </is>
      </c>
      <c r="O566" t="n">
        <v>38</v>
      </c>
    </row>
    <row r="567">
      <c r="A567" t="n">
        <v>80451</v>
      </c>
      <c r="C567" t="inlineStr">
        <is>
          <t>NSW-QLD</t>
        </is>
      </c>
      <c r="D567" t="inlineStr">
        <is>
          <t>Virtus Health</t>
        </is>
      </c>
      <c r="E567" t="inlineStr">
        <is>
          <t>Nurse Coordinator</t>
        </is>
      </c>
      <c r="F567" t="inlineStr">
        <is>
          <t>2/14/2022</t>
        </is>
      </c>
      <c r="H567" t="inlineStr">
        <is>
          <t>QN2025</t>
        </is>
      </c>
      <c r="I567" t="inlineStr">
        <is>
          <t>QLD</t>
        </is>
      </c>
      <c r="J567" t="inlineStr">
        <is>
          <t>Full Time</t>
        </is>
      </c>
      <c r="K567" s="23" t="inlineStr">
        <is>
          <t>2/14/2022</t>
        </is>
      </c>
      <c r="L567" s="23" t="inlineStr">
        <is>
          <t>2/14/2022</t>
        </is>
      </c>
      <c r="O567" t="n">
        <v>38</v>
      </c>
    </row>
    <row r="568">
      <c r="A568" t="n">
        <v>80456</v>
      </c>
      <c r="B568" s="1" t="n"/>
      <c r="C568" t="inlineStr">
        <is>
          <t>NSW-QLD</t>
        </is>
      </c>
      <c r="D568" t="inlineStr">
        <is>
          <t>Virtus Health</t>
        </is>
      </c>
      <c r="E568" t="inlineStr">
        <is>
          <t>Administration</t>
        </is>
      </c>
      <c r="F568" s="1" t="n">
        <v>44745</v>
      </c>
      <c r="H568" t="inlineStr">
        <is>
          <t>IVFS2023</t>
        </is>
      </c>
      <c r="I568" t="inlineStr">
        <is>
          <t>QLD</t>
        </is>
      </c>
      <c r="J568" t="inlineStr">
        <is>
          <t>Casual</t>
        </is>
      </c>
      <c r="K568" s="23" t="n">
        <v>44745</v>
      </c>
      <c r="L568" s="23" t="n">
        <v>44745</v>
      </c>
      <c r="O568" t="n">
        <v>38</v>
      </c>
    </row>
    <row r="569">
      <c r="A569" t="n">
        <v>80462</v>
      </c>
      <c r="B569" s="1" t="n"/>
      <c r="C569" t="inlineStr">
        <is>
          <t>NSW-QLD</t>
        </is>
      </c>
      <c r="D569" t="inlineStr">
        <is>
          <t>Virtus Health</t>
        </is>
      </c>
      <c r="E569" t="inlineStr">
        <is>
          <t>Receptionist</t>
        </is>
      </c>
      <c r="F569" s="1" t="n">
        <v>44655</v>
      </c>
      <c r="H569" t="inlineStr">
        <is>
          <t>IVFS2023</t>
        </is>
      </c>
      <c r="I569" t="inlineStr">
        <is>
          <t>QLD</t>
        </is>
      </c>
      <c r="J569" t="inlineStr">
        <is>
          <t>Part Time</t>
        </is>
      </c>
      <c r="K569" s="23" t="n">
        <v>44655</v>
      </c>
      <c r="L569" s="23" t="n">
        <v>44655</v>
      </c>
      <c r="O569" t="n">
        <v>38</v>
      </c>
    </row>
    <row r="570">
      <c r="A570" t="n">
        <v>80468</v>
      </c>
      <c r="B570" s="1" t="n"/>
      <c r="C570" t="inlineStr">
        <is>
          <t>NSW-QLD</t>
        </is>
      </c>
      <c r="D570" t="inlineStr">
        <is>
          <t>Virtus Health</t>
        </is>
      </c>
      <c r="E570" t="inlineStr">
        <is>
          <t>Genetic Scientist</t>
        </is>
      </c>
      <c r="F570" s="1" t="n">
        <v>44809</v>
      </c>
      <c r="H570" t="inlineStr">
        <is>
          <t>QS2024</t>
        </is>
      </c>
      <c r="I570" t="inlineStr">
        <is>
          <t>QLD</t>
        </is>
      </c>
      <c r="J570" t="inlineStr">
        <is>
          <t>Full Time</t>
        </is>
      </c>
      <c r="K570" s="23" t="n">
        <v>44809</v>
      </c>
      <c r="L570" s="23" t="n">
        <v>44809</v>
      </c>
      <c r="O570" t="n">
        <v>38</v>
      </c>
    </row>
    <row r="571">
      <c r="A571" t="n">
        <v>80470</v>
      </c>
      <c r="B571" s="1" t="n"/>
      <c r="C571" t="inlineStr">
        <is>
          <t>NSW-QLD</t>
        </is>
      </c>
      <c r="D571" t="inlineStr">
        <is>
          <t>Virtus Health</t>
        </is>
      </c>
      <c r="E571" t="inlineStr">
        <is>
          <t>Registered Nurse Clinic Coordinator</t>
        </is>
      </c>
      <c r="F571" s="1" t="n">
        <v>44718</v>
      </c>
      <c r="H571" t="inlineStr">
        <is>
          <t>QN2025</t>
        </is>
      </c>
      <c r="I571" t="inlineStr">
        <is>
          <t>QLD</t>
        </is>
      </c>
      <c r="J571" t="inlineStr">
        <is>
          <t>Full Time</t>
        </is>
      </c>
      <c r="K571" s="23" t="n">
        <v>44718</v>
      </c>
      <c r="L571" s="23" t="n">
        <v>44718</v>
      </c>
      <c r="O571" t="n">
        <v>38</v>
      </c>
    </row>
    <row r="572">
      <c r="A572" t="n">
        <v>80471</v>
      </c>
      <c r="B572" s="1" t="n"/>
      <c r="C572" t="inlineStr">
        <is>
          <t>NSW-QLD</t>
        </is>
      </c>
      <c r="D572" t="inlineStr">
        <is>
          <t>Virtus Health</t>
        </is>
      </c>
      <c r="E572" t="inlineStr">
        <is>
          <t>New Patient Care Consultant</t>
        </is>
      </c>
      <c r="F572" t="inlineStr">
        <is>
          <t>6/13/2022</t>
        </is>
      </c>
      <c r="H572" t="inlineStr">
        <is>
          <t>IVFS2023</t>
        </is>
      </c>
      <c r="I572" t="inlineStr">
        <is>
          <t>QLD</t>
        </is>
      </c>
      <c r="J572" t="inlineStr">
        <is>
          <t>Full Time</t>
        </is>
      </c>
      <c r="K572" s="23" t="inlineStr">
        <is>
          <t>6/13/2022</t>
        </is>
      </c>
      <c r="L572" s="23" t="inlineStr">
        <is>
          <t>6/13/2022</t>
        </is>
      </c>
      <c r="O572" t="n">
        <v>20.5</v>
      </c>
    </row>
    <row r="573">
      <c r="A573" t="n">
        <v>80527</v>
      </c>
      <c r="B573" s="1" t="n"/>
      <c r="C573" t="inlineStr">
        <is>
          <t>NSW-QLD</t>
        </is>
      </c>
      <c r="D573" t="inlineStr">
        <is>
          <t>Virtus Health</t>
        </is>
      </c>
      <c r="E573" t="inlineStr">
        <is>
          <t>Genetics Scientist</t>
        </is>
      </c>
      <c r="F573" s="1" t="n">
        <v>42861</v>
      </c>
      <c r="H573" t="inlineStr">
        <is>
          <t>QS2024</t>
        </is>
      </c>
      <c r="I573" t="inlineStr">
        <is>
          <t>QLD</t>
        </is>
      </c>
      <c r="J573" t="inlineStr">
        <is>
          <t>Full Time</t>
        </is>
      </c>
      <c r="K573" s="23" t="n">
        <v>42861</v>
      </c>
      <c r="L573" s="23" t="n">
        <v>42861</v>
      </c>
      <c r="O573" t="n">
        <v>28.5</v>
      </c>
    </row>
    <row r="574">
      <c r="A574" t="n">
        <v>80533</v>
      </c>
      <c r="C574" t="inlineStr">
        <is>
          <t>NSW-QLD</t>
        </is>
      </c>
      <c r="D574" t="inlineStr">
        <is>
          <t>Virtus Health</t>
        </is>
      </c>
      <c r="E574" t="inlineStr">
        <is>
          <t>Nurse Coordinator/Clinic Co-Ordinator</t>
        </is>
      </c>
      <c r="F574" t="inlineStr">
        <is>
          <t>10/30/2017</t>
        </is>
      </c>
      <c r="H574" t="inlineStr">
        <is>
          <t>QN2025</t>
        </is>
      </c>
      <c r="I574" t="inlineStr">
        <is>
          <t>QLD</t>
        </is>
      </c>
      <c r="J574" t="inlineStr">
        <is>
          <t>Full Time</t>
        </is>
      </c>
      <c r="K574" s="23" t="inlineStr">
        <is>
          <t>10/30/2017</t>
        </is>
      </c>
      <c r="L574" s="23" t="inlineStr">
        <is>
          <t>10/30/2017</t>
        </is>
      </c>
      <c r="O574" t="n">
        <v>38</v>
      </c>
    </row>
    <row r="575">
      <c r="A575" t="n">
        <v>80538</v>
      </c>
      <c r="C575" t="inlineStr">
        <is>
          <t>NSW-QLD</t>
        </is>
      </c>
      <c r="D575" t="inlineStr">
        <is>
          <t>Virtus Health</t>
        </is>
      </c>
      <c r="E575" t="inlineStr">
        <is>
          <t>Nurse Coordinator</t>
        </is>
      </c>
      <c r="F575" t="inlineStr">
        <is>
          <t>12/14/2017</t>
        </is>
      </c>
      <c r="H575" t="inlineStr">
        <is>
          <t>QN2025</t>
        </is>
      </c>
      <c r="I575" t="inlineStr">
        <is>
          <t>QLD</t>
        </is>
      </c>
      <c r="J575" t="inlineStr">
        <is>
          <t>Casual</t>
        </is>
      </c>
      <c r="K575" s="23" t="inlineStr">
        <is>
          <t>12/14/2017</t>
        </is>
      </c>
      <c r="L575" s="23" t="inlineStr">
        <is>
          <t>12/14/2017</t>
        </is>
      </c>
      <c r="O575" t="n">
        <v>40</v>
      </c>
    </row>
    <row r="576">
      <c r="A576" t="n">
        <v>80542</v>
      </c>
      <c r="B576" s="1" t="n"/>
      <c r="C576" t="inlineStr">
        <is>
          <t>NSW-QLD</t>
        </is>
      </c>
      <c r="D576" t="inlineStr">
        <is>
          <t>Virtus Health</t>
        </is>
      </c>
      <c r="E576" t="inlineStr">
        <is>
          <t>Registered Nurse</t>
        </is>
      </c>
      <c r="F576" s="1" t="n">
        <v>43138</v>
      </c>
      <c r="H576" t="inlineStr">
        <is>
          <t>QN2025</t>
        </is>
      </c>
      <c r="I576" t="inlineStr">
        <is>
          <t>QLD</t>
        </is>
      </c>
      <c r="J576" t="inlineStr">
        <is>
          <t>Part Time</t>
        </is>
      </c>
      <c r="K576" s="23" t="n">
        <v>43138</v>
      </c>
      <c r="L576" s="23" t="n">
        <v>43138</v>
      </c>
      <c r="O576" t="n">
        <v>38</v>
      </c>
    </row>
    <row r="577">
      <c r="A577" t="n">
        <v>80545</v>
      </c>
      <c r="C577" t="inlineStr">
        <is>
          <t>NSW-QLD</t>
        </is>
      </c>
      <c r="D577" t="inlineStr">
        <is>
          <t>Virtus Health</t>
        </is>
      </c>
      <c r="E577" t="inlineStr">
        <is>
          <t>New Patient Care Consultant</t>
        </is>
      </c>
      <c r="F577" t="inlineStr">
        <is>
          <t>10/29/2018</t>
        </is>
      </c>
      <c r="H577" t="inlineStr">
        <is>
          <t>IVFS2023</t>
        </is>
      </c>
      <c r="I577" t="inlineStr">
        <is>
          <t>QLD</t>
        </is>
      </c>
      <c r="J577" t="inlineStr">
        <is>
          <t>Part Time</t>
        </is>
      </c>
      <c r="K577" s="23" t="inlineStr">
        <is>
          <t>10/29/2018</t>
        </is>
      </c>
      <c r="L577" s="23" t="inlineStr">
        <is>
          <t>10/29/2018</t>
        </is>
      </c>
      <c r="O577" t="n">
        <v>16</v>
      </c>
    </row>
    <row r="578">
      <c r="A578" t="n">
        <v>80549</v>
      </c>
      <c r="C578" t="inlineStr">
        <is>
          <t>NSW-QLD</t>
        </is>
      </c>
      <c r="D578" t="inlineStr">
        <is>
          <t>Virtus Health</t>
        </is>
      </c>
      <c r="E578" t="inlineStr">
        <is>
          <t>Clinical Nurse Specialist</t>
        </is>
      </c>
      <c r="F578" t="inlineStr">
        <is>
          <t>1/15/2019</t>
        </is>
      </c>
      <c r="H578" t="inlineStr">
        <is>
          <t>QN2025</t>
        </is>
      </c>
      <c r="I578" t="inlineStr">
        <is>
          <t>QLD</t>
        </is>
      </c>
      <c r="J578" t="inlineStr">
        <is>
          <t>Full Time</t>
        </is>
      </c>
      <c r="K578" s="23" t="inlineStr">
        <is>
          <t>1/15/2019</t>
        </is>
      </c>
      <c r="L578" s="23" t="inlineStr">
        <is>
          <t>1/15/2019</t>
        </is>
      </c>
      <c r="O578" t="n">
        <v>38</v>
      </c>
    </row>
    <row r="579">
      <c r="A579" t="n">
        <v>80558</v>
      </c>
      <c r="C579" t="inlineStr">
        <is>
          <t>NSW-QLD</t>
        </is>
      </c>
      <c r="D579" t="inlineStr">
        <is>
          <t>Virtus Health</t>
        </is>
      </c>
      <c r="E579" t="inlineStr">
        <is>
          <t>Andrologist</t>
        </is>
      </c>
      <c r="F579" t="inlineStr">
        <is>
          <t>12/13/2021</t>
        </is>
      </c>
      <c r="H579" t="inlineStr">
        <is>
          <t>QS2024</t>
        </is>
      </c>
      <c r="I579" t="inlineStr">
        <is>
          <t>QLD</t>
        </is>
      </c>
      <c r="J579" t="inlineStr">
        <is>
          <t>Full Time</t>
        </is>
      </c>
      <c r="K579" s="23" t="inlineStr">
        <is>
          <t>12/13/2021</t>
        </is>
      </c>
      <c r="L579" s="23" t="inlineStr">
        <is>
          <t>12/13/2021</t>
        </is>
      </c>
      <c r="O579" t="n">
        <v>28.5</v>
      </c>
    </row>
    <row r="580">
      <c r="A580" t="n">
        <v>90001</v>
      </c>
      <c r="C580" t="inlineStr">
        <is>
          <t>NSW-QLD</t>
        </is>
      </c>
      <c r="D580" t="inlineStr">
        <is>
          <t>Virtus Health</t>
        </is>
      </c>
      <c r="E580" t="inlineStr">
        <is>
          <t>Administration</t>
        </is>
      </c>
      <c r="F580" t="inlineStr">
        <is>
          <t>10/27/2014</t>
        </is>
      </c>
      <c r="H580" t="inlineStr">
        <is>
          <t>IVFS2023</t>
        </is>
      </c>
      <c r="I580" t="inlineStr">
        <is>
          <t>NSW</t>
        </is>
      </c>
      <c r="J580" t="inlineStr">
        <is>
          <t>Full Time</t>
        </is>
      </c>
      <c r="K580" s="23" t="inlineStr">
        <is>
          <t>10/27/2014</t>
        </is>
      </c>
      <c r="L580" s="23" t="inlineStr">
        <is>
          <t>10/27/2014</t>
        </is>
      </c>
      <c r="O580" t="n">
        <v>38</v>
      </c>
    </row>
    <row r="581">
      <c r="A581" t="n">
        <v>90019</v>
      </c>
      <c r="C581" t="inlineStr">
        <is>
          <t>NSW-QLD</t>
        </is>
      </c>
      <c r="D581" t="inlineStr">
        <is>
          <t>Virtus Health</t>
        </is>
      </c>
      <c r="E581" t="inlineStr">
        <is>
          <t>Pathology Scientist</t>
        </is>
      </c>
      <c r="F581" t="inlineStr">
        <is>
          <t>3/21/2011</t>
        </is>
      </c>
      <c r="H581" t="inlineStr">
        <is>
          <t>IVFS2023</t>
        </is>
      </c>
      <c r="I581" t="inlineStr">
        <is>
          <t>NSW</t>
        </is>
      </c>
      <c r="J581" t="inlineStr">
        <is>
          <t>Full Time</t>
        </is>
      </c>
      <c r="K581" s="23" t="inlineStr">
        <is>
          <t>3/21/2011</t>
        </is>
      </c>
      <c r="L581" s="23" t="inlineStr">
        <is>
          <t>3/21/2011</t>
        </is>
      </c>
      <c r="O581" t="n">
        <v>38</v>
      </c>
    </row>
    <row r="582">
      <c r="A582" t="n">
        <v>90022</v>
      </c>
      <c r="B582" s="1" t="n"/>
      <c r="C582" t="inlineStr">
        <is>
          <t>NSW-QLD</t>
        </is>
      </c>
      <c r="D582" t="inlineStr">
        <is>
          <t>Virtus Health</t>
        </is>
      </c>
      <c r="E582" t="inlineStr">
        <is>
          <t>Administration</t>
        </is>
      </c>
      <c r="F582" s="1" t="n">
        <v>41951</v>
      </c>
      <c r="H582" t="inlineStr">
        <is>
          <t>IVFS2023</t>
        </is>
      </c>
      <c r="I582" t="inlineStr">
        <is>
          <t>NSW</t>
        </is>
      </c>
      <c r="J582" t="inlineStr">
        <is>
          <t>Full Time</t>
        </is>
      </c>
      <c r="K582" s="23" t="n">
        <v>41951</v>
      </c>
      <c r="L582" s="23" t="n">
        <v>41951</v>
      </c>
      <c r="O582" t="n">
        <v>35</v>
      </c>
    </row>
    <row r="583">
      <c r="A583" t="n">
        <v>90023</v>
      </c>
      <c r="C583" t="inlineStr">
        <is>
          <t>NSW-QLD</t>
        </is>
      </c>
      <c r="D583" t="inlineStr">
        <is>
          <t>Virtus Health</t>
        </is>
      </c>
      <c r="E583" t="inlineStr">
        <is>
          <t>Courier</t>
        </is>
      </c>
      <c r="F583" t="inlineStr">
        <is>
          <t>6/18/2013</t>
        </is>
      </c>
      <c r="H583" t="inlineStr">
        <is>
          <t>IVFS2023</t>
        </is>
      </c>
      <c r="I583" t="inlineStr">
        <is>
          <t>NSW</t>
        </is>
      </c>
      <c r="J583" t="inlineStr">
        <is>
          <t>Casual</t>
        </is>
      </c>
      <c r="K583" s="23" t="inlineStr">
        <is>
          <t>6/18/2013</t>
        </is>
      </c>
      <c r="L583" s="23" t="inlineStr">
        <is>
          <t>6/18/2013</t>
        </is>
      </c>
      <c r="O583" t="n">
        <v>38</v>
      </c>
    </row>
    <row r="584">
      <c r="A584" t="n">
        <v>90032</v>
      </c>
      <c r="C584" t="inlineStr">
        <is>
          <t>NSW-QLD</t>
        </is>
      </c>
      <c r="D584" t="inlineStr">
        <is>
          <t>Virtus Health</t>
        </is>
      </c>
      <c r="E584" t="inlineStr">
        <is>
          <t>National Pre-Analytics Manager</t>
        </is>
      </c>
      <c r="F584" t="inlineStr">
        <is>
          <t>2/21/2006</t>
        </is>
      </c>
      <c r="H584" t="inlineStr">
        <is>
          <t>NSW</t>
        </is>
      </c>
      <c r="I584" t="inlineStr">
        <is>
          <t>NSW</t>
        </is>
      </c>
      <c r="J584" t="inlineStr">
        <is>
          <t>Full Time</t>
        </is>
      </c>
      <c r="K584" s="23" t="inlineStr">
        <is>
          <t>2/21/2006</t>
        </is>
      </c>
      <c r="L584" s="23" t="inlineStr">
        <is>
          <t>2/21/2006</t>
        </is>
      </c>
      <c r="O584" t="n">
        <v>38</v>
      </c>
    </row>
    <row r="585">
      <c r="A585" t="n">
        <v>90040</v>
      </c>
      <c r="C585" t="inlineStr">
        <is>
          <t>NSW-QLD</t>
        </is>
      </c>
      <c r="D585" t="inlineStr">
        <is>
          <t>Virtus Health</t>
        </is>
      </c>
      <c r="E585" t="inlineStr">
        <is>
          <t>Administration</t>
        </is>
      </c>
      <c r="F585" t="inlineStr">
        <is>
          <t>5/30/2016</t>
        </is>
      </c>
      <c r="H585" t="inlineStr">
        <is>
          <t>IVFS2023</t>
        </is>
      </c>
      <c r="I585" t="inlineStr">
        <is>
          <t>NSW</t>
        </is>
      </c>
      <c r="J585" t="inlineStr">
        <is>
          <t>Full Time</t>
        </is>
      </c>
      <c r="K585" s="23" t="inlineStr">
        <is>
          <t>5/30/2016</t>
        </is>
      </c>
      <c r="L585" s="23" t="inlineStr">
        <is>
          <t>5/30/2016</t>
        </is>
      </c>
      <c r="O585" t="n">
        <v>38</v>
      </c>
    </row>
    <row r="586">
      <c r="A586" t="n">
        <v>90056</v>
      </c>
      <c r="B586" s="1" t="n"/>
      <c r="C586" t="inlineStr">
        <is>
          <t>NSW-QLD</t>
        </is>
      </c>
      <c r="D586" t="inlineStr">
        <is>
          <t>Virtus Health</t>
        </is>
      </c>
      <c r="E586" t="inlineStr">
        <is>
          <t>Courier</t>
        </is>
      </c>
      <c r="F586" s="1" t="n">
        <v>43043</v>
      </c>
      <c r="H586" t="inlineStr">
        <is>
          <t>IVFS2023</t>
        </is>
      </c>
      <c r="I586" t="inlineStr">
        <is>
          <t>NSW</t>
        </is>
      </c>
      <c r="J586" t="inlineStr">
        <is>
          <t>Casual</t>
        </is>
      </c>
      <c r="K586" s="23" t="n">
        <v>43043</v>
      </c>
      <c r="L586" s="23" t="n">
        <v>43043</v>
      </c>
      <c r="O586" t="n">
        <v>38</v>
      </c>
    </row>
    <row r="587">
      <c r="A587" t="n">
        <v>90063</v>
      </c>
      <c r="C587" t="inlineStr">
        <is>
          <t>NSW-QLD</t>
        </is>
      </c>
      <c r="D587" t="inlineStr">
        <is>
          <t>Virtus Health</t>
        </is>
      </c>
      <c r="E587" t="inlineStr">
        <is>
          <t>Pathology Scientist</t>
        </is>
      </c>
      <c r="F587" t="inlineStr">
        <is>
          <t>7/14/2017</t>
        </is>
      </c>
      <c r="H587" t="inlineStr">
        <is>
          <t>IVFS2023</t>
        </is>
      </c>
      <c r="I587" t="inlineStr">
        <is>
          <t>NSW</t>
        </is>
      </c>
      <c r="J587" t="inlineStr">
        <is>
          <t>Full Time</t>
        </is>
      </c>
      <c r="K587" s="23" t="inlineStr">
        <is>
          <t>7/14/2017</t>
        </is>
      </c>
      <c r="L587" s="23" t="inlineStr">
        <is>
          <t>7/14/2017</t>
        </is>
      </c>
      <c r="O587" t="n">
        <v>32</v>
      </c>
    </row>
    <row r="588">
      <c r="A588" t="n">
        <v>90073</v>
      </c>
      <c r="B588" s="1" t="n"/>
      <c r="C588" t="inlineStr">
        <is>
          <t>NSW-QLD</t>
        </is>
      </c>
      <c r="D588" t="inlineStr">
        <is>
          <t>Virtus Health</t>
        </is>
      </c>
      <c r="E588" t="inlineStr">
        <is>
          <t>Courier</t>
        </is>
      </c>
      <c r="F588" s="1" t="n">
        <v>43255</v>
      </c>
      <c r="H588" t="inlineStr">
        <is>
          <t>IVFS2023</t>
        </is>
      </c>
      <c r="I588" t="inlineStr">
        <is>
          <t>NSW</t>
        </is>
      </c>
      <c r="J588" t="inlineStr">
        <is>
          <t>Casual</t>
        </is>
      </c>
      <c r="K588" s="23" t="n">
        <v>43255</v>
      </c>
      <c r="L588" s="23" t="n">
        <v>43255</v>
      </c>
      <c r="O588" t="n">
        <v>24</v>
      </c>
    </row>
    <row r="589">
      <c r="A589" t="n">
        <v>90081</v>
      </c>
      <c r="C589" t="inlineStr">
        <is>
          <t>NSW-QLD</t>
        </is>
      </c>
      <c r="D589" t="inlineStr">
        <is>
          <t>Virtus Health</t>
        </is>
      </c>
      <c r="E589" t="inlineStr">
        <is>
          <t>Courier</t>
        </is>
      </c>
      <c r="F589" t="inlineStr">
        <is>
          <t>7/19/2018</t>
        </is>
      </c>
      <c r="H589" t="inlineStr">
        <is>
          <t>IVFS2023</t>
        </is>
      </c>
      <c r="I589" t="inlineStr">
        <is>
          <t>NSW</t>
        </is>
      </c>
      <c r="J589" t="inlineStr">
        <is>
          <t>Casual</t>
        </is>
      </c>
      <c r="K589" s="23" t="inlineStr">
        <is>
          <t>7/19/2018</t>
        </is>
      </c>
      <c r="L589" s="23" t="inlineStr">
        <is>
          <t>7/19/2018</t>
        </is>
      </c>
      <c r="O589" t="n">
        <v>36</v>
      </c>
    </row>
    <row r="590">
      <c r="A590" t="n">
        <v>90094</v>
      </c>
      <c r="B590" s="1" t="n"/>
      <c r="C590" t="inlineStr">
        <is>
          <t>NSW-QLD</t>
        </is>
      </c>
      <c r="D590" t="inlineStr">
        <is>
          <t>Virtus Health</t>
        </is>
      </c>
      <c r="E590" t="inlineStr">
        <is>
          <t>Courier</t>
        </is>
      </c>
      <c r="F590" s="1" t="n">
        <v>43528</v>
      </c>
      <c r="H590" t="inlineStr">
        <is>
          <t>IVFS2023</t>
        </is>
      </c>
      <c r="I590" t="inlineStr">
        <is>
          <t>NSW</t>
        </is>
      </c>
      <c r="J590" t="inlineStr">
        <is>
          <t>Part Time</t>
        </is>
      </c>
      <c r="K590" s="23" t="n">
        <v>43528</v>
      </c>
      <c r="L590" s="23" t="n">
        <v>43528</v>
      </c>
      <c r="O590" t="n">
        <v>22.8</v>
      </c>
    </row>
    <row r="591">
      <c r="A591" t="n">
        <v>90095</v>
      </c>
      <c r="B591" s="1" t="n"/>
      <c r="C591" t="inlineStr">
        <is>
          <t>NSW-QLD</t>
        </is>
      </c>
      <c r="D591" t="inlineStr">
        <is>
          <t>Virtus Health</t>
        </is>
      </c>
      <c r="E591" t="inlineStr">
        <is>
          <t>Courier</t>
        </is>
      </c>
      <c r="F591" s="1" t="n">
        <v>43589</v>
      </c>
      <c r="H591" t="inlineStr">
        <is>
          <t>IVFS2023</t>
        </is>
      </c>
      <c r="I591" t="inlineStr">
        <is>
          <t>NSW</t>
        </is>
      </c>
      <c r="J591" t="inlineStr">
        <is>
          <t>Casual</t>
        </is>
      </c>
      <c r="K591" s="23" t="n">
        <v>43589</v>
      </c>
      <c r="L591" s="23" t="n">
        <v>43589</v>
      </c>
      <c r="O591" t="n">
        <v>38</v>
      </c>
    </row>
    <row r="592">
      <c r="A592" t="n">
        <v>90098</v>
      </c>
      <c r="C592" t="inlineStr">
        <is>
          <t>NSW-QLD</t>
        </is>
      </c>
      <c r="D592" t="inlineStr">
        <is>
          <t>Virtus Health</t>
        </is>
      </c>
      <c r="E592" t="inlineStr">
        <is>
          <t>Courier</t>
        </is>
      </c>
      <c r="F592" t="inlineStr">
        <is>
          <t>5/29/2019</t>
        </is>
      </c>
      <c r="H592" t="inlineStr">
        <is>
          <t>IVFS2023</t>
        </is>
      </c>
      <c r="I592" t="inlineStr">
        <is>
          <t>NSW</t>
        </is>
      </c>
      <c r="J592" t="inlineStr">
        <is>
          <t>Casual</t>
        </is>
      </c>
      <c r="K592" s="23" t="inlineStr">
        <is>
          <t>5/29/2019</t>
        </is>
      </c>
      <c r="L592" s="23" t="inlineStr">
        <is>
          <t>5/29/2019</t>
        </is>
      </c>
      <c r="O592" t="n">
        <v>38</v>
      </c>
    </row>
    <row r="593">
      <c r="A593" t="n">
        <v>90105</v>
      </c>
      <c r="C593" t="inlineStr">
        <is>
          <t>NSW-QLD</t>
        </is>
      </c>
      <c r="D593" t="inlineStr">
        <is>
          <t>Virtus Health</t>
        </is>
      </c>
      <c r="E593" t="inlineStr">
        <is>
          <t>Courier</t>
        </is>
      </c>
      <c r="F593" t="inlineStr">
        <is>
          <t>9/23/2019</t>
        </is>
      </c>
      <c r="H593" t="inlineStr">
        <is>
          <t>IVFS2023</t>
        </is>
      </c>
      <c r="I593" t="inlineStr">
        <is>
          <t>NSW</t>
        </is>
      </c>
      <c r="J593" t="inlineStr">
        <is>
          <t>Casual</t>
        </is>
      </c>
      <c r="K593" s="23" t="inlineStr">
        <is>
          <t>9/23/2019</t>
        </is>
      </c>
      <c r="L593" s="23" t="inlineStr">
        <is>
          <t>9/23/2019</t>
        </is>
      </c>
      <c r="O593" t="n">
        <v>30.4</v>
      </c>
    </row>
    <row r="594">
      <c r="A594" t="n">
        <v>90106</v>
      </c>
      <c r="B594" s="1" t="n"/>
      <c r="C594" t="inlineStr">
        <is>
          <t>NSW-QLD</t>
        </is>
      </c>
      <c r="D594" t="inlineStr">
        <is>
          <t>Virtus Health</t>
        </is>
      </c>
      <c r="E594" t="inlineStr">
        <is>
          <t>Administration</t>
        </is>
      </c>
      <c r="F594" s="1" t="n">
        <v>43566</v>
      </c>
      <c r="H594" t="inlineStr">
        <is>
          <t>IVFS2023</t>
        </is>
      </c>
      <c r="I594" t="inlineStr">
        <is>
          <t>NSW</t>
        </is>
      </c>
      <c r="J594" t="inlineStr">
        <is>
          <t>Full Time</t>
        </is>
      </c>
      <c r="K594" s="23" t="n">
        <v>43566</v>
      </c>
      <c r="L594" s="23" t="n">
        <v>43566</v>
      </c>
      <c r="O594" t="n">
        <v>38</v>
      </c>
    </row>
    <row r="595">
      <c r="A595" t="n">
        <v>90107</v>
      </c>
      <c r="C595" t="inlineStr">
        <is>
          <t>NSW-QLD</t>
        </is>
      </c>
      <c r="D595" t="inlineStr">
        <is>
          <t>Virtus Health</t>
        </is>
      </c>
      <c r="E595" t="inlineStr">
        <is>
          <t>Courier</t>
        </is>
      </c>
      <c r="F595" t="inlineStr">
        <is>
          <t>10/28/2019</t>
        </is>
      </c>
      <c r="H595" t="inlineStr">
        <is>
          <t>IVFS2023</t>
        </is>
      </c>
      <c r="I595" t="inlineStr">
        <is>
          <t>NSW</t>
        </is>
      </c>
      <c r="J595" t="inlineStr">
        <is>
          <t>Casual</t>
        </is>
      </c>
      <c r="K595" s="23" t="inlineStr">
        <is>
          <t>10/28/2019</t>
        </is>
      </c>
      <c r="L595" s="23" t="inlineStr">
        <is>
          <t>10/28/2019</t>
        </is>
      </c>
      <c r="O595" t="n">
        <v>38</v>
      </c>
    </row>
    <row r="596">
      <c r="A596" t="n">
        <v>90133</v>
      </c>
      <c r="B596" s="1" t="n"/>
      <c r="C596" t="inlineStr">
        <is>
          <t>NSW-QLD</t>
        </is>
      </c>
      <c r="D596" t="inlineStr">
        <is>
          <t>Virtus Health</t>
        </is>
      </c>
      <c r="E596" t="inlineStr">
        <is>
          <t>Phlebotomist</t>
        </is>
      </c>
      <c r="F596" s="1" t="n">
        <v>44024</v>
      </c>
      <c r="H596" t="inlineStr">
        <is>
          <t>IVFS2023</t>
        </is>
      </c>
      <c r="I596" t="inlineStr">
        <is>
          <t>NSW</t>
        </is>
      </c>
      <c r="J596" t="inlineStr">
        <is>
          <t>Full Time</t>
        </is>
      </c>
      <c r="K596" s="23" t="n">
        <v>44024</v>
      </c>
      <c r="L596" s="23" t="n">
        <v>44024</v>
      </c>
      <c r="O596" t="n">
        <v>38</v>
      </c>
    </row>
    <row r="597">
      <c r="A597" t="n">
        <v>90139</v>
      </c>
      <c r="B597" s="1" t="n"/>
      <c r="C597" t="inlineStr">
        <is>
          <t>NSW-QLD</t>
        </is>
      </c>
      <c r="D597" t="inlineStr">
        <is>
          <t>Virtus Health</t>
        </is>
      </c>
      <c r="E597" t="inlineStr">
        <is>
          <t>Assistant Accountant</t>
        </is>
      </c>
      <c r="F597" s="1" t="n">
        <v>44356</v>
      </c>
      <c r="H597" t="inlineStr">
        <is>
          <t>NSW</t>
        </is>
      </c>
      <c r="I597" t="inlineStr">
        <is>
          <t>NSW</t>
        </is>
      </c>
      <c r="J597" t="inlineStr">
        <is>
          <t>Full Time</t>
        </is>
      </c>
      <c r="K597" s="23" t="n">
        <v>44356</v>
      </c>
      <c r="L597" s="23" t="n">
        <v>44356</v>
      </c>
      <c r="O597" t="n">
        <v>38</v>
      </c>
    </row>
    <row r="598">
      <c r="A598" t="n">
        <v>90145</v>
      </c>
      <c r="B598" s="1" t="n"/>
      <c r="C598" t="inlineStr">
        <is>
          <t>NSW-QLD</t>
        </is>
      </c>
      <c r="D598" t="inlineStr">
        <is>
          <t>Virtus Health</t>
        </is>
      </c>
      <c r="E598" t="inlineStr">
        <is>
          <t>Supervising Scientist</t>
        </is>
      </c>
      <c r="F598" s="1" t="n">
        <v>35075</v>
      </c>
      <c r="H598" t="inlineStr">
        <is>
          <t>IVFS2023</t>
        </is>
      </c>
      <c r="I598" t="inlineStr">
        <is>
          <t>NSW</t>
        </is>
      </c>
      <c r="J598" t="inlineStr">
        <is>
          <t>Part Time</t>
        </is>
      </c>
      <c r="K598" s="23" t="n">
        <v>35075</v>
      </c>
      <c r="L598" s="23" t="n">
        <v>35075</v>
      </c>
      <c r="O598" t="n">
        <v>18.75</v>
      </c>
    </row>
    <row r="599">
      <c r="A599" t="n">
        <v>91008</v>
      </c>
      <c r="C599" t="inlineStr">
        <is>
          <t>NSW-QLD</t>
        </is>
      </c>
      <c r="D599" t="inlineStr">
        <is>
          <t>Virtus Health</t>
        </is>
      </c>
      <c r="E599" t="inlineStr">
        <is>
          <t>Medical Laboratory Director - Pathology</t>
        </is>
      </c>
      <c r="F599" t="inlineStr">
        <is>
          <t>4/26/2019</t>
        </is>
      </c>
      <c r="H599" t="inlineStr">
        <is>
          <t>NSW</t>
        </is>
      </c>
      <c r="I599" t="inlineStr">
        <is>
          <t>NSW</t>
        </is>
      </c>
      <c r="J599" t="inlineStr">
        <is>
          <t>Full Time</t>
        </is>
      </c>
      <c r="K599" s="23" t="inlineStr">
        <is>
          <t>4/26/2019</t>
        </is>
      </c>
      <c r="L599" s="23" t="inlineStr">
        <is>
          <t>4/26/2019</t>
        </is>
      </c>
      <c r="O599" t="n">
        <v>38</v>
      </c>
    </row>
    <row r="600">
      <c r="A600" t="n">
        <v>91009</v>
      </c>
      <c r="C600" t="inlineStr">
        <is>
          <t>NSW-QLD</t>
        </is>
      </c>
      <c r="D600" t="inlineStr">
        <is>
          <t>Virtus Health</t>
        </is>
      </c>
      <c r="E600" t="inlineStr">
        <is>
          <t>Genetics Scientist</t>
        </is>
      </c>
      <c r="F600" t="inlineStr">
        <is>
          <t>2/26/2020</t>
        </is>
      </c>
      <c r="H600" t="inlineStr">
        <is>
          <t>IVFS2023</t>
        </is>
      </c>
      <c r="I600" t="inlineStr">
        <is>
          <t>NSW</t>
        </is>
      </c>
      <c r="J600" t="inlineStr">
        <is>
          <t>Full Time</t>
        </is>
      </c>
      <c r="K600" s="23" t="inlineStr">
        <is>
          <t>2/26/2020</t>
        </is>
      </c>
      <c r="L600" s="23" t="inlineStr">
        <is>
          <t>2/26/2020</t>
        </is>
      </c>
      <c r="O600" t="n">
        <v>22.8</v>
      </c>
    </row>
    <row r="601">
      <c r="A601" t="n">
        <v>100016</v>
      </c>
      <c r="C601" t="inlineStr">
        <is>
          <t>NSW-QLD</t>
        </is>
      </c>
      <c r="D601" t="inlineStr">
        <is>
          <t>Virtus Health</t>
        </is>
      </c>
      <c r="E601" t="inlineStr">
        <is>
          <t>Administration</t>
        </is>
      </c>
      <c r="F601" t="inlineStr">
        <is>
          <t>10/25/2011</t>
        </is>
      </c>
      <c r="H601" t="inlineStr">
        <is>
          <t>IVFS2023</t>
        </is>
      </c>
      <c r="I601" t="inlineStr">
        <is>
          <t>ACT</t>
        </is>
      </c>
      <c r="J601" t="inlineStr">
        <is>
          <t>Full Time</t>
        </is>
      </c>
      <c r="K601" s="23" t="inlineStr">
        <is>
          <t>10/25/2011</t>
        </is>
      </c>
      <c r="L601" s="23" t="inlineStr">
        <is>
          <t>10/25/2011</t>
        </is>
      </c>
      <c r="O601" t="n">
        <v>38</v>
      </c>
    </row>
    <row r="602">
      <c r="A602" t="n">
        <v>100018</v>
      </c>
      <c r="B602" s="1" t="n"/>
      <c r="C602" t="inlineStr">
        <is>
          <t>NSW-QLD</t>
        </is>
      </c>
      <c r="D602" t="inlineStr">
        <is>
          <t>Virtus Health</t>
        </is>
      </c>
      <c r="E602" t="inlineStr">
        <is>
          <t>CIinic Manager</t>
        </is>
      </c>
      <c r="F602" s="1" t="n">
        <v>40736</v>
      </c>
      <c r="H602" t="inlineStr">
        <is>
          <t>ACT</t>
        </is>
      </c>
      <c r="I602" t="inlineStr">
        <is>
          <t>ACT</t>
        </is>
      </c>
      <c r="J602" t="inlineStr">
        <is>
          <t>Full Time</t>
        </is>
      </c>
      <c r="K602" s="23" t="n">
        <v>40736</v>
      </c>
      <c r="L602" s="23" t="n">
        <v>40736</v>
      </c>
      <c r="O602" t="n">
        <v>38</v>
      </c>
    </row>
    <row r="603">
      <c r="A603" t="n">
        <v>100029</v>
      </c>
      <c r="C603" t="inlineStr">
        <is>
          <t>NSW-QLD</t>
        </is>
      </c>
      <c r="D603" t="inlineStr">
        <is>
          <t>Virtus Health</t>
        </is>
      </c>
      <c r="E603" t="inlineStr">
        <is>
          <t>Counsellor</t>
        </is>
      </c>
      <c r="F603" t="inlineStr">
        <is>
          <t>5/15/2018</t>
        </is>
      </c>
      <c r="H603" t="inlineStr">
        <is>
          <t>IVFC2022</t>
        </is>
      </c>
      <c r="I603" t="inlineStr">
        <is>
          <t>ACT</t>
        </is>
      </c>
      <c r="J603" t="inlineStr">
        <is>
          <t>Part Time</t>
        </is>
      </c>
      <c r="K603" s="23" t="inlineStr">
        <is>
          <t>5/15/2018</t>
        </is>
      </c>
      <c r="L603" s="23" t="inlineStr">
        <is>
          <t>5/15/2018</t>
        </is>
      </c>
      <c r="O603" t="n">
        <v>38</v>
      </c>
    </row>
    <row r="604">
      <c r="A604" t="n">
        <v>100036</v>
      </c>
      <c r="C604" t="inlineStr">
        <is>
          <t>NSW-QLD</t>
        </is>
      </c>
      <c r="D604" t="inlineStr">
        <is>
          <t>Virtus Health</t>
        </is>
      </c>
      <c r="E604" t="inlineStr">
        <is>
          <t>Administration</t>
        </is>
      </c>
      <c r="F604" t="inlineStr">
        <is>
          <t>9/14/2020</t>
        </is>
      </c>
      <c r="H604" t="inlineStr">
        <is>
          <t>IVFS2023</t>
        </is>
      </c>
      <c r="I604" t="inlineStr">
        <is>
          <t>WA</t>
        </is>
      </c>
      <c r="J604" t="inlineStr">
        <is>
          <t>Full Time</t>
        </is>
      </c>
      <c r="K604" s="23" t="inlineStr">
        <is>
          <t>9/14/2020</t>
        </is>
      </c>
      <c r="L604" s="23" t="inlineStr">
        <is>
          <t>9/14/2020</t>
        </is>
      </c>
      <c r="O604" t="n">
        <v>38</v>
      </c>
    </row>
    <row r="605">
      <c r="A605" t="n">
        <v>100038</v>
      </c>
      <c r="C605" t="inlineStr">
        <is>
          <t>NSW-QLD</t>
        </is>
      </c>
      <c r="D605" t="inlineStr">
        <is>
          <t>Virtus Health</t>
        </is>
      </c>
      <c r="E605" t="inlineStr">
        <is>
          <t>Administration</t>
        </is>
      </c>
      <c r="F605" t="inlineStr">
        <is>
          <t>10/21/2020</t>
        </is>
      </c>
      <c r="H605" t="inlineStr">
        <is>
          <t>IVFS2023</t>
        </is>
      </c>
      <c r="I605" t="inlineStr">
        <is>
          <t>ACT</t>
        </is>
      </c>
      <c r="J605" t="inlineStr">
        <is>
          <t>Casual</t>
        </is>
      </c>
      <c r="K605" s="23" t="inlineStr">
        <is>
          <t>10/21/2020</t>
        </is>
      </c>
      <c r="L605" s="23" t="inlineStr">
        <is>
          <t>10/21/2020</t>
        </is>
      </c>
      <c r="O605" t="n">
        <v>36</v>
      </c>
    </row>
    <row r="606">
      <c r="A606" t="n">
        <v>100043</v>
      </c>
      <c r="C606" t="inlineStr">
        <is>
          <t>NSW-QLD</t>
        </is>
      </c>
      <c r="D606" t="inlineStr">
        <is>
          <t>Virtus Health</t>
        </is>
      </c>
      <c r="E606" t="inlineStr">
        <is>
          <t>Clinical Nurse Specialist</t>
        </is>
      </c>
      <c r="F606" t="inlineStr">
        <is>
          <t>5/27/2021</t>
        </is>
      </c>
      <c r="H606" t="inlineStr">
        <is>
          <t>IVFN2021</t>
        </is>
      </c>
      <c r="I606" t="inlineStr">
        <is>
          <t>NSW</t>
        </is>
      </c>
      <c r="J606" t="inlineStr">
        <is>
          <t>Part Time</t>
        </is>
      </c>
      <c r="K606" s="23" t="inlineStr">
        <is>
          <t>5/27/2021</t>
        </is>
      </c>
      <c r="L606" s="23" t="inlineStr">
        <is>
          <t>5/27/2021</t>
        </is>
      </c>
      <c r="O606" t="n">
        <v>38</v>
      </c>
    </row>
    <row r="607">
      <c r="A607" t="inlineStr">
        <is>
          <t>AU21005</t>
        </is>
      </c>
      <c r="C607" t="inlineStr">
        <is>
          <t>VIC-TAS</t>
        </is>
      </c>
      <c r="D607" t="inlineStr">
        <is>
          <t>Virtus Health</t>
        </is>
      </c>
      <c r="E607" t="inlineStr">
        <is>
          <t>Embryologist</t>
        </is>
      </c>
      <c r="F607" s="1" t="n">
        <v>34342</v>
      </c>
      <c r="H607" t="inlineStr">
        <is>
          <t>MIVFS2022</t>
        </is>
      </c>
      <c r="I607" t="inlineStr">
        <is>
          <t>VIC</t>
        </is>
      </c>
      <c r="J607" t="inlineStr">
        <is>
          <t>Full Time</t>
        </is>
      </c>
      <c r="K607" s="23" t="n">
        <v>34342</v>
      </c>
      <c r="L607" s="23" t="n">
        <v>34342</v>
      </c>
      <c r="O607" t="n">
        <v>38</v>
      </c>
    </row>
    <row r="608">
      <c r="A608" t="inlineStr">
        <is>
          <t>AU21019</t>
        </is>
      </c>
      <c r="C608" t="inlineStr">
        <is>
          <t>VIC-TAS</t>
        </is>
      </c>
      <c r="D608" t="inlineStr">
        <is>
          <t>Virtus Health</t>
        </is>
      </c>
      <c r="E608" t="inlineStr">
        <is>
          <t>Associate Nurse Unit Manager</t>
        </is>
      </c>
      <c r="F608" t="inlineStr">
        <is>
          <t>1/22/2001</t>
        </is>
      </c>
      <c r="H608" t="inlineStr">
        <is>
          <t>MIVFN2023</t>
        </is>
      </c>
      <c r="I608" t="inlineStr">
        <is>
          <t>VIC</t>
        </is>
      </c>
      <c r="J608" t="inlineStr">
        <is>
          <t>Part Time</t>
        </is>
      </c>
      <c r="K608" s="23" t="inlineStr">
        <is>
          <t>1/22/2001</t>
        </is>
      </c>
      <c r="L608" s="23" t="inlineStr">
        <is>
          <t>1/22/2001</t>
        </is>
      </c>
      <c r="O608" t="n">
        <v>15.2</v>
      </c>
    </row>
    <row r="609">
      <c r="A609" t="inlineStr">
        <is>
          <t>AU21025</t>
        </is>
      </c>
      <c r="B609" s="1" t="n"/>
      <c r="C609" t="inlineStr">
        <is>
          <t>VIC-TAS</t>
        </is>
      </c>
      <c r="D609" t="inlineStr">
        <is>
          <t>Virtus Health</t>
        </is>
      </c>
      <c r="E609" t="inlineStr">
        <is>
          <t>Accounts Payable Administrator</t>
        </is>
      </c>
      <c r="F609" s="1" t="n">
        <v>36901</v>
      </c>
      <c r="H609" t="inlineStr">
        <is>
          <t>MIVFS2022</t>
        </is>
      </c>
      <c r="I609" t="inlineStr">
        <is>
          <t>VIC</t>
        </is>
      </c>
      <c r="J609" t="inlineStr">
        <is>
          <t>Full Time</t>
        </is>
      </c>
      <c r="K609" s="23" t="n">
        <v>36901</v>
      </c>
      <c r="L609" s="23" t="n">
        <v>36901</v>
      </c>
      <c r="O609" t="n">
        <v>38</v>
      </c>
    </row>
    <row r="610">
      <c r="A610" t="inlineStr">
        <is>
          <t>AU21026</t>
        </is>
      </c>
      <c r="C610" t="inlineStr">
        <is>
          <t>VIC-TAS</t>
        </is>
      </c>
      <c r="D610" t="inlineStr">
        <is>
          <t>Virtus Health</t>
        </is>
      </c>
      <c r="E610" t="inlineStr">
        <is>
          <t>Embryologist</t>
        </is>
      </c>
      <c r="F610" t="inlineStr">
        <is>
          <t>10/22/2001</t>
        </is>
      </c>
      <c r="H610" t="inlineStr">
        <is>
          <t>MIVFS2022</t>
        </is>
      </c>
      <c r="I610" t="inlineStr">
        <is>
          <t>VIC</t>
        </is>
      </c>
      <c r="J610" t="inlineStr">
        <is>
          <t>Part Time</t>
        </is>
      </c>
      <c r="K610" s="23" t="inlineStr">
        <is>
          <t>10/22/2001</t>
        </is>
      </c>
      <c r="L610" s="23" t="inlineStr">
        <is>
          <t>10/22/2001</t>
        </is>
      </c>
      <c r="O610" t="n">
        <v>32</v>
      </c>
    </row>
    <row r="611">
      <c r="A611" t="inlineStr">
        <is>
          <t>AU21031</t>
        </is>
      </c>
      <c r="C611" t="inlineStr">
        <is>
          <t>VIC-TAS</t>
        </is>
      </c>
      <c r="D611" t="inlineStr">
        <is>
          <t>Virtus Health</t>
        </is>
      </c>
      <c r="E611" t="inlineStr">
        <is>
          <t>Genetic Laboratory Manager</t>
        </is>
      </c>
      <c r="F611" t="inlineStr">
        <is>
          <t>2/18/2002</t>
        </is>
      </c>
      <c r="H611" t="inlineStr">
        <is>
          <t>MIVFS2022</t>
        </is>
      </c>
      <c r="I611" t="inlineStr">
        <is>
          <t>VIC</t>
        </is>
      </c>
      <c r="J611" t="inlineStr">
        <is>
          <t>Full Time</t>
        </is>
      </c>
      <c r="K611" s="23" t="inlineStr">
        <is>
          <t>2/18/2002</t>
        </is>
      </c>
      <c r="L611" s="23" t="inlineStr">
        <is>
          <t>2/18/2002</t>
        </is>
      </c>
      <c r="O611" t="n">
        <v>38</v>
      </c>
    </row>
    <row r="612">
      <c r="A612" t="inlineStr">
        <is>
          <t>AU21033</t>
        </is>
      </c>
      <c r="C612" t="inlineStr">
        <is>
          <t>VIC-TAS</t>
        </is>
      </c>
      <c r="D612" t="inlineStr">
        <is>
          <t>Virtus Health</t>
        </is>
      </c>
      <c r="E612" t="inlineStr">
        <is>
          <t>Embryologist</t>
        </is>
      </c>
      <c r="F612" t="inlineStr">
        <is>
          <t>4/24/2002</t>
        </is>
      </c>
      <c r="H612" t="inlineStr">
        <is>
          <t>MIVFS2022</t>
        </is>
      </c>
      <c r="I612" t="inlineStr">
        <is>
          <t>VIC</t>
        </is>
      </c>
      <c r="J612" t="inlineStr">
        <is>
          <t>Part Time</t>
        </is>
      </c>
      <c r="K612" s="23" t="inlineStr">
        <is>
          <t>4/24/2002</t>
        </is>
      </c>
      <c r="L612" s="23" t="inlineStr">
        <is>
          <t>4/24/2002</t>
        </is>
      </c>
      <c r="O612" t="n">
        <v>20</v>
      </c>
    </row>
    <row r="613">
      <c r="A613" t="inlineStr">
        <is>
          <t>AU21035</t>
        </is>
      </c>
      <c r="B613" s="1" t="n"/>
      <c r="C613" t="inlineStr">
        <is>
          <t>VIC-TAS</t>
        </is>
      </c>
      <c r="D613" t="inlineStr">
        <is>
          <t>Virtus Health</t>
        </is>
      </c>
      <c r="E613" t="inlineStr">
        <is>
          <t>Head of Department</t>
        </is>
      </c>
      <c r="F613" s="1" t="n">
        <v>37412</v>
      </c>
      <c r="H613" t="inlineStr">
        <is>
          <t>MIVFS2022</t>
        </is>
      </c>
      <c r="I613" t="inlineStr">
        <is>
          <t>VIC</t>
        </is>
      </c>
      <c r="J613" t="inlineStr">
        <is>
          <t>Full Time</t>
        </is>
      </c>
      <c r="K613" s="23" t="n">
        <v>37412</v>
      </c>
      <c r="L613" s="23" t="n">
        <v>37412</v>
      </c>
      <c r="O613" t="n">
        <v>38</v>
      </c>
    </row>
    <row r="614">
      <c r="A614" t="inlineStr">
        <is>
          <t>AU22487</t>
        </is>
      </c>
      <c r="C614" t="inlineStr">
        <is>
          <t>NSW-QLD</t>
        </is>
      </c>
      <c r="D614" t="inlineStr">
        <is>
          <t>Virtus Health</t>
        </is>
      </c>
      <c r="E614" t="inlineStr">
        <is>
          <t>Nurse Unit Manager</t>
        </is>
      </c>
      <c r="F614" t="inlineStr">
        <is>
          <t>6/27/2022</t>
        </is>
      </c>
      <c r="H614" t="inlineStr">
        <is>
          <t>IVFN2021</t>
        </is>
      </c>
      <c r="I614" t="inlineStr">
        <is>
          <t>NSW</t>
        </is>
      </c>
      <c r="J614" t="inlineStr">
        <is>
          <t>Full Time</t>
        </is>
      </c>
      <c r="K614" s="23" t="inlineStr">
        <is>
          <t>6/27/2022</t>
        </is>
      </c>
      <c r="L614" s="23" t="inlineStr">
        <is>
          <t>6/27/2022</t>
        </is>
      </c>
      <c r="O614" t="n">
        <v>30.4</v>
      </c>
    </row>
    <row r="615">
      <c r="A615" t="inlineStr">
        <is>
          <t>AU22490</t>
        </is>
      </c>
      <c r="C615" t="inlineStr">
        <is>
          <t>NSW-QLD</t>
        </is>
      </c>
      <c r="D615" t="inlineStr">
        <is>
          <t>Virtus Health</t>
        </is>
      </c>
      <c r="E615" t="inlineStr">
        <is>
          <t>Administration Clerk</t>
        </is>
      </c>
      <c r="F615" s="1" t="n">
        <v>44569</v>
      </c>
      <c r="H615" t="inlineStr">
        <is>
          <t>IVFS2023</t>
        </is>
      </c>
      <c r="I615" t="inlineStr">
        <is>
          <t>NSW</t>
        </is>
      </c>
      <c r="J615" t="inlineStr">
        <is>
          <t>Casual</t>
        </is>
      </c>
      <c r="K615" s="23" t="n">
        <v>44569</v>
      </c>
      <c r="L615" s="23" t="n">
        <v>44569</v>
      </c>
      <c r="O615" t="n">
        <v>38</v>
      </c>
    </row>
    <row r="616">
      <c r="A616" t="inlineStr">
        <is>
          <t>AU22495</t>
        </is>
      </c>
      <c r="B616" s="1" t="n"/>
      <c r="C616" t="inlineStr">
        <is>
          <t>NSW-QLD</t>
        </is>
      </c>
      <c r="D616" t="inlineStr">
        <is>
          <t>Virtus Health</t>
        </is>
      </c>
      <c r="E616" t="inlineStr">
        <is>
          <t>Group Financial Reporting Manager</t>
        </is>
      </c>
      <c r="F616" s="1" t="n">
        <v>44749</v>
      </c>
      <c r="H616" t="inlineStr">
        <is>
          <t>NSW</t>
        </is>
      </c>
      <c r="I616" t="inlineStr">
        <is>
          <t>NSW</t>
        </is>
      </c>
      <c r="J616" t="inlineStr">
        <is>
          <t>Full Time</t>
        </is>
      </c>
      <c r="K616" s="23" t="n">
        <v>44749</v>
      </c>
      <c r="L616" s="23" t="n">
        <v>44749</v>
      </c>
      <c r="O616" t="n">
        <v>19</v>
      </c>
    </row>
    <row r="617">
      <c r="A617" t="inlineStr">
        <is>
          <t>AU22496</t>
        </is>
      </c>
      <c r="B617" s="1" t="n"/>
      <c r="C617" t="inlineStr">
        <is>
          <t>NSW-QLD</t>
        </is>
      </c>
      <c r="D617" t="inlineStr">
        <is>
          <t>Virtus Health</t>
        </is>
      </c>
      <c r="E617" t="inlineStr">
        <is>
          <t>Counsellor</t>
        </is>
      </c>
      <c r="F617" s="1" t="n">
        <v>44658</v>
      </c>
      <c r="H617" t="inlineStr">
        <is>
          <t>IVFC2022</t>
        </is>
      </c>
      <c r="I617" t="inlineStr">
        <is>
          <t>NSW</t>
        </is>
      </c>
      <c r="J617" t="inlineStr">
        <is>
          <t>Part Time</t>
        </is>
      </c>
      <c r="K617" s="23" t="n">
        <v>44658</v>
      </c>
      <c r="L617" s="23" t="n">
        <v>44658</v>
      </c>
      <c r="O617" t="n">
        <v>38</v>
      </c>
    </row>
    <row r="618">
      <c r="A618" t="inlineStr">
        <is>
          <t>AU22498</t>
        </is>
      </c>
      <c r="C618" t="inlineStr">
        <is>
          <t>NSW-QLD</t>
        </is>
      </c>
      <c r="D618" t="inlineStr">
        <is>
          <t>Virtus Health</t>
        </is>
      </c>
      <c r="E618" t="inlineStr">
        <is>
          <t>Registered Nurse</t>
        </is>
      </c>
      <c r="F618" t="inlineStr">
        <is>
          <t>6/27/2022</t>
        </is>
      </c>
      <c r="H618" t="inlineStr">
        <is>
          <t>IVFN2021</t>
        </is>
      </c>
      <c r="I618" t="inlineStr">
        <is>
          <t>NSW</t>
        </is>
      </c>
      <c r="J618" t="inlineStr">
        <is>
          <t>Full Time</t>
        </is>
      </c>
      <c r="K618" s="23" t="inlineStr">
        <is>
          <t>6/27/2022</t>
        </is>
      </c>
      <c r="L618" s="23" t="inlineStr">
        <is>
          <t>6/27/2022</t>
        </is>
      </c>
      <c r="O618" t="n">
        <v>38</v>
      </c>
    </row>
    <row r="619">
      <c r="A619" t="inlineStr">
        <is>
          <t>AU22502</t>
        </is>
      </c>
      <c r="C619" t="inlineStr">
        <is>
          <t>VIC-TAS</t>
        </is>
      </c>
      <c r="D619" t="inlineStr">
        <is>
          <t>Virtus Health</t>
        </is>
      </c>
      <c r="E619" t="inlineStr">
        <is>
          <t>Medical Secretary</t>
        </is>
      </c>
      <c r="F619" t="inlineStr">
        <is>
          <t>6/20/2022</t>
        </is>
      </c>
      <c r="H619" t="inlineStr">
        <is>
          <t>MIVFS2022</t>
        </is>
      </c>
      <c r="I619" t="inlineStr">
        <is>
          <t>VIC</t>
        </is>
      </c>
      <c r="J619" t="inlineStr">
        <is>
          <t>Full Time</t>
        </is>
      </c>
      <c r="K619" s="23" t="inlineStr">
        <is>
          <t>6/20/2022</t>
        </is>
      </c>
      <c r="L619" s="23" t="inlineStr">
        <is>
          <t>6/20/2022</t>
        </is>
      </c>
      <c r="O619" t="n">
        <v>38</v>
      </c>
    </row>
    <row r="620">
      <c r="A620" t="inlineStr">
        <is>
          <t>AU22503</t>
        </is>
      </c>
      <c r="B620" s="1" t="n"/>
      <c r="C620" t="inlineStr">
        <is>
          <t>NSW-QLD</t>
        </is>
      </c>
      <c r="D620" t="inlineStr">
        <is>
          <t>Virtus Health</t>
        </is>
      </c>
      <c r="E620" t="inlineStr">
        <is>
          <t>Counsellor</t>
        </is>
      </c>
      <c r="F620" s="1" t="n">
        <v>44872</v>
      </c>
      <c r="H620" t="inlineStr">
        <is>
          <t>IVFC2022</t>
        </is>
      </c>
      <c r="I620" t="inlineStr">
        <is>
          <t>NSW</t>
        </is>
      </c>
      <c r="J620" t="inlineStr">
        <is>
          <t>Part Time</t>
        </is>
      </c>
      <c r="K620" s="23" t="n">
        <v>44872</v>
      </c>
      <c r="L620" s="23" t="n">
        <v>44872</v>
      </c>
      <c r="O620" t="n">
        <v>38</v>
      </c>
    </row>
    <row r="621">
      <c r="A621" t="inlineStr">
        <is>
          <t>AU22505</t>
        </is>
      </c>
      <c r="B621" s="1" t="n"/>
      <c r="C621" t="inlineStr">
        <is>
          <t>VIC-TAS</t>
        </is>
      </c>
      <c r="D621" t="inlineStr">
        <is>
          <t>Virtus Health</t>
        </is>
      </c>
      <c r="E621" t="inlineStr">
        <is>
          <t>Embryology Team Leader</t>
        </is>
      </c>
      <c r="F621" s="1" t="n">
        <v>44781</v>
      </c>
      <c r="H621" t="inlineStr">
        <is>
          <t>MIVFS2022</t>
        </is>
      </c>
      <c r="I621" t="inlineStr">
        <is>
          <t>VIC</t>
        </is>
      </c>
      <c r="J621" t="inlineStr">
        <is>
          <t>Full Time</t>
        </is>
      </c>
      <c r="K621" s="23" t="n">
        <v>44781</v>
      </c>
      <c r="L621" s="23" t="n">
        <v>44781</v>
      </c>
      <c r="O621" t="n">
        <v>38</v>
      </c>
    </row>
    <row r="622">
      <c r="A622" t="inlineStr">
        <is>
          <t>AU22515</t>
        </is>
      </c>
      <c r="B622" s="1" t="n"/>
      <c r="C622" t="inlineStr">
        <is>
          <t>NSW-QLD</t>
        </is>
      </c>
      <c r="D622" t="inlineStr">
        <is>
          <t>Virtus Health</t>
        </is>
      </c>
      <c r="E622" t="inlineStr">
        <is>
          <t>Medical Director - QFG</t>
        </is>
      </c>
      <c r="F622" s="1" t="n">
        <v>44872</v>
      </c>
      <c r="H622" t="inlineStr">
        <is>
          <t>QLD</t>
        </is>
      </c>
      <c r="I622" t="inlineStr">
        <is>
          <t>QLD</t>
        </is>
      </c>
      <c r="J622" t="inlineStr">
        <is>
          <t>Part Time</t>
        </is>
      </c>
      <c r="K622" s="23" t="n">
        <v>44872</v>
      </c>
      <c r="L622" s="23" t="n">
        <v>44872</v>
      </c>
      <c r="O622" t="n">
        <v>38</v>
      </c>
    </row>
    <row r="623">
      <c r="A623" t="inlineStr">
        <is>
          <t>AU22518</t>
        </is>
      </c>
      <c r="C623" t="inlineStr">
        <is>
          <t>VIC-TAS</t>
        </is>
      </c>
      <c r="D623" t="inlineStr">
        <is>
          <t>Virtus Health</t>
        </is>
      </c>
      <c r="E623" t="inlineStr">
        <is>
          <t>Registered Nurse</t>
        </is>
      </c>
      <c r="F623" t="inlineStr">
        <is>
          <t>7/27/2022</t>
        </is>
      </c>
      <c r="H623" t="inlineStr">
        <is>
          <t>MIVFN2023</t>
        </is>
      </c>
      <c r="I623" t="inlineStr">
        <is>
          <t>VIC</t>
        </is>
      </c>
      <c r="J623" t="inlineStr">
        <is>
          <t>Full Time</t>
        </is>
      </c>
      <c r="K623" s="23" t="inlineStr">
        <is>
          <t>7/27/2022</t>
        </is>
      </c>
      <c r="L623" s="23" t="inlineStr">
        <is>
          <t>7/27/2022</t>
        </is>
      </c>
      <c r="O623" t="n">
        <v>38</v>
      </c>
    </row>
    <row r="624">
      <c r="A624" t="inlineStr">
        <is>
          <t>AU22520</t>
        </is>
      </c>
      <c r="C624" t="inlineStr">
        <is>
          <t>NSW-QLD</t>
        </is>
      </c>
      <c r="D624" t="inlineStr">
        <is>
          <t>Virtus Health</t>
        </is>
      </c>
      <c r="E624" t="inlineStr">
        <is>
          <t>Administration Clerk</t>
        </is>
      </c>
      <c r="F624" s="1" t="n">
        <v>44569</v>
      </c>
      <c r="H624" t="inlineStr">
        <is>
          <t>IVFS2023</t>
        </is>
      </c>
      <c r="I624" t="inlineStr">
        <is>
          <t>NSW</t>
        </is>
      </c>
      <c r="J624" t="inlineStr">
        <is>
          <t>Part Time</t>
        </is>
      </c>
      <c r="K624" s="23" t="n">
        <v>44569</v>
      </c>
      <c r="L624" s="23" t="n">
        <v>44569</v>
      </c>
      <c r="O624" t="n">
        <v>38</v>
      </c>
    </row>
    <row r="625">
      <c r="A625" t="inlineStr">
        <is>
          <t>AU22521</t>
        </is>
      </c>
      <c r="C625" t="inlineStr">
        <is>
          <t>VIC-TAS</t>
        </is>
      </c>
      <c r="D625" t="inlineStr">
        <is>
          <t>Virtus Health</t>
        </is>
      </c>
      <c r="E625" t="inlineStr">
        <is>
          <t>Clinical Nurse Specialist</t>
        </is>
      </c>
      <c r="F625" t="inlineStr">
        <is>
          <t>7/25/2022</t>
        </is>
      </c>
      <c r="H625" t="inlineStr">
        <is>
          <t>MIVFN2023</t>
        </is>
      </c>
      <c r="I625" t="inlineStr">
        <is>
          <t>VIC</t>
        </is>
      </c>
      <c r="J625" t="inlineStr">
        <is>
          <t>Part Time</t>
        </is>
      </c>
      <c r="K625" s="23" t="inlineStr">
        <is>
          <t>7/25/2022</t>
        </is>
      </c>
      <c r="L625" s="23" t="inlineStr">
        <is>
          <t>7/25/2022</t>
        </is>
      </c>
      <c r="O625" t="n">
        <v>36.1</v>
      </c>
    </row>
    <row r="626">
      <c r="A626" t="inlineStr">
        <is>
          <t>AU22529</t>
        </is>
      </c>
      <c r="B626" s="1" t="n"/>
      <c r="C626" t="inlineStr">
        <is>
          <t>NSW-QLD</t>
        </is>
      </c>
      <c r="D626" t="inlineStr">
        <is>
          <t>Virtus Health</t>
        </is>
      </c>
      <c r="E626" t="inlineStr">
        <is>
          <t>System Administrator</t>
        </is>
      </c>
      <c r="F626" s="1" t="n">
        <v>44781</v>
      </c>
      <c r="H626" t="inlineStr">
        <is>
          <t>VIC</t>
        </is>
      </c>
      <c r="I626" t="inlineStr">
        <is>
          <t>VIC</t>
        </is>
      </c>
      <c r="J626" t="inlineStr">
        <is>
          <t>Full Time</t>
        </is>
      </c>
      <c r="K626" s="23" t="n">
        <v>44781</v>
      </c>
      <c r="L626" s="23" t="n">
        <v>44781</v>
      </c>
      <c r="O626" t="n">
        <v>38</v>
      </c>
    </row>
    <row r="627">
      <c r="A627" t="inlineStr">
        <is>
          <t>AU22531</t>
        </is>
      </c>
      <c r="C627" t="inlineStr">
        <is>
          <t>NSW-QLD</t>
        </is>
      </c>
      <c r="D627" t="inlineStr">
        <is>
          <t>Virtus Health</t>
        </is>
      </c>
      <c r="E627" t="inlineStr">
        <is>
          <t>Embryologist</t>
        </is>
      </c>
      <c r="F627" t="inlineStr">
        <is>
          <t>8/15/2022</t>
        </is>
      </c>
      <c r="H627" t="inlineStr">
        <is>
          <t>IVFT2024</t>
        </is>
      </c>
      <c r="I627" t="inlineStr">
        <is>
          <t>NSW</t>
        </is>
      </c>
      <c r="J627" t="inlineStr">
        <is>
          <t>Part Time</t>
        </is>
      </c>
      <c r="K627" s="23" t="inlineStr">
        <is>
          <t>8/15/2022</t>
        </is>
      </c>
      <c r="L627" s="23" t="inlineStr">
        <is>
          <t>8/15/2022</t>
        </is>
      </c>
      <c r="O627" t="n">
        <v>38</v>
      </c>
    </row>
    <row r="628">
      <c r="A628" t="inlineStr">
        <is>
          <t>AU22538</t>
        </is>
      </c>
      <c r="C628" t="inlineStr">
        <is>
          <t>NSW-QLD</t>
        </is>
      </c>
      <c r="D628" t="inlineStr">
        <is>
          <t>Virtus Health</t>
        </is>
      </c>
      <c r="E628" t="inlineStr">
        <is>
          <t>State Busniness Development &amp; Growth Manager - QLD</t>
        </is>
      </c>
      <c r="F628" t="inlineStr">
        <is>
          <t>8/15/2022</t>
        </is>
      </c>
      <c r="H628" t="inlineStr">
        <is>
          <t>QLD</t>
        </is>
      </c>
      <c r="I628" t="inlineStr">
        <is>
          <t>QLD</t>
        </is>
      </c>
      <c r="J628" t="inlineStr">
        <is>
          <t>Full Time</t>
        </is>
      </c>
      <c r="K628" s="23" t="inlineStr">
        <is>
          <t>8/15/2022</t>
        </is>
      </c>
      <c r="L628" s="23" t="inlineStr">
        <is>
          <t>8/15/2022</t>
        </is>
      </c>
      <c r="O628" t="n">
        <v>38</v>
      </c>
    </row>
    <row r="629">
      <c r="A629" t="inlineStr">
        <is>
          <t>AU22541</t>
        </is>
      </c>
      <c r="C629" t="inlineStr">
        <is>
          <t>NSW-QLD</t>
        </is>
      </c>
      <c r="D629" t="inlineStr">
        <is>
          <t>Virtus Health</t>
        </is>
      </c>
      <c r="E629" t="inlineStr">
        <is>
          <t>Associate Nurse Unit Manager</t>
        </is>
      </c>
      <c r="F629" t="inlineStr">
        <is>
          <t>8/30/2022</t>
        </is>
      </c>
      <c r="H629" t="inlineStr">
        <is>
          <t>IVFN2021</t>
        </is>
      </c>
      <c r="I629" t="inlineStr">
        <is>
          <t>NSW</t>
        </is>
      </c>
      <c r="J629" t="inlineStr">
        <is>
          <t>Part Time</t>
        </is>
      </c>
      <c r="K629" s="23" t="inlineStr">
        <is>
          <t>8/30/2022</t>
        </is>
      </c>
      <c r="L629" s="23" t="inlineStr">
        <is>
          <t>8/30/2022</t>
        </is>
      </c>
      <c r="O629" t="n">
        <v>38</v>
      </c>
    </row>
    <row r="630">
      <c r="A630" t="inlineStr">
        <is>
          <t>AU22543</t>
        </is>
      </c>
      <c r="C630" t="inlineStr">
        <is>
          <t>NSW-QLD</t>
        </is>
      </c>
      <c r="D630" t="inlineStr">
        <is>
          <t>Virtus Health</t>
        </is>
      </c>
      <c r="E630" t="inlineStr">
        <is>
          <t>Customer Call Operator</t>
        </is>
      </c>
      <c r="F630" t="inlineStr">
        <is>
          <t>8/15/2022</t>
        </is>
      </c>
      <c r="H630" t="inlineStr">
        <is>
          <t>IVFS2023</t>
        </is>
      </c>
      <c r="I630" t="inlineStr">
        <is>
          <t>NSW</t>
        </is>
      </c>
      <c r="J630" t="inlineStr">
        <is>
          <t>Casual</t>
        </is>
      </c>
      <c r="K630" s="23" t="inlineStr">
        <is>
          <t>8/15/2022</t>
        </is>
      </c>
      <c r="L630" s="23" t="inlineStr">
        <is>
          <t>8/15/2022</t>
        </is>
      </c>
      <c r="O630" t="n">
        <v>38</v>
      </c>
    </row>
    <row r="631">
      <c r="A631" t="inlineStr">
        <is>
          <t>AU22544</t>
        </is>
      </c>
      <c r="C631" t="inlineStr">
        <is>
          <t>NSW-QLD</t>
        </is>
      </c>
      <c r="D631" t="inlineStr">
        <is>
          <t>Virtus Health</t>
        </is>
      </c>
      <c r="E631" t="inlineStr">
        <is>
          <t>Genetic Scientist</t>
        </is>
      </c>
      <c r="F631" t="inlineStr">
        <is>
          <t>8/29/2022</t>
        </is>
      </c>
      <c r="H631" t="inlineStr">
        <is>
          <t>QS2024</t>
        </is>
      </c>
      <c r="I631" t="inlineStr">
        <is>
          <t>QLD</t>
        </is>
      </c>
      <c r="J631" t="inlineStr">
        <is>
          <t>Full Time</t>
        </is>
      </c>
      <c r="K631" s="23" t="inlineStr">
        <is>
          <t>8/29/2022</t>
        </is>
      </c>
      <c r="L631" s="23" t="inlineStr">
        <is>
          <t>8/29/2022</t>
        </is>
      </c>
      <c r="O631" t="n">
        <v>27</v>
      </c>
    </row>
    <row r="632">
      <c r="A632" t="inlineStr">
        <is>
          <t>AU22546</t>
        </is>
      </c>
      <c r="B632" s="1" t="n"/>
      <c r="C632" t="inlineStr">
        <is>
          <t>VIC-TAS</t>
        </is>
      </c>
      <c r="D632" t="inlineStr">
        <is>
          <t>Virtus Health</t>
        </is>
      </c>
      <c r="E632" t="inlineStr">
        <is>
          <t>Embryologist</t>
        </is>
      </c>
      <c r="F632" s="1" t="n">
        <v>44690</v>
      </c>
      <c r="H632" t="inlineStr">
        <is>
          <t>MIVFS2022</t>
        </is>
      </c>
      <c r="I632" t="inlineStr">
        <is>
          <t>VIC</t>
        </is>
      </c>
      <c r="J632" t="inlineStr">
        <is>
          <t>Part Time</t>
        </is>
      </c>
      <c r="K632" s="23" t="n">
        <v>44690</v>
      </c>
      <c r="L632" s="23" t="n">
        <v>44690</v>
      </c>
      <c r="O632" t="n">
        <v>32</v>
      </c>
    </row>
    <row r="633">
      <c r="A633" t="inlineStr">
        <is>
          <t>AU22547</t>
        </is>
      </c>
      <c r="C633" t="inlineStr">
        <is>
          <t>NSW-QLD</t>
        </is>
      </c>
      <c r="D633" t="inlineStr">
        <is>
          <t>Virtus Health</t>
        </is>
      </c>
      <c r="E633" t="inlineStr">
        <is>
          <t>Embryologist</t>
        </is>
      </c>
      <c r="F633" s="1" t="n">
        <v>44569</v>
      </c>
      <c r="H633" t="inlineStr">
        <is>
          <t>QS2024</t>
        </is>
      </c>
      <c r="I633" t="inlineStr">
        <is>
          <t>QLD</t>
        </is>
      </c>
      <c r="J633" t="inlineStr">
        <is>
          <t>Part Time</t>
        </is>
      </c>
      <c r="K633" s="23" t="n">
        <v>44569</v>
      </c>
      <c r="L633" s="23" t="n">
        <v>44569</v>
      </c>
      <c r="O633" t="n">
        <v>22.8</v>
      </c>
    </row>
    <row r="634">
      <c r="A634" t="inlineStr">
        <is>
          <t>AU22550</t>
        </is>
      </c>
      <c r="C634" t="inlineStr">
        <is>
          <t>NSW-QLD</t>
        </is>
      </c>
      <c r="D634" t="inlineStr">
        <is>
          <t>Virtus Health</t>
        </is>
      </c>
      <c r="E634" t="inlineStr">
        <is>
          <t>Theatre Orderly</t>
        </is>
      </c>
      <c r="F634" t="inlineStr">
        <is>
          <t>8/16/2022</t>
        </is>
      </c>
      <c r="H634" t="inlineStr">
        <is>
          <t>IVFS2023</t>
        </is>
      </c>
      <c r="I634" t="inlineStr">
        <is>
          <t>NSW</t>
        </is>
      </c>
      <c r="J634" t="inlineStr">
        <is>
          <t>Full Time</t>
        </is>
      </c>
      <c r="K634" s="23" t="inlineStr">
        <is>
          <t>8/16/2022</t>
        </is>
      </c>
      <c r="L634" s="23" t="inlineStr">
        <is>
          <t>8/16/2022</t>
        </is>
      </c>
      <c r="O634" t="n">
        <v>38</v>
      </c>
    </row>
    <row r="635">
      <c r="A635" t="inlineStr">
        <is>
          <t>AU22552</t>
        </is>
      </c>
      <c r="B635" s="1" t="n"/>
      <c r="C635" t="inlineStr">
        <is>
          <t>NSW-QLD</t>
        </is>
      </c>
      <c r="D635" t="inlineStr">
        <is>
          <t>Virtus Health</t>
        </is>
      </c>
      <c r="E635" t="inlineStr">
        <is>
          <t>Registered Nurse</t>
        </is>
      </c>
      <c r="F635" s="1" t="n">
        <v>44781</v>
      </c>
      <c r="H635" t="inlineStr">
        <is>
          <t>IVFN2021</t>
        </is>
      </c>
      <c r="I635" t="inlineStr">
        <is>
          <t>NSW</t>
        </is>
      </c>
      <c r="J635" t="inlineStr">
        <is>
          <t>Casual</t>
        </is>
      </c>
      <c r="K635" s="23" t="n">
        <v>44781</v>
      </c>
      <c r="L635" s="23" t="n">
        <v>44781</v>
      </c>
      <c r="O635" t="n">
        <v>30</v>
      </c>
    </row>
    <row r="636">
      <c r="A636" t="inlineStr">
        <is>
          <t>AU22556</t>
        </is>
      </c>
      <c r="C636" t="inlineStr">
        <is>
          <t>NSW-QLD</t>
        </is>
      </c>
      <c r="D636" t="inlineStr">
        <is>
          <t>Virtus Health</t>
        </is>
      </c>
      <c r="E636" t="inlineStr">
        <is>
          <t>Phlebotomist</t>
        </is>
      </c>
      <c r="F636" t="inlineStr">
        <is>
          <t>9/24/2020</t>
        </is>
      </c>
      <c r="H636" t="inlineStr">
        <is>
          <t>IVFS2023</t>
        </is>
      </c>
      <c r="I636" t="inlineStr">
        <is>
          <t>NSW</t>
        </is>
      </c>
      <c r="J636" t="inlineStr">
        <is>
          <t>Casual</t>
        </is>
      </c>
      <c r="K636" s="23" t="inlineStr">
        <is>
          <t>9/24/2020</t>
        </is>
      </c>
      <c r="L636" s="23" t="inlineStr">
        <is>
          <t>9/24/2020</t>
        </is>
      </c>
      <c r="O636" t="n">
        <v>28.5</v>
      </c>
    </row>
    <row r="637">
      <c r="A637" t="inlineStr">
        <is>
          <t>AU22560</t>
        </is>
      </c>
      <c r="C637" t="inlineStr">
        <is>
          <t>NSW-QLD</t>
        </is>
      </c>
      <c r="D637" t="inlineStr">
        <is>
          <t>Virtus Health</t>
        </is>
      </c>
      <c r="E637" t="inlineStr">
        <is>
          <t>Genetic Scientist</t>
        </is>
      </c>
      <c r="F637" t="inlineStr">
        <is>
          <t>9/14/2022</t>
        </is>
      </c>
      <c r="H637" t="inlineStr">
        <is>
          <t>QS2024</t>
        </is>
      </c>
      <c r="I637" t="inlineStr">
        <is>
          <t>QLD</t>
        </is>
      </c>
      <c r="J637" t="inlineStr">
        <is>
          <t>Full Time</t>
        </is>
      </c>
      <c r="K637" s="23" t="inlineStr">
        <is>
          <t>9/14/2022</t>
        </is>
      </c>
      <c r="L637" s="23" t="inlineStr">
        <is>
          <t>9/14/2022</t>
        </is>
      </c>
      <c r="O637" t="n">
        <v>28.5</v>
      </c>
    </row>
    <row r="638">
      <c r="A638" t="inlineStr">
        <is>
          <t>AU22562</t>
        </is>
      </c>
      <c r="B638" s="1" t="n"/>
      <c r="C638" t="inlineStr">
        <is>
          <t>NSW-QLD</t>
        </is>
      </c>
      <c r="D638" t="inlineStr">
        <is>
          <t>Virtus Health</t>
        </is>
      </c>
      <c r="E638" t="inlineStr">
        <is>
          <t>Enrolled Nurse</t>
        </is>
      </c>
      <c r="F638" s="1" t="n">
        <v>44629</v>
      </c>
      <c r="H638" t="inlineStr">
        <is>
          <t>IVFN2021</t>
        </is>
      </c>
      <c r="I638" t="inlineStr">
        <is>
          <t>NSW</t>
        </is>
      </c>
      <c r="J638" t="inlineStr">
        <is>
          <t>Casual</t>
        </is>
      </c>
      <c r="K638" s="23" t="n">
        <v>44629</v>
      </c>
      <c r="L638" s="23" t="n">
        <v>44629</v>
      </c>
      <c r="O638" t="n">
        <v>38</v>
      </c>
    </row>
    <row r="639">
      <c r="A639" t="inlineStr">
        <is>
          <t>AU22565</t>
        </is>
      </c>
      <c r="C639" t="inlineStr">
        <is>
          <t>NSW-QLD</t>
        </is>
      </c>
      <c r="D639" t="inlineStr">
        <is>
          <t>Virtus Health</t>
        </is>
      </c>
      <c r="E639" t="inlineStr">
        <is>
          <t>Registered Nurse</t>
        </is>
      </c>
      <c r="F639" t="inlineStr">
        <is>
          <t>8/22/2022</t>
        </is>
      </c>
      <c r="H639" t="inlineStr">
        <is>
          <t>IVFN2021</t>
        </is>
      </c>
      <c r="I639" t="inlineStr">
        <is>
          <t>NSW</t>
        </is>
      </c>
      <c r="J639" t="inlineStr">
        <is>
          <t>Casual</t>
        </is>
      </c>
      <c r="K639" s="23" t="inlineStr">
        <is>
          <t>8/22/2022</t>
        </is>
      </c>
      <c r="L639" s="23" t="inlineStr">
        <is>
          <t>8/22/2022</t>
        </is>
      </c>
      <c r="O639" t="n">
        <v>24</v>
      </c>
    </row>
    <row r="640">
      <c r="A640" t="inlineStr">
        <is>
          <t>AU22568</t>
        </is>
      </c>
      <c r="B640" s="1" t="n"/>
      <c r="C640" t="inlineStr">
        <is>
          <t>VIC-TAS</t>
        </is>
      </c>
      <c r="D640" t="inlineStr">
        <is>
          <t>Virtus Health</t>
        </is>
      </c>
      <c r="E640" t="inlineStr">
        <is>
          <t>Nursing Administrator</t>
        </is>
      </c>
      <c r="F640" s="1" t="n">
        <v>44690</v>
      </c>
      <c r="H640" t="inlineStr">
        <is>
          <t>MIVFS2022</t>
        </is>
      </c>
      <c r="I640" t="inlineStr">
        <is>
          <t>VIC</t>
        </is>
      </c>
      <c r="J640" t="inlineStr">
        <is>
          <t>Full Time</t>
        </is>
      </c>
      <c r="K640" s="23" t="n">
        <v>44690</v>
      </c>
      <c r="L640" s="23" t="n">
        <v>44690</v>
      </c>
      <c r="O640" t="n">
        <v>38</v>
      </c>
    </row>
    <row r="641">
      <c r="A641" t="inlineStr">
        <is>
          <t>AU22579</t>
        </is>
      </c>
      <c r="C641" t="inlineStr">
        <is>
          <t>NSW-QLD</t>
        </is>
      </c>
      <c r="D641" t="inlineStr">
        <is>
          <t>Virtus Health</t>
        </is>
      </c>
      <c r="E641" t="inlineStr">
        <is>
          <t>Medical Secretary</t>
        </is>
      </c>
      <c r="F641" t="inlineStr">
        <is>
          <t>9/26/2022</t>
        </is>
      </c>
      <c r="H641" t="inlineStr">
        <is>
          <t>IVFS2023</t>
        </is>
      </c>
      <c r="I641" t="inlineStr">
        <is>
          <t>NSW</t>
        </is>
      </c>
      <c r="J641" t="inlineStr">
        <is>
          <t>Full Time</t>
        </is>
      </c>
      <c r="K641" s="23" t="inlineStr">
        <is>
          <t>9/26/2022</t>
        </is>
      </c>
      <c r="L641" s="23" t="inlineStr">
        <is>
          <t>9/26/2022</t>
        </is>
      </c>
      <c r="O641" t="n">
        <v>38</v>
      </c>
    </row>
    <row r="642">
      <c r="A642" t="inlineStr">
        <is>
          <t>AU22581</t>
        </is>
      </c>
      <c r="B642" s="1" t="n"/>
      <c r="C642" t="inlineStr">
        <is>
          <t>NSW-QLD</t>
        </is>
      </c>
      <c r="D642" t="inlineStr">
        <is>
          <t>Virtus Health</t>
        </is>
      </c>
      <c r="E642" t="inlineStr">
        <is>
          <t>Genetic Laboratory Technician</t>
        </is>
      </c>
      <c r="F642" s="1" t="n">
        <v>44630</v>
      </c>
      <c r="H642" t="inlineStr">
        <is>
          <t>QS2024</t>
        </is>
      </c>
      <c r="I642" t="inlineStr">
        <is>
          <t>QLD</t>
        </is>
      </c>
      <c r="J642" t="inlineStr">
        <is>
          <t>Full Time</t>
        </is>
      </c>
      <c r="K642" s="23" t="n">
        <v>44630</v>
      </c>
      <c r="L642" s="23" t="n">
        <v>44630</v>
      </c>
      <c r="O642" t="n">
        <v>30.4</v>
      </c>
    </row>
    <row r="643">
      <c r="A643" t="inlineStr">
        <is>
          <t>AU22586</t>
        </is>
      </c>
      <c r="B643" s="1" t="n"/>
      <c r="C643" t="inlineStr">
        <is>
          <t>VIC-TAS</t>
        </is>
      </c>
      <c r="D643" t="inlineStr">
        <is>
          <t>Virtus Health</t>
        </is>
      </c>
      <c r="E643" t="inlineStr">
        <is>
          <t>Accounts Receivable Administrator</t>
        </is>
      </c>
      <c r="F643" s="1" t="n">
        <v>44844</v>
      </c>
      <c r="H643" t="inlineStr">
        <is>
          <t>MIVFS2022</t>
        </is>
      </c>
      <c r="I643" t="inlineStr">
        <is>
          <t>VIC</t>
        </is>
      </c>
      <c r="J643" t="inlineStr">
        <is>
          <t>Full Time</t>
        </is>
      </c>
      <c r="K643" s="23" t="n">
        <v>44844</v>
      </c>
      <c r="L643" s="23" t="n">
        <v>44844</v>
      </c>
      <c r="O643" t="n">
        <v>38</v>
      </c>
    </row>
    <row r="644">
      <c r="A644" t="inlineStr">
        <is>
          <t>AU22588</t>
        </is>
      </c>
      <c r="C644" t="inlineStr">
        <is>
          <t>VIC-TAS</t>
        </is>
      </c>
      <c r="D644" t="inlineStr">
        <is>
          <t>Virtus Health</t>
        </is>
      </c>
      <c r="E644" t="inlineStr">
        <is>
          <t>Donor Nurse</t>
        </is>
      </c>
      <c r="F644" t="inlineStr">
        <is>
          <t>11/28/2022</t>
        </is>
      </c>
      <c r="H644" t="inlineStr">
        <is>
          <t>MIVFN2023</t>
        </is>
      </c>
      <c r="I644" t="inlineStr">
        <is>
          <t>VIC</t>
        </is>
      </c>
      <c r="J644" t="inlineStr">
        <is>
          <t>Part Time</t>
        </is>
      </c>
      <c r="K644" s="23" t="inlineStr">
        <is>
          <t>11/28/2022</t>
        </is>
      </c>
      <c r="L644" s="23" t="inlineStr">
        <is>
          <t>11/28/2022</t>
        </is>
      </c>
      <c r="O644" t="n">
        <v>22.8</v>
      </c>
    </row>
    <row r="645">
      <c r="A645" t="inlineStr">
        <is>
          <t>AU22590</t>
        </is>
      </c>
      <c r="B645" s="1" t="n"/>
      <c r="C645" t="inlineStr">
        <is>
          <t>VIC-TAS</t>
        </is>
      </c>
      <c r="D645" t="inlineStr">
        <is>
          <t>Virtus Health</t>
        </is>
      </c>
      <c r="E645" t="inlineStr">
        <is>
          <t>Registered Nurse</t>
        </is>
      </c>
      <c r="F645" s="1" t="n">
        <v>44630</v>
      </c>
      <c r="H645" t="inlineStr">
        <is>
          <t>MIVFN2023</t>
        </is>
      </c>
      <c r="I645" t="inlineStr">
        <is>
          <t>VIC</t>
        </is>
      </c>
      <c r="J645" t="inlineStr">
        <is>
          <t>Full Time</t>
        </is>
      </c>
      <c r="K645" s="23" t="n">
        <v>44630</v>
      </c>
      <c r="L645" s="23" t="n">
        <v>44630</v>
      </c>
      <c r="O645" t="n">
        <v>38</v>
      </c>
    </row>
    <row r="646">
      <c r="A646" t="inlineStr">
        <is>
          <t>AU22597</t>
        </is>
      </c>
      <c r="B646" s="1" t="n"/>
      <c r="C646" t="inlineStr">
        <is>
          <t>VIC-TAS</t>
        </is>
      </c>
      <c r="D646" t="inlineStr">
        <is>
          <t>Virtus Health</t>
        </is>
      </c>
      <c r="E646" t="inlineStr">
        <is>
          <t>Receptionist</t>
        </is>
      </c>
      <c r="F646" s="1" t="n">
        <v>44630</v>
      </c>
      <c r="H646" t="inlineStr">
        <is>
          <t>MIVFS2022</t>
        </is>
      </c>
      <c r="I646" t="inlineStr">
        <is>
          <t>VIC</t>
        </is>
      </c>
      <c r="J646" t="inlineStr">
        <is>
          <t>Full Time</t>
        </is>
      </c>
      <c r="K646" s="23" t="n">
        <v>44630</v>
      </c>
      <c r="L646" s="23" t="n">
        <v>44630</v>
      </c>
      <c r="O646" t="n">
        <v>38</v>
      </c>
    </row>
    <row r="647">
      <c r="A647" t="inlineStr">
        <is>
          <t>AU22601</t>
        </is>
      </c>
      <c r="C647" t="inlineStr">
        <is>
          <t>NSW-QLD</t>
        </is>
      </c>
      <c r="D647" t="inlineStr">
        <is>
          <t>Virtus Health</t>
        </is>
      </c>
      <c r="E647" t="inlineStr">
        <is>
          <t>Genetic Scientist</t>
        </is>
      </c>
      <c r="F647" t="inlineStr">
        <is>
          <t>10/17/2022</t>
        </is>
      </c>
      <c r="H647" t="inlineStr">
        <is>
          <t>QS2024</t>
        </is>
      </c>
      <c r="I647" t="inlineStr">
        <is>
          <t>QLD</t>
        </is>
      </c>
      <c r="J647" t="inlineStr">
        <is>
          <t>Full Time</t>
        </is>
      </c>
      <c r="K647" s="23" t="inlineStr">
        <is>
          <t>10/17/2022</t>
        </is>
      </c>
      <c r="L647" s="23" t="inlineStr">
        <is>
          <t>10/17/2022</t>
        </is>
      </c>
      <c r="O647" t="n">
        <v>38</v>
      </c>
    </row>
    <row r="648">
      <c r="A648" t="inlineStr">
        <is>
          <t>AU22603</t>
        </is>
      </c>
      <c r="B648" s="1" t="n"/>
      <c r="C648" t="inlineStr">
        <is>
          <t>NSW-QLD</t>
        </is>
      </c>
      <c r="D648" t="inlineStr">
        <is>
          <t>Virtus Health</t>
        </is>
      </c>
      <c r="E648" t="inlineStr">
        <is>
          <t>Embryologist</t>
        </is>
      </c>
      <c r="F648" s="1" t="n">
        <v>44844</v>
      </c>
      <c r="H648" t="inlineStr">
        <is>
          <t>IVFT2024</t>
        </is>
      </c>
      <c r="I648" t="inlineStr">
        <is>
          <t>NSW</t>
        </is>
      </c>
      <c r="J648" t="inlineStr">
        <is>
          <t>Full Time</t>
        </is>
      </c>
      <c r="K648" s="23" t="n">
        <v>44844</v>
      </c>
      <c r="L648" s="23" t="n">
        <v>44844</v>
      </c>
      <c r="O648" t="n">
        <v>38</v>
      </c>
    </row>
    <row r="649">
      <c r="A649" t="inlineStr">
        <is>
          <t>AU22610</t>
        </is>
      </c>
      <c r="B649" s="1" t="n"/>
      <c r="C649" t="inlineStr">
        <is>
          <t>NSW-QLD</t>
        </is>
      </c>
      <c r="D649" t="inlineStr">
        <is>
          <t>Virtus Health</t>
        </is>
      </c>
      <c r="E649" t="inlineStr">
        <is>
          <t>CSSD Tech</t>
        </is>
      </c>
      <c r="F649" s="1" t="n">
        <v>44230</v>
      </c>
      <c r="H649" t="inlineStr">
        <is>
          <t>IVFS2023</t>
        </is>
      </c>
      <c r="I649" t="inlineStr">
        <is>
          <t>NSW</t>
        </is>
      </c>
      <c r="J649" t="inlineStr">
        <is>
          <t>Full Time</t>
        </is>
      </c>
      <c r="K649" s="23" t="n">
        <v>44230</v>
      </c>
      <c r="L649" s="23" t="n">
        <v>44230</v>
      </c>
      <c r="O649" t="n">
        <v>38</v>
      </c>
    </row>
    <row r="650">
      <c r="A650" t="inlineStr">
        <is>
          <t>AU22613</t>
        </is>
      </c>
      <c r="C650" t="inlineStr">
        <is>
          <t>NSW-QLD</t>
        </is>
      </c>
      <c r="D650" t="inlineStr">
        <is>
          <t>Virtus Health</t>
        </is>
      </c>
      <c r="E650" t="inlineStr">
        <is>
          <t>Genetic Scientist</t>
        </is>
      </c>
      <c r="F650" t="inlineStr">
        <is>
          <t>11/28/2022</t>
        </is>
      </c>
      <c r="H650" t="inlineStr">
        <is>
          <t>QS2024</t>
        </is>
      </c>
      <c r="I650" t="inlineStr">
        <is>
          <t>QLD</t>
        </is>
      </c>
      <c r="J650" t="inlineStr">
        <is>
          <t>Full Time</t>
        </is>
      </c>
      <c r="K650" s="23" t="inlineStr">
        <is>
          <t>11/28/2022</t>
        </is>
      </c>
      <c r="L650" s="23" t="inlineStr">
        <is>
          <t>11/28/2022</t>
        </is>
      </c>
      <c r="O650" t="n">
        <v>30</v>
      </c>
    </row>
    <row r="651">
      <c r="A651" t="inlineStr">
        <is>
          <t>AU22615</t>
        </is>
      </c>
      <c r="C651" t="inlineStr">
        <is>
          <t>NSW-QLD</t>
        </is>
      </c>
      <c r="D651" t="inlineStr">
        <is>
          <t>Virtus Health</t>
        </is>
      </c>
      <c r="E651" t="inlineStr">
        <is>
          <t>Managing Director QFG and Virtus Diagnostics</t>
        </is>
      </c>
      <c r="F651" s="1" t="n">
        <v>44572</v>
      </c>
      <c r="H651" t="inlineStr">
        <is>
          <t>QLD</t>
        </is>
      </c>
      <c r="I651" t="inlineStr">
        <is>
          <t>QLD</t>
        </is>
      </c>
      <c r="J651" t="inlineStr">
        <is>
          <t>Full Time</t>
        </is>
      </c>
      <c r="K651" s="23" t="n">
        <v>44572</v>
      </c>
      <c r="L651" s="23" t="n">
        <v>44572</v>
      </c>
      <c r="O651" t="n">
        <v>38</v>
      </c>
    </row>
    <row r="652">
      <c r="A652" t="inlineStr">
        <is>
          <t>AU22618</t>
        </is>
      </c>
      <c r="B652" s="1" t="n"/>
      <c r="C652" t="inlineStr">
        <is>
          <t>NSW-QLD</t>
        </is>
      </c>
      <c r="D652" t="inlineStr">
        <is>
          <t>Virtus Health</t>
        </is>
      </c>
      <c r="E652" t="inlineStr">
        <is>
          <t>Accounts Receivable - Diagnostics</t>
        </is>
      </c>
      <c r="F652" s="1" t="n">
        <v>44753</v>
      </c>
      <c r="H652" t="inlineStr">
        <is>
          <t>IVFS2023</t>
        </is>
      </c>
      <c r="I652" t="inlineStr">
        <is>
          <t>QLD</t>
        </is>
      </c>
      <c r="J652" t="inlineStr">
        <is>
          <t>Full Time</t>
        </is>
      </c>
      <c r="K652" s="23" t="n">
        <v>44753</v>
      </c>
      <c r="L652" s="23" t="n">
        <v>44753</v>
      </c>
      <c r="O652" t="n">
        <v>38</v>
      </c>
    </row>
    <row r="653">
      <c r="A653" t="inlineStr">
        <is>
          <t>AU22619</t>
        </is>
      </c>
      <c r="C653" t="inlineStr">
        <is>
          <t>NSW-QLD</t>
        </is>
      </c>
      <c r="D653" t="inlineStr">
        <is>
          <t>Virtus Health</t>
        </is>
      </c>
      <c r="E653" t="inlineStr">
        <is>
          <t>Clinical Nurse Specialist</t>
        </is>
      </c>
      <c r="F653" t="inlineStr">
        <is>
          <t>10/31/2022</t>
        </is>
      </c>
      <c r="H653" t="inlineStr">
        <is>
          <t>IVFN2021</t>
        </is>
      </c>
      <c r="I653" t="inlineStr">
        <is>
          <t>NSW</t>
        </is>
      </c>
      <c r="J653" t="inlineStr">
        <is>
          <t>Full Time</t>
        </is>
      </c>
      <c r="K653" s="23" t="inlineStr">
        <is>
          <t>10/31/2022</t>
        </is>
      </c>
      <c r="L653" s="23" t="inlineStr">
        <is>
          <t>10/31/2022</t>
        </is>
      </c>
      <c r="O653" t="n">
        <v>38</v>
      </c>
    </row>
    <row r="654">
      <c r="A654" t="inlineStr">
        <is>
          <t>AU22621</t>
        </is>
      </c>
      <c r="B654" s="1" t="n"/>
      <c r="C654" t="inlineStr">
        <is>
          <t>NSW-QLD</t>
        </is>
      </c>
      <c r="D654" t="inlineStr">
        <is>
          <t>Virtus Health</t>
        </is>
      </c>
      <c r="E654" t="inlineStr">
        <is>
          <t>Clinical Nurse Specialist</t>
        </is>
      </c>
      <c r="F654" s="1" t="n">
        <v>44753</v>
      </c>
      <c r="H654" t="inlineStr">
        <is>
          <t>IVFN2021</t>
        </is>
      </c>
      <c r="I654" t="inlineStr">
        <is>
          <t>NSW</t>
        </is>
      </c>
      <c r="J654" t="inlineStr">
        <is>
          <t>Full Time</t>
        </is>
      </c>
      <c r="K654" s="23" t="n">
        <v>44753</v>
      </c>
      <c r="L654" s="23" t="n">
        <v>44753</v>
      </c>
      <c r="O654" t="n">
        <v>38</v>
      </c>
    </row>
    <row r="655">
      <c r="A655" t="inlineStr">
        <is>
          <t>AU22624</t>
        </is>
      </c>
      <c r="C655" t="inlineStr">
        <is>
          <t>NSW-QLD</t>
        </is>
      </c>
      <c r="D655" t="inlineStr">
        <is>
          <t>Virtus Health</t>
        </is>
      </c>
      <c r="E655" t="inlineStr">
        <is>
          <t>Registered Nurse</t>
        </is>
      </c>
      <c r="F655" t="inlineStr">
        <is>
          <t>10/31/2022</t>
        </is>
      </c>
      <c r="H655" t="inlineStr">
        <is>
          <t>QN2025</t>
        </is>
      </c>
      <c r="I655" t="inlineStr">
        <is>
          <t>QLD</t>
        </is>
      </c>
      <c r="J655" t="inlineStr">
        <is>
          <t>Full Time</t>
        </is>
      </c>
      <c r="K655" s="23" t="inlineStr">
        <is>
          <t>10/31/2022</t>
        </is>
      </c>
      <c r="L655" s="23" t="inlineStr">
        <is>
          <t>10/31/2022</t>
        </is>
      </c>
      <c r="O655" t="n">
        <v>38</v>
      </c>
    </row>
    <row r="656">
      <c r="A656" t="inlineStr">
        <is>
          <t>AU22625</t>
        </is>
      </c>
      <c r="C656" t="inlineStr">
        <is>
          <t>NSW-QLD</t>
        </is>
      </c>
      <c r="D656" t="inlineStr">
        <is>
          <t>Virtus Health</t>
        </is>
      </c>
      <c r="E656" t="inlineStr">
        <is>
          <t>Phlebotomist</t>
        </is>
      </c>
      <c r="F656" t="inlineStr">
        <is>
          <t>10/31/2022</t>
        </is>
      </c>
      <c r="H656" t="inlineStr">
        <is>
          <t>IVFS2023</t>
        </is>
      </c>
      <c r="I656" t="inlineStr">
        <is>
          <t>QLD</t>
        </is>
      </c>
      <c r="J656" t="inlineStr">
        <is>
          <t>Casual</t>
        </is>
      </c>
      <c r="K656" s="23" t="inlineStr">
        <is>
          <t>10/31/2022</t>
        </is>
      </c>
      <c r="L656" s="23" t="inlineStr">
        <is>
          <t>10/31/2022</t>
        </is>
      </c>
      <c r="O656" t="n">
        <v>28.5</v>
      </c>
    </row>
    <row r="657">
      <c r="A657" t="inlineStr">
        <is>
          <t>AU22626</t>
        </is>
      </c>
      <c r="C657" t="inlineStr">
        <is>
          <t>NSW-QLD</t>
        </is>
      </c>
      <c r="D657" t="inlineStr">
        <is>
          <t>Virtus Health</t>
        </is>
      </c>
      <c r="E657" t="inlineStr">
        <is>
          <t>Medical Secretary</t>
        </is>
      </c>
      <c r="F657" s="1" t="n">
        <v>44572</v>
      </c>
      <c r="H657" t="inlineStr">
        <is>
          <t>IVFS2023</t>
        </is>
      </c>
      <c r="I657" t="inlineStr">
        <is>
          <t>NSW</t>
        </is>
      </c>
      <c r="J657" t="inlineStr">
        <is>
          <t>Part Time</t>
        </is>
      </c>
      <c r="K657" s="23" t="n">
        <v>44572</v>
      </c>
      <c r="L657" s="23" t="n">
        <v>44572</v>
      </c>
      <c r="O657" t="n">
        <v>38</v>
      </c>
    </row>
    <row r="658">
      <c r="A658" t="inlineStr">
        <is>
          <t>AU22629</t>
        </is>
      </c>
      <c r="C658" t="inlineStr">
        <is>
          <t>VIC-TAS</t>
        </is>
      </c>
      <c r="D658" t="inlineStr">
        <is>
          <t>Virtus Health</t>
        </is>
      </c>
      <c r="E658" t="inlineStr">
        <is>
          <t>Enrolled Nurse</t>
        </is>
      </c>
      <c r="F658" t="inlineStr">
        <is>
          <t>9/17/2022</t>
        </is>
      </c>
      <c r="H658" t="inlineStr">
        <is>
          <t>MIVFN2023</t>
        </is>
      </c>
      <c r="I658" t="inlineStr">
        <is>
          <t>VIC</t>
        </is>
      </c>
      <c r="J658" t="inlineStr">
        <is>
          <t>Casual</t>
        </is>
      </c>
      <c r="K658" s="23" t="inlineStr">
        <is>
          <t>9/17/2022</t>
        </is>
      </c>
      <c r="L658" s="23" t="inlineStr">
        <is>
          <t>9/17/2022</t>
        </is>
      </c>
      <c r="O658" t="n">
        <v>38</v>
      </c>
    </row>
    <row r="659">
      <c r="A659" t="inlineStr">
        <is>
          <t>AU22633</t>
        </is>
      </c>
      <c r="C659" t="inlineStr">
        <is>
          <t>VIC-TAS</t>
        </is>
      </c>
      <c r="D659" t="inlineStr">
        <is>
          <t>Virtus Health</t>
        </is>
      </c>
      <c r="E659" t="inlineStr">
        <is>
          <t>Clinical Nurse Specialist</t>
        </is>
      </c>
      <c r="F659" t="inlineStr">
        <is>
          <t>11/14/2022</t>
        </is>
      </c>
      <c r="H659" t="inlineStr">
        <is>
          <t>MIVFN2023</t>
        </is>
      </c>
      <c r="I659" t="inlineStr">
        <is>
          <t>VIC</t>
        </is>
      </c>
      <c r="J659" t="inlineStr">
        <is>
          <t>Full Time</t>
        </is>
      </c>
      <c r="K659" s="23" t="inlineStr">
        <is>
          <t>11/14/2022</t>
        </is>
      </c>
      <c r="L659" s="23" t="inlineStr">
        <is>
          <t>11/14/2022</t>
        </is>
      </c>
      <c r="O659" t="n">
        <v>38</v>
      </c>
    </row>
    <row r="660">
      <c r="A660" t="inlineStr">
        <is>
          <t>AU22634</t>
        </is>
      </c>
      <c r="B660" s="1" t="n"/>
      <c r="C660" t="inlineStr">
        <is>
          <t>NSW-QLD</t>
        </is>
      </c>
      <c r="D660" t="inlineStr">
        <is>
          <t>Virtus Health</t>
        </is>
      </c>
      <c r="E660" t="inlineStr">
        <is>
          <t>Registered Nurse</t>
        </is>
      </c>
      <c r="F660" s="1" t="n">
        <v>44753</v>
      </c>
      <c r="H660" t="inlineStr">
        <is>
          <t>IVFN2021</t>
        </is>
      </c>
      <c r="I660" t="inlineStr">
        <is>
          <t>NSW</t>
        </is>
      </c>
      <c r="J660" t="inlineStr">
        <is>
          <t>Full Time</t>
        </is>
      </c>
      <c r="K660" s="23" t="n">
        <v>44753</v>
      </c>
      <c r="L660" s="23" t="n">
        <v>44753</v>
      </c>
      <c r="O660" t="n">
        <v>38</v>
      </c>
    </row>
    <row r="661">
      <c r="A661" t="inlineStr">
        <is>
          <t>AU22635</t>
        </is>
      </c>
      <c r="B661" s="1" t="n"/>
      <c r="C661" t="inlineStr">
        <is>
          <t>VIC-TAS</t>
        </is>
      </c>
      <c r="D661" t="inlineStr">
        <is>
          <t>Virtus Health</t>
        </is>
      </c>
      <c r="E661" t="inlineStr">
        <is>
          <t>New Patient Care Consultant</t>
        </is>
      </c>
      <c r="F661" s="1" t="n">
        <v>44753</v>
      </c>
      <c r="H661" t="inlineStr">
        <is>
          <t>MIVFS2022</t>
        </is>
      </c>
      <c r="I661" t="inlineStr">
        <is>
          <t>VIC</t>
        </is>
      </c>
      <c r="J661" t="inlineStr">
        <is>
          <t>Part Time</t>
        </is>
      </c>
      <c r="K661" s="23" t="n">
        <v>44753</v>
      </c>
      <c r="L661" s="23" t="n">
        <v>44753</v>
      </c>
      <c r="O661" t="n">
        <v>19.2</v>
      </c>
    </row>
    <row r="662">
      <c r="A662" t="inlineStr">
        <is>
          <t>AU22637</t>
        </is>
      </c>
      <c r="C662" t="inlineStr">
        <is>
          <t>NSW-QLD</t>
        </is>
      </c>
      <c r="D662" t="inlineStr">
        <is>
          <t>Virtus Health</t>
        </is>
      </c>
      <c r="E662" t="inlineStr">
        <is>
          <t>Phlebotomist</t>
        </is>
      </c>
      <c r="F662" t="inlineStr">
        <is>
          <t>10/27/2022</t>
        </is>
      </c>
      <c r="H662" t="inlineStr">
        <is>
          <t>IVFS2023</t>
        </is>
      </c>
      <c r="I662" t="inlineStr">
        <is>
          <t>QLD</t>
        </is>
      </c>
      <c r="J662" t="inlineStr">
        <is>
          <t>Casual</t>
        </is>
      </c>
      <c r="K662" s="23" t="inlineStr">
        <is>
          <t>10/27/2022</t>
        </is>
      </c>
      <c r="L662" s="23" t="inlineStr">
        <is>
          <t>10/27/2022</t>
        </is>
      </c>
      <c r="O662" t="n">
        <v>24</v>
      </c>
    </row>
    <row r="663">
      <c r="A663" t="inlineStr">
        <is>
          <t>AU22641</t>
        </is>
      </c>
      <c r="C663" t="inlineStr">
        <is>
          <t>VIC-TAS</t>
        </is>
      </c>
      <c r="D663" t="inlineStr">
        <is>
          <t>Virtus Health</t>
        </is>
      </c>
      <c r="E663" t="inlineStr">
        <is>
          <t>Registered Nurse</t>
        </is>
      </c>
      <c r="F663" t="inlineStr">
        <is>
          <t>11/25/2022</t>
        </is>
      </c>
      <c r="H663" t="inlineStr">
        <is>
          <t>TIVF2024</t>
        </is>
      </c>
      <c r="I663" t="inlineStr">
        <is>
          <t>TAS</t>
        </is>
      </c>
      <c r="J663" t="inlineStr">
        <is>
          <t>Casual</t>
        </is>
      </c>
      <c r="K663" s="23" t="inlineStr">
        <is>
          <t>11/25/2022</t>
        </is>
      </c>
      <c r="L663" s="23" t="inlineStr">
        <is>
          <t>11/25/2022</t>
        </is>
      </c>
      <c r="O663" t="n">
        <v>38</v>
      </c>
    </row>
    <row r="664">
      <c r="A664" t="inlineStr">
        <is>
          <t>AU22644</t>
        </is>
      </c>
      <c r="B664" s="1" t="n"/>
      <c r="C664" t="inlineStr">
        <is>
          <t>NSW-QLD</t>
        </is>
      </c>
      <c r="D664" t="inlineStr">
        <is>
          <t>Virtus Health</t>
        </is>
      </c>
      <c r="E664" t="inlineStr">
        <is>
          <t>Administration</t>
        </is>
      </c>
      <c r="F664" s="1" t="n">
        <v>44845</v>
      </c>
      <c r="H664" t="inlineStr">
        <is>
          <t>IVFS2023</t>
        </is>
      </c>
      <c r="I664" t="inlineStr">
        <is>
          <t>QLD</t>
        </is>
      </c>
      <c r="J664" t="inlineStr">
        <is>
          <t>Casual</t>
        </is>
      </c>
      <c r="K664" s="23" t="n">
        <v>44845</v>
      </c>
      <c r="L664" s="23" t="n">
        <v>44845</v>
      </c>
      <c r="O664" t="n">
        <v>20.2</v>
      </c>
    </row>
    <row r="665">
      <c r="A665" t="inlineStr">
        <is>
          <t>AU22645</t>
        </is>
      </c>
      <c r="C665" t="inlineStr">
        <is>
          <t>NSW-QLD</t>
        </is>
      </c>
      <c r="D665" t="inlineStr">
        <is>
          <t>Virtus Health</t>
        </is>
      </c>
      <c r="E665" t="inlineStr">
        <is>
          <t>Embryologist</t>
        </is>
      </c>
      <c r="F665" t="inlineStr">
        <is>
          <t>11/14/2022</t>
        </is>
      </c>
      <c r="H665" t="inlineStr">
        <is>
          <t>IVFT2024</t>
        </is>
      </c>
      <c r="I665" t="inlineStr">
        <is>
          <t>ACT</t>
        </is>
      </c>
      <c r="J665" t="inlineStr">
        <is>
          <t>Full Time</t>
        </is>
      </c>
      <c r="K665" s="23" t="inlineStr">
        <is>
          <t>11/14/2022</t>
        </is>
      </c>
      <c r="L665" s="23" t="inlineStr">
        <is>
          <t>11/14/2022</t>
        </is>
      </c>
      <c r="O665" t="n">
        <v>38</v>
      </c>
    </row>
    <row r="666">
      <c r="A666" t="inlineStr">
        <is>
          <t>AU22646</t>
        </is>
      </c>
      <c r="C666" t="inlineStr">
        <is>
          <t>NSW-QLD</t>
        </is>
      </c>
      <c r="D666" t="inlineStr">
        <is>
          <t>Virtus Health</t>
        </is>
      </c>
      <c r="E666" t="inlineStr">
        <is>
          <t>Registered Nurse</t>
        </is>
      </c>
      <c r="F666" t="inlineStr">
        <is>
          <t>11/21/2022</t>
        </is>
      </c>
      <c r="H666" t="inlineStr">
        <is>
          <t>IVFN2021</t>
        </is>
      </c>
      <c r="I666" t="inlineStr">
        <is>
          <t>NSW</t>
        </is>
      </c>
      <c r="J666" t="inlineStr">
        <is>
          <t>Full Time</t>
        </is>
      </c>
      <c r="K666" s="23" t="inlineStr">
        <is>
          <t>11/21/2022</t>
        </is>
      </c>
      <c r="L666" s="23" t="inlineStr">
        <is>
          <t>11/21/2022</t>
        </is>
      </c>
      <c r="O666" t="n">
        <v>38</v>
      </c>
    </row>
    <row r="667">
      <c r="A667" t="inlineStr">
        <is>
          <t>AU22647</t>
        </is>
      </c>
      <c r="C667" t="inlineStr">
        <is>
          <t>VIC-TAS</t>
        </is>
      </c>
      <c r="D667" t="inlineStr">
        <is>
          <t>Virtus Health</t>
        </is>
      </c>
      <c r="E667" t="inlineStr">
        <is>
          <t>Registered Nurse</t>
        </is>
      </c>
      <c r="F667" t="inlineStr">
        <is>
          <t>11/14/2022</t>
        </is>
      </c>
      <c r="H667" t="inlineStr">
        <is>
          <t>MIVFN2023</t>
        </is>
      </c>
      <c r="I667" t="inlineStr">
        <is>
          <t>VIC</t>
        </is>
      </c>
      <c r="J667" t="inlineStr">
        <is>
          <t>Part Time</t>
        </is>
      </c>
      <c r="K667" s="23" t="inlineStr">
        <is>
          <t>11/14/2022</t>
        </is>
      </c>
      <c r="L667" s="23" t="inlineStr">
        <is>
          <t>11/14/2022</t>
        </is>
      </c>
      <c r="O667" t="n">
        <v>26.6</v>
      </c>
    </row>
    <row r="668">
      <c r="A668" t="inlineStr">
        <is>
          <t>AU22650</t>
        </is>
      </c>
      <c r="C668" t="inlineStr">
        <is>
          <t>NSW-QLD</t>
        </is>
      </c>
      <c r="D668" t="inlineStr">
        <is>
          <t>Virtus Health</t>
        </is>
      </c>
      <c r="E668" t="inlineStr">
        <is>
          <t>Senior People &amp; Culture Business Partner</t>
        </is>
      </c>
      <c r="F668" t="inlineStr">
        <is>
          <t>11/16/2022</t>
        </is>
      </c>
      <c r="H668" t="inlineStr">
        <is>
          <t>VIC</t>
        </is>
      </c>
      <c r="I668" t="inlineStr">
        <is>
          <t>VIC</t>
        </is>
      </c>
      <c r="J668" t="inlineStr">
        <is>
          <t>Full Time</t>
        </is>
      </c>
      <c r="K668" s="23" t="inlineStr">
        <is>
          <t>11/16/2022</t>
        </is>
      </c>
      <c r="L668" s="23" t="inlineStr">
        <is>
          <t>11/16/2022</t>
        </is>
      </c>
      <c r="O668" t="n">
        <v>38</v>
      </c>
    </row>
    <row r="669">
      <c r="A669" t="inlineStr">
        <is>
          <t>AU22651</t>
        </is>
      </c>
      <c r="B669" s="1" t="n"/>
      <c r="C669" t="inlineStr">
        <is>
          <t>NSW-QLD</t>
        </is>
      </c>
      <c r="D669" t="inlineStr">
        <is>
          <t>Virtus Health</t>
        </is>
      </c>
      <c r="E669" t="inlineStr">
        <is>
          <t>Laboratory Support Assistant</t>
        </is>
      </c>
      <c r="F669" s="1" t="n">
        <v>44876</v>
      </c>
      <c r="H669" t="inlineStr">
        <is>
          <t>IVFT2024</t>
        </is>
      </c>
      <c r="I669" t="inlineStr">
        <is>
          <t>NSW</t>
        </is>
      </c>
      <c r="J669" t="inlineStr">
        <is>
          <t>Casual</t>
        </is>
      </c>
      <c r="K669" s="23" t="n">
        <v>44876</v>
      </c>
      <c r="L669" s="23" t="n">
        <v>44876</v>
      </c>
      <c r="O669" t="n">
        <v>24</v>
      </c>
    </row>
    <row r="670">
      <c r="A670" t="inlineStr">
        <is>
          <t>AU22653</t>
        </is>
      </c>
      <c r="B670" s="1" t="n"/>
      <c r="C670" t="inlineStr">
        <is>
          <t>NSW-QLD</t>
        </is>
      </c>
      <c r="D670" t="inlineStr">
        <is>
          <t>Virtus Health</t>
        </is>
      </c>
      <c r="E670" t="inlineStr">
        <is>
          <t>Registered Nurse</t>
        </is>
      </c>
      <c r="F670" s="1" t="n">
        <v>44815</v>
      </c>
      <c r="H670" t="inlineStr">
        <is>
          <t>IVFN2021</t>
        </is>
      </c>
      <c r="I670" t="inlineStr">
        <is>
          <t>NSW</t>
        </is>
      </c>
      <c r="J670" t="inlineStr">
        <is>
          <t>Full Time</t>
        </is>
      </c>
      <c r="K670" s="23" t="n">
        <v>44815</v>
      </c>
      <c r="L670" s="23" t="n">
        <v>44815</v>
      </c>
      <c r="O670" t="n">
        <v>38</v>
      </c>
    </row>
    <row r="671">
      <c r="A671" t="inlineStr">
        <is>
          <t>AU22655</t>
        </is>
      </c>
      <c r="B671" s="1" t="n"/>
      <c r="C671" t="inlineStr">
        <is>
          <t>VIC-TAS</t>
        </is>
      </c>
      <c r="D671" t="inlineStr">
        <is>
          <t>Virtus Health</t>
        </is>
      </c>
      <c r="E671" t="inlineStr">
        <is>
          <t>Pathology Scientist</t>
        </is>
      </c>
      <c r="F671" s="1" t="n">
        <v>41343</v>
      </c>
      <c r="H671" t="inlineStr">
        <is>
          <t>MIVFS2022</t>
        </is>
      </c>
      <c r="I671" t="inlineStr">
        <is>
          <t>VIC</t>
        </is>
      </c>
      <c r="J671" t="inlineStr">
        <is>
          <t>Part Time</t>
        </is>
      </c>
      <c r="K671" s="23" t="n">
        <v>41343</v>
      </c>
      <c r="L671" s="23" t="n">
        <v>41343</v>
      </c>
      <c r="O671" t="n">
        <v>15.2</v>
      </c>
    </row>
    <row r="672">
      <c r="A672" t="inlineStr">
        <is>
          <t>AU22656</t>
        </is>
      </c>
      <c r="C672" t="inlineStr">
        <is>
          <t>NSW-QLD</t>
        </is>
      </c>
      <c r="D672" t="inlineStr">
        <is>
          <t>Virtus Health</t>
        </is>
      </c>
      <c r="E672" t="inlineStr">
        <is>
          <t>Registered Nurse</t>
        </is>
      </c>
      <c r="F672" t="inlineStr">
        <is>
          <t>11/21/2022</t>
        </is>
      </c>
      <c r="H672" t="inlineStr">
        <is>
          <t>IVFN2021</t>
        </is>
      </c>
      <c r="I672" t="inlineStr">
        <is>
          <t>NSW</t>
        </is>
      </c>
      <c r="J672" t="inlineStr">
        <is>
          <t>Full Time</t>
        </is>
      </c>
      <c r="K672" s="23" t="inlineStr">
        <is>
          <t>11/21/2022</t>
        </is>
      </c>
      <c r="L672" s="23" t="inlineStr">
        <is>
          <t>11/21/2022</t>
        </is>
      </c>
      <c r="O672" t="n">
        <v>38</v>
      </c>
    </row>
    <row r="673">
      <c r="A673" t="inlineStr">
        <is>
          <t>AU22657</t>
        </is>
      </c>
      <c r="C673" t="inlineStr">
        <is>
          <t>VIC-TAS</t>
        </is>
      </c>
      <c r="D673" t="inlineStr">
        <is>
          <t>Virtus Health</t>
        </is>
      </c>
      <c r="E673" t="inlineStr">
        <is>
          <t>Registered Nurse</t>
        </is>
      </c>
      <c r="F673" t="inlineStr">
        <is>
          <t>11/14/2022</t>
        </is>
      </c>
      <c r="H673" t="inlineStr">
        <is>
          <t>MIVFN2023</t>
        </is>
      </c>
      <c r="I673" t="inlineStr">
        <is>
          <t>VIC</t>
        </is>
      </c>
      <c r="J673" t="inlineStr">
        <is>
          <t>Full Time</t>
        </is>
      </c>
      <c r="K673" s="23" t="inlineStr">
        <is>
          <t>11/14/2022</t>
        </is>
      </c>
      <c r="L673" s="23" t="inlineStr">
        <is>
          <t>11/14/2022</t>
        </is>
      </c>
      <c r="O673" t="n">
        <v>38</v>
      </c>
    </row>
    <row r="674">
      <c r="A674" t="inlineStr">
        <is>
          <t>AU22658</t>
        </is>
      </c>
      <c r="C674" t="inlineStr">
        <is>
          <t>VIC-TAS</t>
        </is>
      </c>
      <c r="D674" t="inlineStr">
        <is>
          <t>Virtus Health</t>
        </is>
      </c>
      <c r="E674" t="inlineStr">
        <is>
          <t>Clinical Nurse Specialist</t>
        </is>
      </c>
      <c r="F674" t="inlineStr">
        <is>
          <t>11/14/2022</t>
        </is>
      </c>
      <c r="H674" t="inlineStr">
        <is>
          <t>MIVFN2023</t>
        </is>
      </c>
      <c r="I674" t="inlineStr">
        <is>
          <t>VIC</t>
        </is>
      </c>
      <c r="J674" t="inlineStr">
        <is>
          <t>Full Time</t>
        </is>
      </c>
      <c r="K674" s="23" t="inlineStr">
        <is>
          <t>11/14/2022</t>
        </is>
      </c>
      <c r="L674" s="23" t="inlineStr">
        <is>
          <t>11/14/2022</t>
        </is>
      </c>
      <c r="O674" t="n">
        <v>38</v>
      </c>
    </row>
    <row r="675">
      <c r="A675" t="inlineStr">
        <is>
          <t>AU22661</t>
        </is>
      </c>
      <c r="B675" s="1" t="n"/>
      <c r="C675" t="inlineStr">
        <is>
          <t>NSW-QLD</t>
        </is>
      </c>
      <c r="D675" t="inlineStr">
        <is>
          <t>Virtus Health</t>
        </is>
      </c>
      <c r="E675" t="inlineStr">
        <is>
          <t>Administration</t>
        </is>
      </c>
      <c r="F675" s="1" t="n">
        <v>44753</v>
      </c>
      <c r="H675" t="inlineStr">
        <is>
          <t>IVFS2023</t>
        </is>
      </c>
      <c r="I675" t="inlineStr">
        <is>
          <t>QLD</t>
        </is>
      </c>
      <c r="J675" t="inlineStr">
        <is>
          <t>Casual</t>
        </is>
      </c>
      <c r="K675" s="23" t="n">
        <v>44753</v>
      </c>
      <c r="L675" s="23" t="n">
        <v>44753</v>
      </c>
      <c r="O675" t="n">
        <v>38</v>
      </c>
    </row>
    <row r="676">
      <c r="A676" t="inlineStr">
        <is>
          <t>AU22662</t>
        </is>
      </c>
      <c r="C676" t="inlineStr">
        <is>
          <t>NSW-QLD</t>
        </is>
      </c>
      <c r="D676" t="inlineStr">
        <is>
          <t>Virtus Health</t>
        </is>
      </c>
      <c r="E676" t="inlineStr">
        <is>
          <t xml:space="preserve">Senior Medical Administrator </t>
        </is>
      </c>
      <c r="F676" t="inlineStr">
        <is>
          <t>11/21/2022</t>
        </is>
      </c>
      <c r="H676" t="inlineStr">
        <is>
          <t>IVFS2023</t>
        </is>
      </c>
      <c r="I676" t="inlineStr">
        <is>
          <t>QLD</t>
        </is>
      </c>
      <c r="J676" t="inlineStr">
        <is>
          <t>Full Time</t>
        </is>
      </c>
      <c r="K676" s="23" t="inlineStr">
        <is>
          <t>11/21/2022</t>
        </is>
      </c>
      <c r="L676" s="23" t="inlineStr">
        <is>
          <t>11/21/2022</t>
        </is>
      </c>
      <c r="O676" t="n">
        <v>28.5</v>
      </c>
    </row>
    <row r="677">
      <c r="A677" t="inlineStr">
        <is>
          <t>AU22663</t>
        </is>
      </c>
      <c r="C677" t="inlineStr">
        <is>
          <t>NSW-QLD</t>
        </is>
      </c>
      <c r="D677" t="inlineStr">
        <is>
          <t>Virtus Health</t>
        </is>
      </c>
      <c r="E677" t="inlineStr">
        <is>
          <t>Courier</t>
        </is>
      </c>
      <c r="F677" t="inlineStr">
        <is>
          <t>11/24/2022</t>
        </is>
      </c>
      <c r="H677" t="inlineStr">
        <is>
          <t>IVFS2023</t>
        </is>
      </c>
      <c r="I677" t="inlineStr">
        <is>
          <t>NSW</t>
        </is>
      </c>
      <c r="J677" t="inlineStr">
        <is>
          <t>Casual</t>
        </is>
      </c>
      <c r="K677" s="23" t="inlineStr">
        <is>
          <t>11/24/2022</t>
        </is>
      </c>
      <c r="L677" s="23" t="inlineStr">
        <is>
          <t>11/24/2022</t>
        </is>
      </c>
      <c r="O677" t="n">
        <v>38</v>
      </c>
    </row>
    <row r="678">
      <c r="A678" t="inlineStr">
        <is>
          <t>AU22665</t>
        </is>
      </c>
      <c r="C678" t="inlineStr">
        <is>
          <t>NSW-QLD</t>
        </is>
      </c>
      <c r="D678" t="inlineStr">
        <is>
          <t>Virtus Health</t>
        </is>
      </c>
      <c r="E678" t="inlineStr">
        <is>
          <t>Registered Nurse</t>
        </is>
      </c>
      <c r="F678" t="inlineStr">
        <is>
          <t>11/28/2022</t>
        </is>
      </c>
      <c r="H678" t="inlineStr">
        <is>
          <t>IVFN2021</t>
        </is>
      </c>
      <c r="I678" t="inlineStr">
        <is>
          <t>NSW</t>
        </is>
      </c>
      <c r="J678" t="inlineStr">
        <is>
          <t>Part Time</t>
        </is>
      </c>
      <c r="K678" s="23" t="inlineStr">
        <is>
          <t>11/28/2022</t>
        </is>
      </c>
      <c r="L678" s="23" t="inlineStr">
        <is>
          <t>11/28/2022</t>
        </is>
      </c>
      <c r="O678" t="n">
        <v>38</v>
      </c>
    </row>
    <row r="679">
      <c r="A679" t="inlineStr">
        <is>
          <t>AU22667</t>
        </is>
      </c>
      <c r="B679" s="1" t="n"/>
      <c r="C679" t="inlineStr">
        <is>
          <t>NSW-QLD</t>
        </is>
      </c>
      <c r="D679" t="inlineStr">
        <is>
          <t>Virtus Health</t>
        </is>
      </c>
      <c r="E679" t="inlineStr">
        <is>
          <t>Head of Property</t>
        </is>
      </c>
      <c r="F679" s="1" t="n">
        <v>44907</v>
      </c>
      <c r="H679" t="inlineStr">
        <is>
          <t>VIC</t>
        </is>
      </c>
      <c r="I679" t="inlineStr">
        <is>
          <t>VIC</t>
        </is>
      </c>
      <c r="J679" t="inlineStr">
        <is>
          <t>Full Time</t>
        </is>
      </c>
      <c r="K679" s="23" t="n">
        <v>44907</v>
      </c>
      <c r="L679" s="23" t="n">
        <v>44907</v>
      </c>
      <c r="O679" t="n">
        <v>38</v>
      </c>
    </row>
    <row r="680">
      <c r="A680" t="inlineStr">
        <is>
          <t>AU22670</t>
        </is>
      </c>
      <c r="C680" t="inlineStr">
        <is>
          <t>NSW-QLD</t>
        </is>
      </c>
      <c r="D680" t="inlineStr">
        <is>
          <t>Virtus Health</t>
        </is>
      </c>
      <c r="E680" t="inlineStr">
        <is>
          <t>Senior People &amp; Culture Business Partner</t>
        </is>
      </c>
      <c r="F680" t="inlineStr">
        <is>
          <t>11/29/2022</t>
        </is>
      </c>
      <c r="H680" t="inlineStr">
        <is>
          <t>NSW</t>
        </is>
      </c>
      <c r="I680" t="inlineStr">
        <is>
          <t>NSW</t>
        </is>
      </c>
      <c r="J680" t="inlineStr">
        <is>
          <t>Full Time</t>
        </is>
      </c>
      <c r="K680" s="23" t="inlineStr">
        <is>
          <t>11/29/2022</t>
        </is>
      </c>
      <c r="L680" s="23" t="inlineStr">
        <is>
          <t>11/29/2022</t>
        </is>
      </c>
      <c r="O680" t="n">
        <v>38</v>
      </c>
    </row>
    <row r="681">
      <c r="A681" t="inlineStr">
        <is>
          <t>AU22672</t>
        </is>
      </c>
      <c r="C681" t="inlineStr">
        <is>
          <t>NSW-QLD</t>
        </is>
      </c>
      <c r="D681" t="inlineStr">
        <is>
          <t>Virtus Health</t>
        </is>
      </c>
      <c r="E681" t="inlineStr">
        <is>
          <t>Medical Scientist</t>
        </is>
      </c>
      <c r="F681" t="inlineStr">
        <is>
          <t>11/28/2022</t>
        </is>
      </c>
      <c r="H681" t="inlineStr">
        <is>
          <t>IVFS2023</t>
        </is>
      </c>
      <c r="I681" t="inlineStr">
        <is>
          <t>NSW</t>
        </is>
      </c>
      <c r="J681" t="inlineStr">
        <is>
          <t>Full Time</t>
        </is>
      </c>
      <c r="K681" s="23" t="inlineStr">
        <is>
          <t>11/28/2022</t>
        </is>
      </c>
      <c r="L681" s="23" t="inlineStr">
        <is>
          <t>11/28/2022</t>
        </is>
      </c>
      <c r="O681" t="n">
        <v>38</v>
      </c>
    </row>
    <row r="682">
      <c r="A682" t="inlineStr">
        <is>
          <t>AU22673</t>
        </is>
      </c>
      <c r="C682" t="inlineStr">
        <is>
          <t>NSW-QLD</t>
        </is>
      </c>
      <c r="D682" t="inlineStr">
        <is>
          <t>Virtus Health</t>
        </is>
      </c>
      <c r="E682" t="inlineStr">
        <is>
          <t>Assistant in Nursing</t>
        </is>
      </c>
      <c r="F682" t="inlineStr">
        <is>
          <t>11/21/2022</t>
        </is>
      </c>
      <c r="H682" t="inlineStr">
        <is>
          <t>IVFN2021</t>
        </is>
      </c>
      <c r="I682" t="inlineStr">
        <is>
          <t>NSW</t>
        </is>
      </c>
      <c r="J682" t="inlineStr">
        <is>
          <t>Full Time</t>
        </is>
      </c>
      <c r="K682" s="23" t="inlineStr">
        <is>
          <t>11/21/2022</t>
        </is>
      </c>
      <c r="L682" s="23" t="inlineStr">
        <is>
          <t>11/21/2022</t>
        </is>
      </c>
      <c r="O682" t="n">
        <v>38</v>
      </c>
    </row>
    <row r="683">
      <c r="A683" t="inlineStr">
        <is>
          <t>AU22680</t>
        </is>
      </c>
      <c r="C683" t="inlineStr">
        <is>
          <t>NSW-QLD</t>
        </is>
      </c>
      <c r="D683" t="inlineStr">
        <is>
          <t>Virtus Health</t>
        </is>
      </c>
      <c r="E683" t="inlineStr">
        <is>
          <t>Receptionist</t>
        </is>
      </c>
      <c r="F683" t="inlineStr">
        <is>
          <t>1/16/2023</t>
        </is>
      </c>
      <c r="H683" t="inlineStr">
        <is>
          <t>IVFS2023</t>
        </is>
      </c>
      <c r="I683" t="inlineStr">
        <is>
          <t>QLD</t>
        </is>
      </c>
      <c r="J683" t="inlineStr">
        <is>
          <t>Casual</t>
        </is>
      </c>
      <c r="K683" s="23" t="inlineStr">
        <is>
          <t>1/16/2023</t>
        </is>
      </c>
      <c r="L683" s="23" t="inlineStr">
        <is>
          <t>1/16/2023</t>
        </is>
      </c>
      <c r="O683" t="n">
        <v>8</v>
      </c>
    </row>
    <row r="684">
      <c r="A684" t="inlineStr">
        <is>
          <t>AU22685</t>
        </is>
      </c>
      <c r="B684" s="1" t="n"/>
      <c r="C684" t="inlineStr">
        <is>
          <t>NSW-QLD</t>
        </is>
      </c>
      <c r="D684" t="inlineStr">
        <is>
          <t>Virtus Health</t>
        </is>
      </c>
      <c r="E684" t="inlineStr">
        <is>
          <t>New Patient Care Consultant</t>
        </is>
      </c>
      <c r="F684" s="1" t="n">
        <v>44907</v>
      </c>
      <c r="H684" t="inlineStr">
        <is>
          <t>IVFS2023</t>
        </is>
      </c>
      <c r="I684" t="inlineStr">
        <is>
          <t>NSW</t>
        </is>
      </c>
      <c r="J684" t="inlineStr">
        <is>
          <t>Part Time</t>
        </is>
      </c>
      <c r="K684" s="23" t="n">
        <v>44907</v>
      </c>
      <c r="L684" s="23" t="n">
        <v>44907</v>
      </c>
      <c r="O684" t="n">
        <v>24</v>
      </c>
    </row>
    <row r="685">
      <c r="A685" t="inlineStr">
        <is>
          <t>AU22686</t>
        </is>
      </c>
      <c r="C685" t="inlineStr">
        <is>
          <t>VIC-TAS</t>
        </is>
      </c>
      <c r="D685" t="inlineStr">
        <is>
          <t>Virtus Health</t>
        </is>
      </c>
      <c r="E685" t="inlineStr">
        <is>
          <t>Registered Nurse</t>
        </is>
      </c>
      <c r="F685" t="inlineStr">
        <is>
          <t>12/14/2022</t>
        </is>
      </c>
      <c r="H685" t="inlineStr">
        <is>
          <t>MIVFN2023</t>
        </is>
      </c>
      <c r="I685" t="inlineStr">
        <is>
          <t>VIC</t>
        </is>
      </c>
      <c r="J685" t="inlineStr">
        <is>
          <t>Casual</t>
        </is>
      </c>
      <c r="K685" s="23" t="inlineStr">
        <is>
          <t>12/14/2022</t>
        </is>
      </c>
      <c r="L685" s="23" t="inlineStr">
        <is>
          <t>12/14/2022</t>
        </is>
      </c>
      <c r="O685" t="n">
        <v>38</v>
      </c>
    </row>
    <row r="686">
      <c r="A686" t="inlineStr">
        <is>
          <t>AU22693</t>
        </is>
      </c>
      <c r="B686" s="1" t="n"/>
      <c r="C686" t="inlineStr">
        <is>
          <t>NSW-QLD</t>
        </is>
      </c>
      <c r="D686" t="inlineStr">
        <is>
          <t>Virtus Health</t>
        </is>
      </c>
      <c r="E686" t="inlineStr">
        <is>
          <t>Senior Administration Officer</t>
        </is>
      </c>
      <c r="F686" s="1" t="n">
        <v>45170</v>
      </c>
      <c r="H686" t="inlineStr">
        <is>
          <t>IVFS2023</t>
        </is>
      </c>
      <c r="I686" t="inlineStr">
        <is>
          <t>NSW</t>
        </is>
      </c>
      <c r="J686" t="inlineStr">
        <is>
          <t>Part Time</t>
        </is>
      </c>
      <c r="K686" s="23" t="n">
        <v>45170</v>
      </c>
      <c r="L686" s="23" t="n">
        <v>45170</v>
      </c>
      <c r="O686" t="n">
        <v>38</v>
      </c>
    </row>
    <row r="687">
      <c r="A687" t="inlineStr">
        <is>
          <t>AU22696</t>
        </is>
      </c>
      <c r="B687" s="1" t="n"/>
      <c r="C687" t="inlineStr">
        <is>
          <t>NSW-QLD</t>
        </is>
      </c>
      <c r="D687" t="inlineStr">
        <is>
          <t>Virtus Health</t>
        </is>
      </c>
      <c r="E687" t="inlineStr">
        <is>
          <t>Senior Researcher</t>
        </is>
      </c>
      <c r="F687" s="1" t="n">
        <v>45231</v>
      </c>
      <c r="H687" t="inlineStr">
        <is>
          <t>VIC</t>
        </is>
      </c>
      <c r="I687" t="inlineStr">
        <is>
          <t>VIC</t>
        </is>
      </c>
      <c r="J687" t="inlineStr">
        <is>
          <t>Full Time</t>
        </is>
      </c>
      <c r="K687" s="23" t="n">
        <v>45231</v>
      </c>
      <c r="L687" s="23" t="n">
        <v>45231</v>
      </c>
      <c r="O687" t="n">
        <v>25.5</v>
      </c>
    </row>
    <row r="688">
      <c r="A688" t="inlineStr">
        <is>
          <t>AU22699</t>
        </is>
      </c>
      <c r="C688" t="inlineStr">
        <is>
          <t>NSW-QLD</t>
        </is>
      </c>
      <c r="D688" t="inlineStr">
        <is>
          <t>Virtus Health</t>
        </is>
      </c>
      <c r="E688" t="inlineStr">
        <is>
          <t>Registered Nurse</t>
        </is>
      </c>
      <c r="F688" t="inlineStr">
        <is>
          <t>1/16/2023</t>
        </is>
      </c>
      <c r="H688" t="inlineStr">
        <is>
          <t>IVFN2021</t>
        </is>
      </c>
      <c r="I688" t="inlineStr">
        <is>
          <t>NSW</t>
        </is>
      </c>
      <c r="J688" t="inlineStr">
        <is>
          <t>Part Time</t>
        </is>
      </c>
      <c r="K688" s="23" t="inlineStr">
        <is>
          <t>1/16/2023</t>
        </is>
      </c>
      <c r="L688" s="23" t="inlineStr">
        <is>
          <t>1/16/2023</t>
        </is>
      </c>
      <c r="O688" t="n">
        <v>38</v>
      </c>
    </row>
    <row r="689">
      <c r="A689" t="inlineStr">
        <is>
          <t>AU22702</t>
        </is>
      </c>
      <c r="B689" s="1" t="n"/>
      <c r="C689" t="inlineStr">
        <is>
          <t>NSW-QLD</t>
        </is>
      </c>
      <c r="D689" t="inlineStr">
        <is>
          <t>Virtus Health</t>
        </is>
      </c>
      <c r="E689" t="inlineStr">
        <is>
          <t>Embryologist</t>
        </is>
      </c>
      <c r="F689" s="1" t="n">
        <v>45170</v>
      </c>
      <c r="H689" t="inlineStr">
        <is>
          <t>IVFT2024</t>
        </is>
      </c>
      <c r="I689" t="inlineStr">
        <is>
          <t>NSW</t>
        </is>
      </c>
      <c r="J689" t="inlineStr">
        <is>
          <t>Full Time</t>
        </is>
      </c>
      <c r="K689" s="23" t="n">
        <v>45170</v>
      </c>
      <c r="L689" s="23" t="n">
        <v>45170</v>
      </c>
      <c r="O689" t="n">
        <v>38</v>
      </c>
    </row>
    <row r="690">
      <c r="A690" t="inlineStr">
        <is>
          <t>AU22703</t>
        </is>
      </c>
      <c r="B690" s="1" t="n"/>
      <c r="C690" t="inlineStr">
        <is>
          <t>NSW-QLD</t>
        </is>
      </c>
      <c r="D690" t="inlineStr">
        <is>
          <t>Virtus Health</t>
        </is>
      </c>
      <c r="E690" t="inlineStr">
        <is>
          <t>Embryologist/Team Leader</t>
        </is>
      </c>
      <c r="F690" s="1" t="n">
        <v>44986</v>
      </c>
      <c r="H690" t="inlineStr">
        <is>
          <t>QS2024</t>
        </is>
      </c>
      <c r="I690" t="inlineStr">
        <is>
          <t>QLD</t>
        </is>
      </c>
      <c r="J690" t="inlineStr">
        <is>
          <t>Full Time</t>
        </is>
      </c>
      <c r="K690" s="23" t="n">
        <v>44986</v>
      </c>
      <c r="L690" s="23" t="n">
        <v>44986</v>
      </c>
      <c r="O690" t="n">
        <v>24</v>
      </c>
    </row>
    <row r="691">
      <c r="A691" t="inlineStr">
        <is>
          <t>AU22704</t>
        </is>
      </c>
      <c r="B691" s="1" t="n"/>
      <c r="C691" t="inlineStr">
        <is>
          <t>VIC-TAS</t>
        </is>
      </c>
      <c r="D691" t="inlineStr">
        <is>
          <t>Virtus Health</t>
        </is>
      </c>
      <c r="E691" t="inlineStr">
        <is>
          <t>Administration Clerk</t>
        </is>
      </c>
      <c r="F691" s="1" t="n">
        <v>45170</v>
      </c>
      <c r="H691" t="inlineStr">
        <is>
          <t>MIVFS2022</t>
        </is>
      </c>
      <c r="I691" t="inlineStr">
        <is>
          <t>VIC</t>
        </is>
      </c>
      <c r="J691" t="inlineStr">
        <is>
          <t>Casual</t>
        </is>
      </c>
      <c r="K691" s="23" t="n">
        <v>45170</v>
      </c>
      <c r="L691" s="23" t="n">
        <v>45170</v>
      </c>
      <c r="O691" t="n">
        <v>38</v>
      </c>
    </row>
    <row r="692">
      <c r="A692" t="inlineStr">
        <is>
          <t>AU22708</t>
        </is>
      </c>
      <c r="C692" t="inlineStr">
        <is>
          <t>VIC-TAS</t>
        </is>
      </c>
      <c r="D692" t="inlineStr">
        <is>
          <t>Virtus Health</t>
        </is>
      </c>
      <c r="E692" t="inlineStr">
        <is>
          <t>IVF Laboratory Team Leader</t>
        </is>
      </c>
      <c r="F692" t="inlineStr">
        <is>
          <t>1/16/2023</t>
        </is>
      </c>
      <c r="H692" t="inlineStr">
        <is>
          <t>MIVFS2022</t>
        </is>
      </c>
      <c r="I692" t="inlineStr">
        <is>
          <t>VIC</t>
        </is>
      </c>
      <c r="J692" t="inlineStr">
        <is>
          <t>Full Time</t>
        </is>
      </c>
      <c r="K692" s="23" t="inlineStr">
        <is>
          <t>1/16/2023</t>
        </is>
      </c>
      <c r="L692" s="23" t="inlineStr">
        <is>
          <t>1/16/2023</t>
        </is>
      </c>
      <c r="O692" t="n">
        <v>38</v>
      </c>
    </row>
    <row r="693">
      <c r="A693" t="inlineStr">
        <is>
          <t>AU22709</t>
        </is>
      </c>
      <c r="C693" t="inlineStr">
        <is>
          <t>VIC-TAS</t>
        </is>
      </c>
      <c r="D693" t="inlineStr">
        <is>
          <t>Virtus Health</t>
        </is>
      </c>
      <c r="E693" t="inlineStr">
        <is>
          <t>Registered Nurse</t>
        </is>
      </c>
      <c r="F693" t="inlineStr">
        <is>
          <t>1/23/2023</t>
        </is>
      </c>
      <c r="H693" t="inlineStr">
        <is>
          <t>MIVFN2023</t>
        </is>
      </c>
      <c r="I693" t="inlineStr">
        <is>
          <t>VIC</t>
        </is>
      </c>
      <c r="J693" t="inlineStr">
        <is>
          <t>Full Time</t>
        </is>
      </c>
      <c r="K693" s="23" t="inlineStr">
        <is>
          <t>1/23/2023</t>
        </is>
      </c>
      <c r="L693" s="23" t="inlineStr">
        <is>
          <t>1/23/2023</t>
        </is>
      </c>
      <c r="O693" t="n">
        <v>38</v>
      </c>
    </row>
    <row r="694">
      <c r="A694" t="inlineStr">
        <is>
          <t>AU22710</t>
        </is>
      </c>
      <c r="B694" s="1" t="n"/>
      <c r="C694" t="inlineStr">
        <is>
          <t>NSW-QLD</t>
        </is>
      </c>
      <c r="D694" t="inlineStr">
        <is>
          <t>Virtus Health</t>
        </is>
      </c>
      <c r="E694" t="inlineStr">
        <is>
          <t>Nurse Coordinator</t>
        </is>
      </c>
      <c r="F694" t="inlineStr">
        <is>
          <t>2/13/2023</t>
        </is>
      </c>
      <c r="H694" t="inlineStr">
        <is>
          <t>QN2025</t>
        </is>
      </c>
      <c r="I694" t="inlineStr">
        <is>
          <t>QLD</t>
        </is>
      </c>
      <c r="J694" t="inlineStr">
        <is>
          <t>Part Time</t>
        </is>
      </c>
      <c r="K694" s="23" t="inlineStr">
        <is>
          <t>2/13/2023</t>
        </is>
      </c>
      <c r="L694" s="23" t="inlineStr">
        <is>
          <t>2/13/2023</t>
        </is>
      </c>
      <c r="O694" t="n">
        <v>28.5</v>
      </c>
    </row>
    <row r="695">
      <c r="A695" t="inlineStr">
        <is>
          <t>AU22712</t>
        </is>
      </c>
      <c r="C695" t="inlineStr">
        <is>
          <t>VIC-TAS</t>
        </is>
      </c>
      <c r="D695" t="inlineStr">
        <is>
          <t>Virtus Health</t>
        </is>
      </c>
      <c r="E695" t="inlineStr">
        <is>
          <t>Administration Clerk</t>
        </is>
      </c>
      <c r="F695" t="inlineStr">
        <is>
          <t>1/30/2023</t>
        </is>
      </c>
      <c r="H695" t="inlineStr">
        <is>
          <t>MIVFS2022</t>
        </is>
      </c>
      <c r="I695" t="inlineStr">
        <is>
          <t>VIC</t>
        </is>
      </c>
      <c r="J695" t="inlineStr">
        <is>
          <t>Part Time</t>
        </is>
      </c>
      <c r="K695" s="23" t="inlineStr">
        <is>
          <t>1/30/2023</t>
        </is>
      </c>
      <c r="L695" s="23" t="inlineStr">
        <is>
          <t>1/30/2023</t>
        </is>
      </c>
      <c r="O695" t="n">
        <v>30</v>
      </c>
    </row>
    <row r="696">
      <c r="A696" t="inlineStr">
        <is>
          <t>AU22713</t>
        </is>
      </c>
      <c r="C696" t="inlineStr">
        <is>
          <t>NSW-QLD</t>
        </is>
      </c>
      <c r="D696" t="inlineStr">
        <is>
          <t>Virtus Health</t>
        </is>
      </c>
      <c r="E696" t="inlineStr">
        <is>
          <t>Registered Nurse</t>
        </is>
      </c>
      <c r="F696" t="inlineStr">
        <is>
          <t>1/19/2023</t>
        </is>
      </c>
      <c r="H696" t="inlineStr">
        <is>
          <t>IVFN2021</t>
        </is>
      </c>
      <c r="I696" t="inlineStr">
        <is>
          <t>NSW</t>
        </is>
      </c>
      <c r="J696" t="inlineStr">
        <is>
          <t>Casual</t>
        </is>
      </c>
      <c r="K696" s="23" t="inlineStr">
        <is>
          <t>1/19/2023</t>
        </is>
      </c>
      <c r="L696" s="23" t="inlineStr">
        <is>
          <t>1/19/2023</t>
        </is>
      </c>
      <c r="O696" t="n">
        <v>38</v>
      </c>
    </row>
    <row r="697">
      <c r="A697" t="inlineStr">
        <is>
          <t>AU22715</t>
        </is>
      </c>
      <c r="C697" t="inlineStr">
        <is>
          <t>NSW-QLD</t>
        </is>
      </c>
      <c r="D697" t="inlineStr">
        <is>
          <t>Virtus Health</t>
        </is>
      </c>
      <c r="E697" t="inlineStr">
        <is>
          <t>Registered Nurse</t>
        </is>
      </c>
      <c r="F697" t="inlineStr">
        <is>
          <t>1/23/2023</t>
        </is>
      </c>
      <c r="H697" t="inlineStr">
        <is>
          <t>IVFN2021</t>
        </is>
      </c>
      <c r="I697" t="inlineStr">
        <is>
          <t>NSW</t>
        </is>
      </c>
      <c r="J697" t="inlineStr">
        <is>
          <t>Part Time</t>
        </is>
      </c>
      <c r="K697" s="23" t="inlineStr">
        <is>
          <t>1/23/2023</t>
        </is>
      </c>
      <c r="L697" s="23" t="inlineStr">
        <is>
          <t>1/23/2023</t>
        </is>
      </c>
      <c r="O697" t="n">
        <v>24</v>
      </c>
    </row>
    <row r="698">
      <c r="A698" t="inlineStr">
        <is>
          <t>AU22716</t>
        </is>
      </c>
      <c r="C698" t="inlineStr">
        <is>
          <t>VIC-TAS</t>
        </is>
      </c>
      <c r="D698" t="inlineStr">
        <is>
          <t>Virtus Health</t>
        </is>
      </c>
      <c r="E698" t="inlineStr">
        <is>
          <t>Medical Secretary</t>
        </is>
      </c>
      <c r="F698" t="inlineStr">
        <is>
          <t>1/23/2023</t>
        </is>
      </c>
      <c r="H698" t="inlineStr">
        <is>
          <t>VIC</t>
        </is>
      </c>
      <c r="I698" t="inlineStr">
        <is>
          <t>VIC</t>
        </is>
      </c>
      <c r="J698" t="inlineStr">
        <is>
          <t>Full Time</t>
        </is>
      </c>
      <c r="K698" s="23" t="inlineStr">
        <is>
          <t>1/23/2023</t>
        </is>
      </c>
      <c r="L698" s="23" t="inlineStr">
        <is>
          <t>1/23/2023</t>
        </is>
      </c>
      <c r="O698" t="n">
        <v>38</v>
      </c>
    </row>
    <row r="699">
      <c r="A699" t="inlineStr">
        <is>
          <t>AU22718</t>
        </is>
      </c>
      <c r="C699" t="inlineStr">
        <is>
          <t>VIC-TAS</t>
        </is>
      </c>
      <c r="D699" t="inlineStr">
        <is>
          <t>Virtus Health</t>
        </is>
      </c>
      <c r="E699" t="inlineStr">
        <is>
          <t>Registered Midwife</t>
        </is>
      </c>
      <c r="F699" t="inlineStr">
        <is>
          <t>1/30/2023</t>
        </is>
      </c>
      <c r="H699" t="inlineStr">
        <is>
          <t>MIVFN2023</t>
        </is>
      </c>
      <c r="I699" t="inlineStr">
        <is>
          <t>VIC</t>
        </is>
      </c>
      <c r="J699" t="inlineStr">
        <is>
          <t>Part Time</t>
        </is>
      </c>
      <c r="K699" s="23" t="inlineStr">
        <is>
          <t>1/30/2023</t>
        </is>
      </c>
      <c r="L699" s="23" t="inlineStr">
        <is>
          <t>1/30/2023</t>
        </is>
      </c>
      <c r="O699" t="n">
        <v>30.4</v>
      </c>
    </row>
    <row r="700">
      <c r="A700" t="inlineStr">
        <is>
          <t>AU22724</t>
        </is>
      </c>
      <c r="B700" s="1" t="n"/>
      <c r="C700" t="inlineStr">
        <is>
          <t>NSW-QLD</t>
        </is>
      </c>
      <c r="D700" t="inlineStr">
        <is>
          <t>Virtus Health</t>
        </is>
      </c>
      <c r="E700" t="inlineStr">
        <is>
          <t>Administration</t>
        </is>
      </c>
      <c r="F700" s="1" t="n">
        <v>45018</v>
      </c>
      <c r="H700" t="inlineStr">
        <is>
          <t>IVFS2023</t>
        </is>
      </c>
      <c r="I700" t="inlineStr">
        <is>
          <t>QLD</t>
        </is>
      </c>
      <c r="J700" t="inlineStr">
        <is>
          <t>Full Time</t>
        </is>
      </c>
      <c r="K700" s="23" t="n">
        <v>45018</v>
      </c>
      <c r="L700" s="23" t="n">
        <v>45018</v>
      </c>
      <c r="O700" t="n">
        <v>28.5</v>
      </c>
    </row>
    <row r="701">
      <c r="A701" t="inlineStr">
        <is>
          <t>AU22727</t>
        </is>
      </c>
      <c r="B701" s="1" t="n"/>
      <c r="C701" t="inlineStr">
        <is>
          <t>NSW-QLD</t>
        </is>
      </c>
      <c r="D701" t="inlineStr">
        <is>
          <t>Virtus Health</t>
        </is>
      </c>
      <c r="E701" t="inlineStr">
        <is>
          <t>Registered Nurse</t>
        </is>
      </c>
      <c r="F701" s="1" t="n">
        <v>45109</v>
      </c>
      <c r="H701" t="inlineStr">
        <is>
          <t>IVFN2021</t>
        </is>
      </c>
      <c r="I701" t="inlineStr">
        <is>
          <t>NSW</t>
        </is>
      </c>
      <c r="J701" t="inlineStr">
        <is>
          <t>Casual</t>
        </is>
      </c>
      <c r="K701" s="23" t="n">
        <v>45109</v>
      </c>
      <c r="L701" s="23" t="n">
        <v>45109</v>
      </c>
      <c r="O701" t="n">
        <v>38</v>
      </c>
    </row>
    <row r="702">
      <c r="A702" t="inlineStr">
        <is>
          <t>AU22728</t>
        </is>
      </c>
      <c r="B702" s="1" t="n"/>
      <c r="C702" t="inlineStr">
        <is>
          <t>NSW-QLD</t>
        </is>
      </c>
      <c r="D702" t="inlineStr">
        <is>
          <t>Virtus Health</t>
        </is>
      </c>
      <c r="E702" t="inlineStr">
        <is>
          <t>Registered Nurse</t>
        </is>
      </c>
      <c r="F702" s="1" t="n">
        <v>45079</v>
      </c>
      <c r="H702" t="inlineStr">
        <is>
          <t>IVFN2021</t>
        </is>
      </c>
      <c r="I702" t="inlineStr">
        <is>
          <t>NSW</t>
        </is>
      </c>
      <c r="J702" t="inlineStr">
        <is>
          <t>Casual</t>
        </is>
      </c>
      <c r="K702" s="23" t="n">
        <v>45079</v>
      </c>
      <c r="L702" s="23" t="n">
        <v>45079</v>
      </c>
      <c r="O702" t="n">
        <v>38</v>
      </c>
    </row>
    <row r="703">
      <c r="A703" t="inlineStr">
        <is>
          <t>AU22730</t>
        </is>
      </c>
      <c r="C703" t="inlineStr">
        <is>
          <t>NSW-QLD</t>
        </is>
      </c>
      <c r="D703" t="inlineStr">
        <is>
          <t>Virtus Health</t>
        </is>
      </c>
      <c r="E703" t="inlineStr">
        <is>
          <t>Registered Nurse</t>
        </is>
      </c>
      <c r="F703" t="inlineStr">
        <is>
          <t>1/20/2023</t>
        </is>
      </c>
      <c r="H703" t="inlineStr">
        <is>
          <t>IVFN2021</t>
        </is>
      </c>
      <c r="I703" t="inlineStr">
        <is>
          <t>NSW</t>
        </is>
      </c>
      <c r="J703" t="inlineStr">
        <is>
          <t>Casual</t>
        </is>
      </c>
      <c r="K703" s="23" t="inlineStr">
        <is>
          <t>1/20/2023</t>
        </is>
      </c>
      <c r="L703" s="23" t="inlineStr">
        <is>
          <t>1/20/2023</t>
        </is>
      </c>
      <c r="O703" t="n">
        <v>38</v>
      </c>
    </row>
    <row r="704">
      <c r="A704" t="inlineStr">
        <is>
          <t>AU22735</t>
        </is>
      </c>
      <c r="B704" s="1" t="n"/>
      <c r="C704" t="inlineStr">
        <is>
          <t>NSW-QLD</t>
        </is>
      </c>
      <c r="D704" t="inlineStr">
        <is>
          <t>Virtus Health</t>
        </is>
      </c>
      <c r="E704" t="inlineStr">
        <is>
          <t>Registered Nurse</t>
        </is>
      </c>
      <c r="F704" s="1" t="n">
        <v>45079</v>
      </c>
      <c r="H704" t="inlineStr">
        <is>
          <t>QN2025</t>
        </is>
      </c>
      <c r="I704" t="inlineStr">
        <is>
          <t>QLD</t>
        </is>
      </c>
      <c r="J704" t="inlineStr">
        <is>
          <t>Casual</t>
        </is>
      </c>
      <c r="K704" s="23" t="n">
        <v>45079</v>
      </c>
      <c r="L704" s="23" t="n">
        <v>45079</v>
      </c>
      <c r="O704" t="n">
        <v>38</v>
      </c>
    </row>
    <row r="705">
      <c r="A705" t="inlineStr">
        <is>
          <t>AU22741</t>
        </is>
      </c>
      <c r="B705" s="1" t="n"/>
      <c r="C705" t="inlineStr">
        <is>
          <t>NSW-QLD</t>
        </is>
      </c>
      <c r="D705" t="inlineStr">
        <is>
          <t>Virtus Health</t>
        </is>
      </c>
      <c r="E705" t="inlineStr">
        <is>
          <t>Genetic Scientist</t>
        </is>
      </c>
      <c r="F705" s="1" t="n">
        <v>45079</v>
      </c>
      <c r="H705" t="inlineStr">
        <is>
          <t>QS2024</t>
        </is>
      </c>
      <c r="I705" t="inlineStr">
        <is>
          <t>QLD</t>
        </is>
      </c>
      <c r="J705" t="inlineStr">
        <is>
          <t>Full Time</t>
        </is>
      </c>
      <c r="K705" s="23" t="n">
        <v>45079</v>
      </c>
      <c r="L705" s="23" t="n">
        <v>45079</v>
      </c>
      <c r="O705" t="n">
        <v>38</v>
      </c>
    </row>
    <row r="706">
      <c r="A706" t="inlineStr">
        <is>
          <t>AU22743</t>
        </is>
      </c>
      <c r="B706" s="1" t="n"/>
      <c r="C706" t="inlineStr">
        <is>
          <t>NSW-QLD</t>
        </is>
      </c>
      <c r="D706" t="inlineStr">
        <is>
          <t>Virtus Health</t>
        </is>
      </c>
      <c r="E706" t="inlineStr">
        <is>
          <t>Registered Nurse</t>
        </is>
      </c>
      <c r="F706" s="1" t="n">
        <v>45140</v>
      </c>
      <c r="H706" t="inlineStr">
        <is>
          <t>IVFN2021</t>
        </is>
      </c>
      <c r="I706" t="inlineStr">
        <is>
          <t>NSW</t>
        </is>
      </c>
      <c r="J706" t="inlineStr">
        <is>
          <t>Casual</t>
        </is>
      </c>
      <c r="K706" s="23" t="n">
        <v>45140</v>
      </c>
      <c r="L706" s="23" t="n">
        <v>45140</v>
      </c>
      <c r="O706" t="n">
        <v>30.4</v>
      </c>
    </row>
    <row r="707">
      <c r="A707" t="inlineStr">
        <is>
          <t>AU22748</t>
        </is>
      </c>
      <c r="C707" t="inlineStr">
        <is>
          <t>VIC-TAS</t>
        </is>
      </c>
      <c r="D707" t="inlineStr">
        <is>
          <t>Virtus Health</t>
        </is>
      </c>
      <c r="E707" t="inlineStr">
        <is>
          <t>Theatre Technician</t>
        </is>
      </c>
      <c r="F707" t="inlineStr">
        <is>
          <t>8/27/2018</t>
        </is>
      </c>
      <c r="H707" t="inlineStr">
        <is>
          <t>MIVFS2022</t>
        </is>
      </c>
      <c r="I707" t="inlineStr">
        <is>
          <t>VIC</t>
        </is>
      </c>
      <c r="J707" t="inlineStr">
        <is>
          <t>Part Time</t>
        </is>
      </c>
      <c r="K707" s="23" t="inlineStr">
        <is>
          <t>8/27/2018</t>
        </is>
      </c>
      <c r="L707" s="23" t="inlineStr">
        <is>
          <t>8/27/2018</t>
        </is>
      </c>
      <c r="O707" t="n">
        <v>22.8</v>
      </c>
    </row>
    <row r="708">
      <c r="A708" t="inlineStr">
        <is>
          <t>AU22749</t>
        </is>
      </c>
      <c r="C708" t="inlineStr">
        <is>
          <t>NSW-QLD</t>
        </is>
      </c>
      <c r="D708" t="inlineStr">
        <is>
          <t>Virtus Health</t>
        </is>
      </c>
      <c r="E708" t="inlineStr">
        <is>
          <t xml:space="preserve">Business Development Manager </t>
        </is>
      </c>
      <c r="F708" t="inlineStr">
        <is>
          <t>2/14/2023</t>
        </is>
      </c>
      <c r="H708" t="inlineStr">
        <is>
          <t>QLD</t>
        </is>
      </c>
      <c r="I708" t="inlineStr">
        <is>
          <t>QLD</t>
        </is>
      </c>
      <c r="J708" t="inlineStr">
        <is>
          <t>Full Time</t>
        </is>
      </c>
      <c r="K708" s="23" t="inlineStr">
        <is>
          <t>2/14/2023</t>
        </is>
      </c>
      <c r="L708" s="23" t="inlineStr">
        <is>
          <t>2/14/2023</t>
        </is>
      </c>
      <c r="O708" t="n">
        <v>38</v>
      </c>
    </row>
    <row r="709">
      <c r="A709" t="inlineStr">
        <is>
          <t>AU22750</t>
        </is>
      </c>
      <c r="C709" t="inlineStr">
        <is>
          <t>NSW-QLD</t>
        </is>
      </c>
      <c r="D709" t="inlineStr">
        <is>
          <t>Virtus Health</t>
        </is>
      </c>
      <c r="E709" t="inlineStr">
        <is>
          <t>Accounts Payable</t>
        </is>
      </c>
      <c r="F709" t="inlineStr">
        <is>
          <t>2/27/2023</t>
        </is>
      </c>
      <c r="H709" t="inlineStr">
        <is>
          <t>NSW</t>
        </is>
      </c>
      <c r="I709" t="inlineStr">
        <is>
          <t>NSW</t>
        </is>
      </c>
      <c r="J709" t="inlineStr">
        <is>
          <t>Full Time</t>
        </is>
      </c>
      <c r="K709" s="23" t="inlineStr">
        <is>
          <t>2/27/2023</t>
        </is>
      </c>
      <c r="L709" s="23" t="inlineStr">
        <is>
          <t>2/27/2023</t>
        </is>
      </c>
      <c r="O709" t="n">
        <v>38</v>
      </c>
    </row>
    <row r="710">
      <c r="A710" t="inlineStr">
        <is>
          <t>AU22752</t>
        </is>
      </c>
      <c r="B710" s="1" t="n"/>
      <c r="C710" t="inlineStr">
        <is>
          <t>NSW-QLD</t>
        </is>
      </c>
      <c r="D710" t="inlineStr">
        <is>
          <t>Virtus Health</t>
        </is>
      </c>
      <c r="E710" t="inlineStr">
        <is>
          <t>Nures Coordinator</t>
        </is>
      </c>
      <c r="F710" s="1" t="n">
        <v>44050</v>
      </c>
      <c r="H710" t="inlineStr">
        <is>
          <t>QN2025</t>
        </is>
      </c>
      <c r="I710" t="inlineStr">
        <is>
          <t>QLD</t>
        </is>
      </c>
      <c r="J710" t="inlineStr">
        <is>
          <t>Full Time</t>
        </is>
      </c>
      <c r="K710" s="23" t="n">
        <v>44050</v>
      </c>
      <c r="L710" s="23" t="n">
        <v>44050</v>
      </c>
      <c r="O710" t="n">
        <v>23</v>
      </c>
    </row>
    <row r="711">
      <c r="A711" t="inlineStr">
        <is>
          <t>AU22758</t>
        </is>
      </c>
      <c r="C711" t="inlineStr">
        <is>
          <t>NSW-QLD</t>
        </is>
      </c>
      <c r="D711" t="inlineStr">
        <is>
          <t>Virtus Health</t>
        </is>
      </c>
      <c r="E711" t="inlineStr">
        <is>
          <t>National Donor Lead Specialist</t>
        </is>
      </c>
      <c r="F711" s="1" t="n">
        <v>44929</v>
      </c>
      <c r="H711" t="inlineStr">
        <is>
          <t>SA</t>
        </is>
      </c>
      <c r="I711" t="inlineStr">
        <is>
          <t>SA</t>
        </is>
      </c>
      <c r="J711" t="inlineStr">
        <is>
          <t>Full Time</t>
        </is>
      </c>
      <c r="K711" s="23" t="n">
        <v>44929</v>
      </c>
      <c r="L711" s="23" t="n">
        <v>44929</v>
      </c>
      <c r="O711" t="n">
        <v>38</v>
      </c>
    </row>
    <row r="712">
      <c r="A712" t="inlineStr">
        <is>
          <t>AU22764</t>
        </is>
      </c>
      <c r="C712" t="inlineStr">
        <is>
          <t>NSW-QLD</t>
        </is>
      </c>
      <c r="D712" t="inlineStr">
        <is>
          <t>Virtus Health</t>
        </is>
      </c>
      <c r="E712" t="inlineStr">
        <is>
          <t>Non-accredited CREI Trainee</t>
        </is>
      </c>
      <c r="F712" s="1" t="n">
        <v>44928</v>
      </c>
      <c r="H712" t="inlineStr">
        <is>
          <t>NSW</t>
        </is>
      </c>
      <c r="I712" t="inlineStr">
        <is>
          <t>NSW</t>
        </is>
      </c>
      <c r="J712" t="inlineStr">
        <is>
          <t>Full Time</t>
        </is>
      </c>
      <c r="K712" s="23" t="n">
        <v>44928</v>
      </c>
      <c r="L712" s="23" t="n">
        <v>44928</v>
      </c>
      <c r="O712" t="n">
        <v>38</v>
      </c>
    </row>
    <row r="713">
      <c r="A713" t="inlineStr">
        <is>
          <t>AU22766</t>
        </is>
      </c>
      <c r="C713" t="inlineStr">
        <is>
          <t>VIC-TAS</t>
        </is>
      </c>
      <c r="D713" t="inlineStr">
        <is>
          <t>Virtus Health</t>
        </is>
      </c>
      <c r="E713" t="inlineStr">
        <is>
          <t>Associate Nurse Unit Manager</t>
        </is>
      </c>
      <c r="F713" t="inlineStr">
        <is>
          <t>2/20/2023</t>
        </is>
      </c>
      <c r="H713" t="inlineStr">
        <is>
          <t>MIVFN2023</t>
        </is>
      </c>
      <c r="I713" t="inlineStr">
        <is>
          <t>VIC</t>
        </is>
      </c>
      <c r="J713" t="inlineStr">
        <is>
          <t>Part Time</t>
        </is>
      </c>
      <c r="K713" s="23" t="inlineStr">
        <is>
          <t>2/20/2023</t>
        </is>
      </c>
      <c r="L713" s="23" t="inlineStr">
        <is>
          <t>2/20/2023</t>
        </is>
      </c>
      <c r="O713" t="n">
        <v>26.6</v>
      </c>
    </row>
    <row r="714">
      <c r="A714" t="inlineStr">
        <is>
          <t>AU22767</t>
        </is>
      </c>
      <c r="C714" t="inlineStr">
        <is>
          <t>VIC-TAS</t>
        </is>
      </c>
      <c r="D714" t="inlineStr">
        <is>
          <t>Virtus Health</t>
        </is>
      </c>
      <c r="E714" t="inlineStr">
        <is>
          <t>Associate Nurse Unit Manager</t>
        </is>
      </c>
      <c r="F714" t="inlineStr">
        <is>
          <t>2/20/2023</t>
        </is>
      </c>
      <c r="H714" t="inlineStr">
        <is>
          <t>MIVFN2023</t>
        </is>
      </c>
      <c r="I714" t="inlineStr">
        <is>
          <t>VIC</t>
        </is>
      </c>
      <c r="J714" t="inlineStr">
        <is>
          <t>Full Time</t>
        </is>
      </c>
      <c r="K714" s="23" t="inlineStr">
        <is>
          <t>2/20/2023</t>
        </is>
      </c>
      <c r="L714" s="23" t="inlineStr">
        <is>
          <t>2/20/2023</t>
        </is>
      </c>
      <c r="O714" t="n">
        <v>38</v>
      </c>
    </row>
    <row r="715">
      <c r="A715" t="inlineStr">
        <is>
          <t>AU22768</t>
        </is>
      </c>
      <c r="C715" t="inlineStr">
        <is>
          <t>NSW-QLD</t>
        </is>
      </c>
      <c r="D715" t="inlineStr">
        <is>
          <t>Virtus Health</t>
        </is>
      </c>
      <c r="E715" t="inlineStr">
        <is>
          <t>Genetic Scientist</t>
        </is>
      </c>
      <c r="F715" t="inlineStr">
        <is>
          <t>2/27/2023</t>
        </is>
      </c>
      <c r="H715" t="inlineStr">
        <is>
          <t>QS2024</t>
        </is>
      </c>
      <c r="I715" t="inlineStr">
        <is>
          <t>QLD</t>
        </is>
      </c>
      <c r="J715" t="inlineStr">
        <is>
          <t>Full Time</t>
        </is>
      </c>
      <c r="K715" s="23" t="inlineStr">
        <is>
          <t>2/27/2023</t>
        </is>
      </c>
      <c r="L715" s="23" t="inlineStr">
        <is>
          <t>2/27/2023</t>
        </is>
      </c>
      <c r="O715" t="n">
        <v>38</v>
      </c>
    </row>
    <row r="716">
      <c r="A716" t="inlineStr">
        <is>
          <t>AU22769</t>
        </is>
      </c>
      <c r="C716" t="inlineStr">
        <is>
          <t>VIC-TAS</t>
        </is>
      </c>
      <c r="D716" t="inlineStr">
        <is>
          <t>Virtus Health</t>
        </is>
      </c>
      <c r="E716" t="inlineStr">
        <is>
          <t>Registered Nurse</t>
        </is>
      </c>
      <c r="F716" t="inlineStr">
        <is>
          <t>2/20/2023</t>
        </is>
      </c>
      <c r="H716" t="inlineStr">
        <is>
          <t>MIVFN2023</t>
        </is>
      </c>
      <c r="I716" t="inlineStr">
        <is>
          <t>VIC</t>
        </is>
      </c>
      <c r="J716" t="inlineStr">
        <is>
          <t>Part Time</t>
        </is>
      </c>
      <c r="K716" s="23" t="inlineStr">
        <is>
          <t>2/20/2023</t>
        </is>
      </c>
      <c r="L716" s="23" t="inlineStr">
        <is>
          <t>2/20/2023</t>
        </is>
      </c>
      <c r="O716" t="n">
        <v>32</v>
      </c>
    </row>
    <row r="717">
      <c r="A717" t="inlineStr">
        <is>
          <t>AU22772</t>
        </is>
      </c>
      <c r="B717" s="1" t="n"/>
      <c r="C717" t="inlineStr">
        <is>
          <t>VIC-TAS</t>
        </is>
      </c>
      <c r="D717" t="inlineStr">
        <is>
          <t>Virtus Health</t>
        </is>
      </c>
      <c r="E717" t="inlineStr">
        <is>
          <t>Clinical Research Scientist</t>
        </is>
      </c>
      <c r="F717" s="1" t="n">
        <v>45080</v>
      </c>
      <c r="H717" t="inlineStr">
        <is>
          <t>MIVFS2022</t>
        </is>
      </c>
      <c r="I717" t="inlineStr">
        <is>
          <t>VIC</t>
        </is>
      </c>
      <c r="J717" t="inlineStr">
        <is>
          <t>Full Time</t>
        </is>
      </c>
      <c r="K717" s="23" t="n">
        <v>45080</v>
      </c>
      <c r="L717" s="23" t="n">
        <v>45080</v>
      </c>
      <c r="O717" t="n">
        <v>38</v>
      </c>
    </row>
    <row r="718">
      <c r="A718" t="inlineStr">
        <is>
          <t>AU22776</t>
        </is>
      </c>
      <c r="B718" s="1" t="n"/>
      <c r="C718" t="inlineStr">
        <is>
          <t>NSW-QLD</t>
        </is>
      </c>
      <c r="D718" t="inlineStr">
        <is>
          <t>Virtus Health</t>
        </is>
      </c>
      <c r="E718" t="inlineStr">
        <is>
          <t>Clinical Nurse Specialist</t>
        </is>
      </c>
      <c r="F718" s="1" t="n">
        <v>45141</v>
      </c>
      <c r="H718" t="inlineStr">
        <is>
          <t>QN2025</t>
        </is>
      </c>
      <c r="I718" t="inlineStr">
        <is>
          <t>QLD</t>
        </is>
      </c>
      <c r="J718" t="inlineStr">
        <is>
          <t>Part Time</t>
        </is>
      </c>
      <c r="K718" s="23" t="n">
        <v>45141</v>
      </c>
      <c r="L718" s="23" t="n">
        <v>45141</v>
      </c>
      <c r="O718" t="n">
        <v>38</v>
      </c>
    </row>
    <row r="719">
      <c r="A719" t="inlineStr">
        <is>
          <t>AU22777</t>
        </is>
      </c>
      <c r="B719" s="1" t="n"/>
      <c r="C719" t="inlineStr">
        <is>
          <t>NSW-QLD</t>
        </is>
      </c>
      <c r="D719" t="inlineStr">
        <is>
          <t>Virtus Health</t>
        </is>
      </c>
      <c r="E719" t="inlineStr">
        <is>
          <t>Nures Coordinator</t>
        </is>
      </c>
      <c r="F719" t="inlineStr">
        <is>
          <t>3/13/2023</t>
        </is>
      </c>
      <c r="H719" t="inlineStr">
        <is>
          <t>IVFN2021</t>
        </is>
      </c>
      <c r="I719" t="inlineStr">
        <is>
          <t>NSW</t>
        </is>
      </c>
      <c r="J719" t="inlineStr">
        <is>
          <t>Full Time</t>
        </is>
      </c>
      <c r="K719" s="23" t="inlineStr">
        <is>
          <t>3/13/2023</t>
        </is>
      </c>
      <c r="L719" s="23" t="inlineStr">
        <is>
          <t>3/13/2023</t>
        </is>
      </c>
      <c r="O719" t="n">
        <v>38</v>
      </c>
    </row>
    <row r="720">
      <c r="A720" t="inlineStr">
        <is>
          <t>AU22783</t>
        </is>
      </c>
      <c r="B720" s="1" t="n"/>
      <c r="C720" t="inlineStr">
        <is>
          <t>NSW-QLD</t>
        </is>
      </c>
      <c r="D720" t="inlineStr">
        <is>
          <t>Virtus Health</t>
        </is>
      </c>
      <c r="E720" t="inlineStr">
        <is>
          <t>Administration</t>
        </is>
      </c>
      <c r="F720" s="1" t="n">
        <v>45172</v>
      </c>
      <c r="H720" t="inlineStr">
        <is>
          <t>IVFS2023</t>
        </is>
      </c>
      <c r="I720" t="inlineStr">
        <is>
          <t>NSW</t>
        </is>
      </c>
      <c r="J720" t="inlineStr">
        <is>
          <t>Part Time</t>
        </is>
      </c>
      <c r="K720" s="23" t="n">
        <v>45172</v>
      </c>
      <c r="L720" s="23" t="n">
        <v>45172</v>
      </c>
      <c r="O720" t="n">
        <v>30.4</v>
      </c>
    </row>
    <row r="721">
      <c r="A721" t="inlineStr">
        <is>
          <t>AU22788</t>
        </is>
      </c>
      <c r="C721" t="inlineStr">
        <is>
          <t>NSW-QLD</t>
        </is>
      </c>
      <c r="D721" t="inlineStr">
        <is>
          <t>Virtus Health</t>
        </is>
      </c>
      <c r="E721" t="inlineStr">
        <is>
          <t>Genetic Scientist</t>
        </is>
      </c>
      <c r="F721" t="inlineStr">
        <is>
          <t>3/20/2023</t>
        </is>
      </c>
      <c r="H721" t="inlineStr">
        <is>
          <t>QS2024</t>
        </is>
      </c>
      <c r="I721" t="inlineStr">
        <is>
          <t>QLD</t>
        </is>
      </c>
      <c r="J721" t="inlineStr">
        <is>
          <t>Part Time</t>
        </is>
      </c>
      <c r="K721" s="23" t="inlineStr">
        <is>
          <t>3/20/2023</t>
        </is>
      </c>
      <c r="L721" s="23" t="inlineStr">
        <is>
          <t>3/20/2023</t>
        </is>
      </c>
      <c r="O721" t="n">
        <v>38</v>
      </c>
    </row>
    <row r="722">
      <c r="A722" t="inlineStr">
        <is>
          <t>AU22789</t>
        </is>
      </c>
      <c r="B722" s="1" t="n"/>
      <c r="C722" t="inlineStr">
        <is>
          <t>VIC-TAS</t>
        </is>
      </c>
      <c r="D722" t="inlineStr">
        <is>
          <t>Virtus Health</t>
        </is>
      </c>
      <c r="E722" t="inlineStr">
        <is>
          <t>Genetic Counsellor</t>
        </is>
      </c>
      <c r="F722" t="inlineStr">
        <is>
          <t>3/13/2023</t>
        </is>
      </c>
      <c r="H722" t="inlineStr">
        <is>
          <t>MIVFC2021</t>
        </is>
      </c>
      <c r="I722" t="inlineStr">
        <is>
          <t>VIC</t>
        </is>
      </c>
      <c r="J722" t="inlineStr">
        <is>
          <t>Part Time</t>
        </is>
      </c>
      <c r="K722" s="23" t="inlineStr">
        <is>
          <t>3/13/2023</t>
        </is>
      </c>
      <c r="L722" s="23" t="inlineStr">
        <is>
          <t>3/13/2023</t>
        </is>
      </c>
      <c r="O722" t="n">
        <v>22.8</v>
      </c>
    </row>
    <row r="723">
      <c r="A723" t="inlineStr">
        <is>
          <t>AU22791</t>
        </is>
      </c>
      <c r="C723" t="inlineStr">
        <is>
          <t>NSW-QLD</t>
        </is>
      </c>
      <c r="D723" t="inlineStr">
        <is>
          <t>Virtus Health</t>
        </is>
      </c>
      <c r="E723" t="inlineStr">
        <is>
          <t>Nures Coordinator</t>
        </is>
      </c>
      <c r="F723" t="inlineStr">
        <is>
          <t>3/20/2023</t>
        </is>
      </c>
      <c r="H723" t="inlineStr">
        <is>
          <t>QN2025</t>
        </is>
      </c>
      <c r="I723" t="inlineStr">
        <is>
          <t>QLD</t>
        </is>
      </c>
      <c r="J723" t="inlineStr">
        <is>
          <t>Part Time</t>
        </is>
      </c>
      <c r="K723" s="23" t="inlineStr">
        <is>
          <t>3/20/2023</t>
        </is>
      </c>
      <c r="L723" s="23" t="inlineStr">
        <is>
          <t>3/20/2023</t>
        </is>
      </c>
      <c r="O723" t="n">
        <v>38</v>
      </c>
    </row>
    <row r="724">
      <c r="A724" t="inlineStr">
        <is>
          <t>AU22796</t>
        </is>
      </c>
      <c r="C724" t="inlineStr">
        <is>
          <t>NSW-QLD</t>
        </is>
      </c>
      <c r="D724" t="inlineStr">
        <is>
          <t>Virtus Health</t>
        </is>
      </c>
      <c r="E724" t="inlineStr">
        <is>
          <t>Administration Clerk</t>
        </is>
      </c>
      <c r="F724" t="inlineStr">
        <is>
          <t>3/21/2023</t>
        </is>
      </c>
      <c r="H724" t="inlineStr">
        <is>
          <t>IVFS2023</t>
        </is>
      </c>
      <c r="I724" t="inlineStr">
        <is>
          <t>NSW</t>
        </is>
      </c>
      <c r="J724" t="inlineStr">
        <is>
          <t>Casual</t>
        </is>
      </c>
      <c r="K724" s="23" t="inlineStr">
        <is>
          <t>3/21/2023</t>
        </is>
      </c>
      <c r="L724" s="23" t="inlineStr">
        <is>
          <t>3/21/2023</t>
        </is>
      </c>
      <c r="O724" t="n">
        <v>38</v>
      </c>
    </row>
    <row r="725">
      <c r="A725" t="inlineStr">
        <is>
          <t>AU22797</t>
        </is>
      </c>
      <c r="C725" t="inlineStr">
        <is>
          <t>NSW-QLD</t>
        </is>
      </c>
      <c r="D725" t="inlineStr">
        <is>
          <t>Virtus Health</t>
        </is>
      </c>
      <c r="E725" t="inlineStr">
        <is>
          <t>New Patient Care Consultant</t>
        </is>
      </c>
      <c r="F725" t="inlineStr">
        <is>
          <t>3/23/2023</t>
        </is>
      </c>
      <c r="H725" t="inlineStr">
        <is>
          <t>IVFS2023</t>
        </is>
      </c>
      <c r="I725" t="inlineStr">
        <is>
          <t>NSW</t>
        </is>
      </c>
      <c r="J725" t="inlineStr">
        <is>
          <t>Part Time</t>
        </is>
      </c>
      <c r="K725" s="23" t="inlineStr">
        <is>
          <t>3/23/2023</t>
        </is>
      </c>
      <c r="L725" s="23" t="inlineStr">
        <is>
          <t>3/23/2023</t>
        </is>
      </c>
      <c r="O725" t="n">
        <v>38</v>
      </c>
    </row>
    <row r="726">
      <c r="A726" t="inlineStr">
        <is>
          <t>AU22799</t>
        </is>
      </c>
      <c r="C726" t="inlineStr">
        <is>
          <t>NSW-QLD</t>
        </is>
      </c>
      <c r="D726" t="inlineStr">
        <is>
          <t>Virtus Health</t>
        </is>
      </c>
      <c r="E726" t="inlineStr">
        <is>
          <t>Genetic Scientist</t>
        </is>
      </c>
      <c r="F726" t="inlineStr">
        <is>
          <t>3/20/2023</t>
        </is>
      </c>
      <c r="H726" t="inlineStr">
        <is>
          <t>QS2024</t>
        </is>
      </c>
      <c r="I726" t="inlineStr">
        <is>
          <t>QLD</t>
        </is>
      </c>
      <c r="J726" t="inlineStr">
        <is>
          <t>Full Time</t>
        </is>
      </c>
      <c r="K726" s="23" t="inlineStr">
        <is>
          <t>3/20/2023</t>
        </is>
      </c>
      <c r="L726" s="23" t="inlineStr">
        <is>
          <t>3/20/2023</t>
        </is>
      </c>
      <c r="O726" t="n">
        <v>32</v>
      </c>
    </row>
    <row r="727">
      <c r="A727" t="inlineStr">
        <is>
          <t>AU22801</t>
        </is>
      </c>
      <c r="C727" t="inlineStr">
        <is>
          <t>NSW-QLD</t>
        </is>
      </c>
      <c r="D727" t="inlineStr">
        <is>
          <t>Virtus Health</t>
        </is>
      </c>
      <c r="E727" t="inlineStr">
        <is>
          <t>Embryologist</t>
        </is>
      </c>
      <c r="F727" t="inlineStr">
        <is>
          <t>3/27/2023</t>
        </is>
      </c>
      <c r="H727" t="inlineStr">
        <is>
          <t>QS2024</t>
        </is>
      </c>
      <c r="I727" t="inlineStr">
        <is>
          <t>QLD</t>
        </is>
      </c>
      <c r="J727" t="inlineStr">
        <is>
          <t>Part Time</t>
        </is>
      </c>
      <c r="K727" s="23" t="inlineStr">
        <is>
          <t>3/27/2023</t>
        </is>
      </c>
      <c r="L727" s="23" t="inlineStr">
        <is>
          <t>3/27/2023</t>
        </is>
      </c>
      <c r="O727" t="n">
        <v>38</v>
      </c>
    </row>
    <row r="728">
      <c r="A728" t="inlineStr">
        <is>
          <t>AU22803</t>
        </is>
      </c>
      <c r="C728" t="inlineStr">
        <is>
          <t>NSW-QLD</t>
        </is>
      </c>
      <c r="D728" t="inlineStr">
        <is>
          <t>Virtus Health</t>
        </is>
      </c>
      <c r="E728" t="inlineStr">
        <is>
          <t>Medical Receptionist</t>
        </is>
      </c>
      <c r="F728" t="inlineStr">
        <is>
          <t>3/27/2023</t>
        </is>
      </c>
      <c r="H728" t="inlineStr">
        <is>
          <t>IVFS2023</t>
        </is>
      </c>
      <c r="I728" t="inlineStr">
        <is>
          <t>QLD</t>
        </is>
      </c>
      <c r="J728" t="inlineStr">
        <is>
          <t>Part Time</t>
        </is>
      </c>
      <c r="K728" s="23" t="inlineStr">
        <is>
          <t>3/27/2023</t>
        </is>
      </c>
      <c r="L728" s="23" t="inlineStr">
        <is>
          <t>3/27/2023</t>
        </is>
      </c>
      <c r="O728" t="n">
        <v>38</v>
      </c>
    </row>
    <row r="729">
      <c r="A729" t="inlineStr">
        <is>
          <t>AU22804</t>
        </is>
      </c>
      <c r="B729" s="1" t="n"/>
      <c r="C729" t="inlineStr">
        <is>
          <t>VIC-TAS</t>
        </is>
      </c>
      <c r="D729" t="inlineStr">
        <is>
          <t>Virtus Health</t>
        </is>
      </c>
      <c r="E729" t="inlineStr">
        <is>
          <t>Receptionist</t>
        </is>
      </c>
      <c r="F729" s="1" t="n">
        <v>45234</v>
      </c>
      <c r="H729" t="inlineStr">
        <is>
          <t>MIVFS2022</t>
        </is>
      </c>
      <c r="I729" t="inlineStr">
        <is>
          <t>VIC</t>
        </is>
      </c>
      <c r="J729" t="inlineStr">
        <is>
          <t>Full Time</t>
        </is>
      </c>
      <c r="K729" s="23" t="n">
        <v>45234</v>
      </c>
      <c r="L729" s="23" t="n">
        <v>45234</v>
      </c>
      <c r="O729" t="n">
        <v>38</v>
      </c>
    </row>
    <row r="730">
      <c r="A730" t="inlineStr">
        <is>
          <t>AU22806</t>
        </is>
      </c>
      <c r="C730" t="inlineStr">
        <is>
          <t>VIC-TAS</t>
        </is>
      </c>
      <c r="D730" t="inlineStr">
        <is>
          <t>Virtus Health</t>
        </is>
      </c>
      <c r="E730" t="inlineStr">
        <is>
          <t>Registered Nurse</t>
        </is>
      </c>
      <c r="F730" t="inlineStr">
        <is>
          <t>3/27/2023</t>
        </is>
      </c>
      <c r="H730" t="inlineStr">
        <is>
          <t>MIVFN2023</t>
        </is>
      </c>
      <c r="I730" t="inlineStr">
        <is>
          <t>VIC</t>
        </is>
      </c>
      <c r="J730" t="inlineStr">
        <is>
          <t>Part Time</t>
        </is>
      </c>
      <c r="K730" s="23" t="inlineStr">
        <is>
          <t>3/27/2023</t>
        </is>
      </c>
      <c r="L730" s="23" t="inlineStr">
        <is>
          <t>3/27/2023</t>
        </is>
      </c>
      <c r="O730" t="n">
        <v>22.5</v>
      </c>
    </row>
    <row r="731">
      <c r="A731" t="inlineStr">
        <is>
          <t>AU22807</t>
        </is>
      </c>
      <c r="C731" t="inlineStr">
        <is>
          <t>NSW-QLD</t>
        </is>
      </c>
      <c r="D731" t="inlineStr">
        <is>
          <t>Virtus Health</t>
        </is>
      </c>
      <c r="E731" t="inlineStr">
        <is>
          <t xml:space="preserve">Medical Director </t>
        </is>
      </c>
      <c r="F731" s="1" t="n">
        <v>44929</v>
      </c>
      <c r="H731" t="inlineStr">
        <is>
          <t>NSW</t>
        </is>
      </c>
      <c r="I731" t="inlineStr">
        <is>
          <t>NSW</t>
        </is>
      </c>
      <c r="J731" t="inlineStr">
        <is>
          <t>Part Time</t>
        </is>
      </c>
      <c r="K731" s="23" t="n">
        <v>44929</v>
      </c>
      <c r="L731" s="23" t="n">
        <v>44929</v>
      </c>
      <c r="O731" t="n">
        <v>38</v>
      </c>
    </row>
    <row r="732">
      <c r="A732" t="inlineStr">
        <is>
          <t>AU22812</t>
        </is>
      </c>
      <c r="C732" t="inlineStr">
        <is>
          <t>NSW-QLD</t>
        </is>
      </c>
      <c r="D732" t="inlineStr">
        <is>
          <t>Virtus Health</t>
        </is>
      </c>
      <c r="E732" t="inlineStr">
        <is>
          <t>Medical Secretary</t>
        </is>
      </c>
      <c r="F732" t="inlineStr">
        <is>
          <t>3/30/2023</t>
        </is>
      </c>
      <c r="H732" t="inlineStr">
        <is>
          <t>IVFS2023</t>
        </is>
      </c>
      <c r="I732" t="inlineStr">
        <is>
          <t>NSW</t>
        </is>
      </c>
      <c r="J732" t="inlineStr">
        <is>
          <t>Full Time</t>
        </is>
      </c>
      <c r="K732" s="23" t="inlineStr">
        <is>
          <t>3/30/2023</t>
        </is>
      </c>
      <c r="L732" s="23" t="inlineStr">
        <is>
          <t>3/30/2023</t>
        </is>
      </c>
      <c r="O732" t="n">
        <v>38</v>
      </c>
    </row>
    <row r="733">
      <c r="A733" t="inlineStr">
        <is>
          <t>AU22814</t>
        </is>
      </c>
      <c r="B733" s="1" t="n"/>
      <c r="C733" t="inlineStr">
        <is>
          <t>NSW-QLD</t>
        </is>
      </c>
      <c r="D733" t="inlineStr">
        <is>
          <t>Virtus Health</t>
        </is>
      </c>
      <c r="E733" t="inlineStr">
        <is>
          <t>Associate Nurse Unit Manager</t>
        </is>
      </c>
      <c r="F733" s="1" t="n">
        <v>44989</v>
      </c>
      <c r="H733" t="inlineStr">
        <is>
          <t>QN2025</t>
        </is>
      </c>
      <c r="I733" t="inlineStr">
        <is>
          <t>QLD</t>
        </is>
      </c>
      <c r="J733" t="inlineStr">
        <is>
          <t>Full Time</t>
        </is>
      </c>
      <c r="K733" s="23" t="n">
        <v>44989</v>
      </c>
      <c r="L733" s="23" t="n">
        <v>44989</v>
      </c>
      <c r="O733" t="n">
        <v>32</v>
      </c>
    </row>
    <row r="734">
      <c r="A734" t="inlineStr">
        <is>
          <t>AU22815</t>
        </is>
      </c>
      <c r="B734" s="1" t="n"/>
      <c r="C734" t="inlineStr">
        <is>
          <t>NSW-QLD</t>
        </is>
      </c>
      <c r="D734" t="inlineStr">
        <is>
          <t>Virtus Health</t>
        </is>
      </c>
      <c r="E734" t="inlineStr">
        <is>
          <t>Registered Nurse</t>
        </is>
      </c>
      <c r="F734" s="1" t="n">
        <v>45203</v>
      </c>
      <c r="H734" t="inlineStr">
        <is>
          <t>QN2025</t>
        </is>
      </c>
      <c r="I734" t="inlineStr">
        <is>
          <t>QLD</t>
        </is>
      </c>
      <c r="J734" t="inlineStr">
        <is>
          <t>Casual</t>
        </is>
      </c>
      <c r="K734" s="23" t="n">
        <v>45203</v>
      </c>
      <c r="L734" s="23" t="n">
        <v>45203</v>
      </c>
      <c r="O734" t="n">
        <v>28.5</v>
      </c>
    </row>
    <row r="735">
      <c r="A735" t="inlineStr">
        <is>
          <t>AU22817</t>
        </is>
      </c>
      <c r="C735" t="inlineStr">
        <is>
          <t>NSW-QLD</t>
        </is>
      </c>
      <c r="D735" t="inlineStr">
        <is>
          <t>Virtus Health</t>
        </is>
      </c>
      <c r="E735" t="inlineStr">
        <is>
          <t>Head of Department - Cytogenetics</t>
        </is>
      </c>
      <c r="F735" t="inlineStr">
        <is>
          <t>4/17/2023</t>
        </is>
      </c>
      <c r="H735" t="inlineStr">
        <is>
          <t>QLD</t>
        </is>
      </c>
      <c r="I735" t="inlineStr">
        <is>
          <t>QLD</t>
        </is>
      </c>
      <c r="J735" t="inlineStr">
        <is>
          <t>Full Time</t>
        </is>
      </c>
      <c r="K735" s="23" t="inlineStr">
        <is>
          <t>4/17/2023</t>
        </is>
      </c>
      <c r="L735" s="23" t="inlineStr">
        <is>
          <t>4/17/2023</t>
        </is>
      </c>
      <c r="O735" t="n">
        <v>38</v>
      </c>
    </row>
    <row r="736">
      <c r="A736" t="inlineStr">
        <is>
          <t>AU22821</t>
        </is>
      </c>
      <c r="C736" t="inlineStr">
        <is>
          <t>NSW-QLD</t>
        </is>
      </c>
      <c r="D736" t="inlineStr">
        <is>
          <t>Virtus Health</t>
        </is>
      </c>
      <c r="E736" t="inlineStr">
        <is>
          <t>Workforce Scheduling Business Analyst</t>
        </is>
      </c>
      <c r="F736" t="inlineStr">
        <is>
          <t>4/26/2023</t>
        </is>
      </c>
      <c r="H736" t="inlineStr">
        <is>
          <t>QLD</t>
        </is>
      </c>
      <c r="I736" t="inlineStr">
        <is>
          <t>QLD</t>
        </is>
      </c>
      <c r="J736" t="inlineStr">
        <is>
          <t>Full Time</t>
        </is>
      </c>
      <c r="K736" s="23" t="inlineStr">
        <is>
          <t>4/26/2023</t>
        </is>
      </c>
      <c r="L736" s="23" t="inlineStr">
        <is>
          <t>4/26/2023</t>
        </is>
      </c>
      <c r="O736" t="n">
        <v>38</v>
      </c>
    </row>
    <row r="737">
      <c r="A737" t="inlineStr">
        <is>
          <t>AU22824</t>
        </is>
      </c>
      <c r="C737" t="inlineStr">
        <is>
          <t>VIC-TAS</t>
        </is>
      </c>
      <c r="D737" t="inlineStr">
        <is>
          <t>Virtus Health</t>
        </is>
      </c>
      <c r="E737" t="inlineStr">
        <is>
          <t>Registered Nurse</t>
        </is>
      </c>
      <c r="F737" t="inlineStr">
        <is>
          <t>12/14/2022</t>
        </is>
      </c>
      <c r="H737" t="inlineStr">
        <is>
          <t>MIVFN2023</t>
        </is>
      </c>
      <c r="I737" t="inlineStr">
        <is>
          <t>VIC</t>
        </is>
      </c>
      <c r="J737" t="inlineStr">
        <is>
          <t>Part Time</t>
        </is>
      </c>
      <c r="K737" s="23" t="inlineStr">
        <is>
          <t>12/14/2022</t>
        </is>
      </c>
      <c r="L737" s="23" t="inlineStr">
        <is>
          <t>12/14/2022</t>
        </is>
      </c>
      <c r="O737" t="n">
        <v>15.2</v>
      </c>
    </row>
    <row r="738">
      <c r="A738" t="inlineStr">
        <is>
          <t>AU22825</t>
        </is>
      </c>
      <c r="C738" t="inlineStr">
        <is>
          <t>NSW-QLD</t>
        </is>
      </c>
      <c r="D738" t="inlineStr">
        <is>
          <t>Virtus Health</t>
        </is>
      </c>
      <c r="E738" t="inlineStr">
        <is>
          <t>Assistant in Nursing</t>
        </is>
      </c>
      <c r="F738" t="inlineStr">
        <is>
          <t>1/18/2022</t>
        </is>
      </c>
      <c r="H738" t="inlineStr">
        <is>
          <t>IVFN2021</t>
        </is>
      </c>
      <c r="I738" t="inlineStr">
        <is>
          <t>NSW</t>
        </is>
      </c>
      <c r="J738" t="inlineStr">
        <is>
          <t>Full Time</t>
        </is>
      </c>
      <c r="K738" s="23" t="inlineStr">
        <is>
          <t>1/18/2022</t>
        </is>
      </c>
      <c r="L738" s="23" t="inlineStr">
        <is>
          <t>1/18/2022</t>
        </is>
      </c>
      <c r="O738" t="n">
        <v>22.8</v>
      </c>
    </row>
    <row r="739">
      <c r="A739" t="inlineStr">
        <is>
          <t>AU22826</t>
        </is>
      </c>
      <c r="B739" s="1" t="n"/>
      <c r="C739" t="inlineStr">
        <is>
          <t>VIC-TAS</t>
        </is>
      </c>
      <c r="D739" t="inlineStr">
        <is>
          <t>Virtus Health</t>
        </is>
      </c>
      <c r="E739" t="inlineStr">
        <is>
          <t>Administration</t>
        </is>
      </c>
      <c r="F739" s="1" t="n">
        <v>45264</v>
      </c>
      <c r="H739" t="inlineStr">
        <is>
          <t>MIVFS2022</t>
        </is>
      </c>
      <c r="I739" t="inlineStr">
        <is>
          <t>VIC</t>
        </is>
      </c>
      <c r="J739" t="inlineStr">
        <is>
          <t>Part Time</t>
        </is>
      </c>
      <c r="K739" s="23" t="n">
        <v>45264</v>
      </c>
      <c r="L739" s="23" t="n">
        <v>45264</v>
      </c>
      <c r="O739" t="n">
        <v>21</v>
      </c>
    </row>
    <row r="740">
      <c r="A740" t="inlineStr">
        <is>
          <t>AU22828</t>
        </is>
      </c>
      <c r="C740" t="inlineStr">
        <is>
          <t>VIC-TAS</t>
        </is>
      </c>
      <c r="D740" t="inlineStr">
        <is>
          <t>Virtus Health</t>
        </is>
      </c>
      <c r="E740" t="inlineStr">
        <is>
          <t>Patient Care Co-ordinator</t>
        </is>
      </c>
      <c r="F740" t="inlineStr">
        <is>
          <t>3/28/2023</t>
        </is>
      </c>
      <c r="H740" t="inlineStr">
        <is>
          <t>MIVFS2022</t>
        </is>
      </c>
      <c r="I740" t="inlineStr">
        <is>
          <t>VIC</t>
        </is>
      </c>
      <c r="J740" t="inlineStr">
        <is>
          <t>Full Time</t>
        </is>
      </c>
      <c r="K740" s="23" t="inlineStr">
        <is>
          <t>3/28/2023</t>
        </is>
      </c>
      <c r="L740" s="23" t="inlineStr">
        <is>
          <t>3/28/2023</t>
        </is>
      </c>
      <c r="O740" t="n">
        <v>38</v>
      </c>
    </row>
    <row r="741">
      <c r="A741" t="inlineStr">
        <is>
          <t>AU22829</t>
        </is>
      </c>
      <c r="B741" s="1" t="n"/>
      <c r="C741" t="inlineStr">
        <is>
          <t>NSW-QLD</t>
        </is>
      </c>
      <c r="D741" t="inlineStr">
        <is>
          <t>Virtus Health</t>
        </is>
      </c>
      <c r="E741" t="inlineStr">
        <is>
          <t>Genetic Counseling Manager</t>
        </is>
      </c>
      <c r="F741" s="1" t="n">
        <v>44989</v>
      </c>
      <c r="H741" t="inlineStr">
        <is>
          <t>IVFS2023</t>
        </is>
      </c>
      <c r="I741" t="inlineStr">
        <is>
          <t>WA</t>
        </is>
      </c>
      <c r="J741" t="inlineStr">
        <is>
          <t>Part Time</t>
        </is>
      </c>
      <c r="K741" s="23" t="n">
        <v>44989</v>
      </c>
      <c r="L741" s="23" t="n">
        <v>44989</v>
      </c>
      <c r="O741" t="n">
        <v>38</v>
      </c>
    </row>
    <row r="742">
      <c r="A742" t="inlineStr">
        <is>
          <t>AU22834</t>
        </is>
      </c>
      <c r="C742" t="inlineStr">
        <is>
          <t>NSW-QLD</t>
        </is>
      </c>
      <c r="D742" t="inlineStr">
        <is>
          <t>Virtus Health</t>
        </is>
      </c>
      <c r="E742" t="inlineStr">
        <is>
          <t>Principal Clinical Scientist - Molecular Genetics</t>
        </is>
      </c>
      <c r="F742" t="inlineStr">
        <is>
          <t>4/24/2023</t>
        </is>
      </c>
      <c r="H742" t="inlineStr">
        <is>
          <t>NSW</t>
        </is>
      </c>
      <c r="I742" t="inlineStr">
        <is>
          <t>NSW</t>
        </is>
      </c>
      <c r="J742" t="inlineStr">
        <is>
          <t>Full Time</t>
        </is>
      </c>
      <c r="K742" s="23" t="inlineStr">
        <is>
          <t>4/24/2023</t>
        </is>
      </c>
      <c r="L742" s="23" t="inlineStr">
        <is>
          <t>4/24/2023</t>
        </is>
      </c>
      <c r="O742" t="n">
        <v>24</v>
      </c>
    </row>
    <row r="743">
      <c r="A743" t="inlineStr">
        <is>
          <t>AU22836</t>
        </is>
      </c>
      <c r="B743" s="1" t="n"/>
      <c r="C743" t="inlineStr">
        <is>
          <t>NSW-QLD</t>
        </is>
      </c>
      <c r="D743" t="inlineStr">
        <is>
          <t>Virtus Health</t>
        </is>
      </c>
      <c r="E743" t="inlineStr">
        <is>
          <t>Genetic Counsellor</t>
        </is>
      </c>
      <c r="F743" s="1" t="n">
        <v>44989</v>
      </c>
      <c r="H743" t="inlineStr">
        <is>
          <t>IVFS2023</t>
        </is>
      </c>
      <c r="I743" t="inlineStr">
        <is>
          <t>QLD</t>
        </is>
      </c>
      <c r="J743" t="inlineStr">
        <is>
          <t>Part Time</t>
        </is>
      </c>
      <c r="K743" s="23" t="n">
        <v>44989</v>
      </c>
      <c r="L743" s="23" t="n">
        <v>44989</v>
      </c>
      <c r="O743" t="n">
        <v>38</v>
      </c>
    </row>
    <row r="744">
      <c r="A744" t="inlineStr">
        <is>
          <t>AU22838</t>
        </is>
      </c>
      <c r="C744" t="inlineStr">
        <is>
          <t>VIC-TAS</t>
        </is>
      </c>
      <c r="D744" t="inlineStr">
        <is>
          <t>Virtus Health</t>
        </is>
      </c>
      <c r="E744" t="inlineStr">
        <is>
          <t>Donor And Surrogacy Program Nurse</t>
        </is>
      </c>
      <c r="F744" t="inlineStr">
        <is>
          <t>4/27/2023</t>
        </is>
      </c>
      <c r="H744" t="inlineStr">
        <is>
          <t>MIVFN2023</t>
        </is>
      </c>
      <c r="I744" t="inlineStr">
        <is>
          <t>VIC</t>
        </is>
      </c>
      <c r="J744" t="inlineStr">
        <is>
          <t>Full Time</t>
        </is>
      </c>
      <c r="K744" s="23" t="inlineStr">
        <is>
          <t>4/27/2023</t>
        </is>
      </c>
      <c r="L744" s="23" t="inlineStr">
        <is>
          <t>4/27/2023</t>
        </is>
      </c>
      <c r="O744" t="n">
        <v>38</v>
      </c>
    </row>
    <row r="745">
      <c r="A745" t="inlineStr">
        <is>
          <t>AU22846</t>
        </is>
      </c>
      <c r="C745" t="inlineStr">
        <is>
          <t>NSW-QLD</t>
        </is>
      </c>
      <c r="D745" t="inlineStr">
        <is>
          <t>Virtus Health</t>
        </is>
      </c>
      <c r="E745" t="inlineStr">
        <is>
          <t>Senior Payroll Business Partner</t>
        </is>
      </c>
      <c r="F745" t="inlineStr">
        <is>
          <t>5/22/2023</t>
        </is>
      </c>
      <c r="H745" t="inlineStr">
        <is>
          <t>NSW</t>
        </is>
      </c>
      <c r="I745" t="inlineStr">
        <is>
          <t>NSW</t>
        </is>
      </c>
      <c r="J745" t="inlineStr">
        <is>
          <t>Full Time</t>
        </is>
      </c>
      <c r="K745" s="23" t="inlineStr">
        <is>
          <t>5/22/2023</t>
        </is>
      </c>
      <c r="L745" s="23" t="inlineStr">
        <is>
          <t>5/22/2023</t>
        </is>
      </c>
      <c r="O745" t="n">
        <v>38</v>
      </c>
    </row>
    <row r="746">
      <c r="A746" t="inlineStr">
        <is>
          <t>AU22848</t>
        </is>
      </c>
      <c r="C746" t="inlineStr">
        <is>
          <t>VIC-TAS</t>
        </is>
      </c>
      <c r="D746" t="inlineStr">
        <is>
          <t>Virtus Health</t>
        </is>
      </c>
      <c r="E746" t="inlineStr">
        <is>
          <t>Registered Nurse</t>
        </is>
      </c>
      <c r="F746" s="1" t="n">
        <v>44931</v>
      </c>
      <c r="H746" t="inlineStr">
        <is>
          <t>MIVFN2023</t>
        </is>
      </c>
      <c r="I746" t="inlineStr">
        <is>
          <t>VIC</t>
        </is>
      </c>
      <c r="J746" t="inlineStr">
        <is>
          <t>Part Time</t>
        </is>
      </c>
      <c r="K746" s="23" t="n">
        <v>44931</v>
      </c>
      <c r="L746" s="23" t="n">
        <v>44931</v>
      </c>
      <c r="O746" t="n">
        <v>16.5</v>
      </c>
    </row>
    <row r="747">
      <c r="A747" t="inlineStr">
        <is>
          <t>AU22849</t>
        </is>
      </c>
      <c r="C747" t="inlineStr">
        <is>
          <t>NSW-QLD</t>
        </is>
      </c>
      <c r="D747" t="inlineStr">
        <is>
          <t>Virtus Health</t>
        </is>
      </c>
      <c r="E747" t="inlineStr">
        <is>
          <t>Registered Nurse</t>
        </is>
      </c>
      <c r="F747" t="inlineStr">
        <is>
          <t>4/19/2023</t>
        </is>
      </c>
      <c r="H747" t="inlineStr">
        <is>
          <t>IVFN2021</t>
        </is>
      </c>
      <c r="I747" t="inlineStr">
        <is>
          <t>NSW</t>
        </is>
      </c>
      <c r="J747" t="inlineStr">
        <is>
          <t>Part Time</t>
        </is>
      </c>
      <c r="K747" s="23" t="inlineStr">
        <is>
          <t>4/19/2023</t>
        </is>
      </c>
      <c r="L747" s="23" t="inlineStr">
        <is>
          <t>4/19/2023</t>
        </is>
      </c>
      <c r="O747" t="n">
        <v>38</v>
      </c>
    </row>
    <row r="748">
      <c r="A748" t="inlineStr">
        <is>
          <t>AU22856</t>
        </is>
      </c>
      <c r="B748" s="1" t="n"/>
      <c r="C748" t="inlineStr">
        <is>
          <t>NSW-QLD</t>
        </is>
      </c>
      <c r="D748" t="inlineStr">
        <is>
          <t>Virtus Health</t>
        </is>
      </c>
      <c r="E748" t="inlineStr">
        <is>
          <t>Courier</t>
        </is>
      </c>
      <c r="F748" s="1" t="n">
        <v>45235</v>
      </c>
      <c r="H748" t="inlineStr">
        <is>
          <t>IVFS2023</t>
        </is>
      </c>
      <c r="I748" t="inlineStr">
        <is>
          <t>NSW</t>
        </is>
      </c>
      <c r="J748" t="inlineStr">
        <is>
          <t>Casual</t>
        </is>
      </c>
      <c r="K748" s="23" t="n">
        <v>45235</v>
      </c>
      <c r="L748" s="23" t="n">
        <v>45235</v>
      </c>
      <c r="O748" t="n">
        <v>29.75</v>
      </c>
    </row>
    <row r="749">
      <c r="A749" t="inlineStr">
        <is>
          <t>AU22859</t>
        </is>
      </c>
      <c r="B749" s="1" t="n"/>
      <c r="C749" t="inlineStr">
        <is>
          <t>NSW-QLD</t>
        </is>
      </c>
      <c r="D749" t="inlineStr">
        <is>
          <t>Virtus Health</t>
        </is>
      </c>
      <c r="E749" t="inlineStr">
        <is>
          <t>HR &amp; Payroll Implementation Consultant</t>
        </is>
      </c>
      <c r="F749" s="1" t="n">
        <v>45052</v>
      </c>
      <c r="H749" t="inlineStr">
        <is>
          <t>QLD</t>
        </is>
      </c>
      <c r="I749" t="inlineStr">
        <is>
          <t>QLD</t>
        </is>
      </c>
      <c r="J749" t="inlineStr">
        <is>
          <t>Full Time</t>
        </is>
      </c>
      <c r="K749" s="23" t="n">
        <v>45052</v>
      </c>
      <c r="L749" s="23" t="n">
        <v>45052</v>
      </c>
      <c r="O749" t="n">
        <v>38</v>
      </c>
    </row>
    <row r="750">
      <c r="A750" t="inlineStr">
        <is>
          <t>AU22861</t>
        </is>
      </c>
      <c r="B750" s="1" t="n"/>
      <c r="C750" t="inlineStr">
        <is>
          <t>NSW-QLD</t>
        </is>
      </c>
      <c r="D750" t="inlineStr">
        <is>
          <t>Virtus Health</t>
        </is>
      </c>
      <c r="E750" t="inlineStr">
        <is>
          <t>Embryologist</t>
        </is>
      </c>
      <c r="F750" s="1" t="n">
        <v>45143</v>
      </c>
      <c r="H750" t="inlineStr">
        <is>
          <t>IVFT2024</t>
        </is>
      </c>
      <c r="I750" t="inlineStr">
        <is>
          <t>NSW</t>
        </is>
      </c>
      <c r="J750" t="inlineStr">
        <is>
          <t>Full Time</t>
        </is>
      </c>
      <c r="K750" s="23" t="n">
        <v>45143</v>
      </c>
      <c r="L750" s="23" t="n">
        <v>45143</v>
      </c>
      <c r="O750" t="n">
        <v>38</v>
      </c>
    </row>
    <row r="751">
      <c r="A751" t="inlineStr">
        <is>
          <t>AU22866</t>
        </is>
      </c>
      <c r="C751" t="inlineStr">
        <is>
          <t>NSW-QLD</t>
        </is>
      </c>
      <c r="D751" t="inlineStr">
        <is>
          <t>Virtus Health</t>
        </is>
      </c>
      <c r="E751" t="inlineStr">
        <is>
          <t>Registered Nurse</t>
        </is>
      </c>
      <c r="F751" t="inlineStr">
        <is>
          <t>4/19/2023</t>
        </is>
      </c>
      <c r="H751" t="inlineStr">
        <is>
          <t>IVFN2021</t>
        </is>
      </c>
      <c r="I751" t="inlineStr">
        <is>
          <t>NSW</t>
        </is>
      </c>
      <c r="J751" t="inlineStr">
        <is>
          <t>Full Time</t>
        </is>
      </c>
      <c r="K751" s="23" t="inlineStr">
        <is>
          <t>4/19/2023</t>
        </is>
      </c>
      <c r="L751" s="23" t="inlineStr">
        <is>
          <t>4/19/2023</t>
        </is>
      </c>
      <c r="O751" t="n">
        <v>38</v>
      </c>
    </row>
    <row r="752">
      <c r="A752" t="inlineStr">
        <is>
          <t>AU22868</t>
        </is>
      </c>
      <c r="B752" s="1" t="n"/>
      <c r="C752" t="inlineStr">
        <is>
          <t>NSW-QLD</t>
        </is>
      </c>
      <c r="D752" t="inlineStr">
        <is>
          <t>Virtus Health</t>
        </is>
      </c>
      <c r="E752" t="inlineStr">
        <is>
          <t>Carpark Concierge</t>
        </is>
      </c>
      <c r="F752" s="1" t="n">
        <v>45265</v>
      </c>
      <c r="H752" t="inlineStr">
        <is>
          <t>IVFS2023</t>
        </is>
      </c>
      <c r="I752" t="inlineStr">
        <is>
          <t>NSW</t>
        </is>
      </c>
      <c r="J752" t="inlineStr">
        <is>
          <t>Casual</t>
        </is>
      </c>
      <c r="K752" s="23" t="n">
        <v>45265</v>
      </c>
      <c r="L752" s="23" t="n">
        <v>45265</v>
      </c>
      <c r="O752" t="n">
        <v>12</v>
      </c>
    </row>
    <row r="753">
      <c r="A753" t="inlineStr">
        <is>
          <t>AU22870</t>
        </is>
      </c>
      <c r="B753" s="1" t="n"/>
      <c r="C753" t="inlineStr">
        <is>
          <t>NSW-QLD</t>
        </is>
      </c>
      <c r="D753" t="inlineStr">
        <is>
          <t>Virtus Health</t>
        </is>
      </c>
      <c r="E753" t="inlineStr">
        <is>
          <t>Genetic Scientist</t>
        </is>
      </c>
      <c r="F753" s="1" t="n">
        <v>45052</v>
      </c>
      <c r="H753" t="inlineStr">
        <is>
          <t>QS2024</t>
        </is>
      </c>
      <c r="I753" t="inlineStr">
        <is>
          <t>QLD</t>
        </is>
      </c>
      <c r="J753" t="inlineStr">
        <is>
          <t>Full Time</t>
        </is>
      </c>
      <c r="K753" s="23" t="n">
        <v>45052</v>
      </c>
      <c r="L753" s="23" t="n">
        <v>45052</v>
      </c>
      <c r="O753" t="n">
        <v>38</v>
      </c>
    </row>
    <row r="754">
      <c r="A754" t="inlineStr">
        <is>
          <t>AU22876</t>
        </is>
      </c>
      <c r="B754" s="1" t="n"/>
      <c r="C754" t="inlineStr">
        <is>
          <t>NSW-QLD</t>
        </is>
      </c>
      <c r="D754" t="inlineStr">
        <is>
          <t>Virtus Health</t>
        </is>
      </c>
      <c r="E754" t="inlineStr">
        <is>
          <t>Registered Nurse</t>
        </is>
      </c>
      <c r="F754" t="inlineStr">
        <is>
          <t>6/13/2023</t>
        </is>
      </c>
      <c r="H754" t="inlineStr">
        <is>
          <t>QN2025</t>
        </is>
      </c>
      <c r="I754" t="inlineStr">
        <is>
          <t>QLD</t>
        </is>
      </c>
      <c r="J754" t="inlineStr">
        <is>
          <t>Part Time</t>
        </is>
      </c>
      <c r="K754" s="23" t="inlineStr">
        <is>
          <t>6/13/2023</t>
        </is>
      </c>
      <c r="L754" s="23" t="inlineStr">
        <is>
          <t>6/13/2023</t>
        </is>
      </c>
      <c r="O754" t="n">
        <v>38</v>
      </c>
    </row>
    <row r="755">
      <c r="A755" t="inlineStr">
        <is>
          <t>AU22877</t>
        </is>
      </c>
      <c r="B755" s="1" t="n"/>
      <c r="C755" t="inlineStr">
        <is>
          <t>NSW-QLD</t>
        </is>
      </c>
      <c r="D755" t="inlineStr">
        <is>
          <t>Virtus Health</t>
        </is>
      </c>
      <c r="E755" t="inlineStr">
        <is>
          <t>Administration Clerk</t>
        </is>
      </c>
      <c r="F755" s="1" t="n">
        <v>45052</v>
      </c>
      <c r="H755" t="inlineStr">
        <is>
          <t>IVFS2023</t>
        </is>
      </c>
      <c r="I755" t="inlineStr">
        <is>
          <t>NSW</t>
        </is>
      </c>
      <c r="J755" t="inlineStr">
        <is>
          <t>Part Time</t>
        </is>
      </c>
      <c r="K755" s="23" t="n">
        <v>45052</v>
      </c>
      <c r="L755" s="23" t="n">
        <v>45052</v>
      </c>
      <c r="O755" t="n">
        <v>36</v>
      </c>
    </row>
    <row r="756">
      <c r="A756" t="inlineStr">
        <is>
          <t>AU22880</t>
        </is>
      </c>
      <c r="B756" s="1" t="n"/>
      <c r="C756" t="inlineStr">
        <is>
          <t>NSW-QLD</t>
        </is>
      </c>
      <c r="D756" t="inlineStr">
        <is>
          <t>Virtus Health</t>
        </is>
      </c>
      <c r="E756" t="inlineStr">
        <is>
          <t>Registered Nurse</t>
        </is>
      </c>
      <c r="F756" s="1" t="n">
        <v>45052</v>
      </c>
      <c r="H756" t="inlineStr">
        <is>
          <t>IVFN2021</t>
        </is>
      </c>
      <c r="I756" t="inlineStr">
        <is>
          <t>NSW</t>
        </is>
      </c>
      <c r="J756" t="inlineStr">
        <is>
          <t>Casual</t>
        </is>
      </c>
      <c r="K756" s="23" t="n">
        <v>45052</v>
      </c>
      <c r="L756" s="23" t="n">
        <v>45052</v>
      </c>
      <c r="O756" t="n">
        <v>38</v>
      </c>
    </row>
    <row r="757">
      <c r="A757" t="inlineStr">
        <is>
          <t>AU22884</t>
        </is>
      </c>
      <c r="B757" s="1" t="n"/>
      <c r="C757" t="inlineStr">
        <is>
          <t>NSW-QLD</t>
        </is>
      </c>
      <c r="D757" t="inlineStr">
        <is>
          <t>Virtus Health</t>
        </is>
      </c>
      <c r="E757" t="inlineStr">
        <is>
          <t>Registered Nurse</t>
        </is>
      </c>
      <c r="F757" s="1" t="n">
        <v>45266</v>
      </c>
      <c r="H757" t="inlineStr">
        <is>
          <t>IVFN2021</t>
        </is>
      </c>
      <c r="I757" t="inlineStr">
        <is>
          <t>NSW</t>
        </is>
      </c>
      <c r="J757" t="inlineStr">
        <is>
          <t>Casual</t>
        </is>
      </c>
      <c r="K757" s="23" t="n">
        <v>45266</v>
      </c>
      <c r="L757" s="23" t="n">
        <v>45266</v>
      </c>
      <c r="O757" t="n">
        <v>38</v>
      </c>
    </row>
    <row r="758">
      <c r="A758" t="inlineStr">
        <is>
          <t>AU22885</t>
        </is>
      </c>
      <c r="B758" s="1" t="n"/>
      <c r="C758" t="inlineStr">
        <is>
          <t>NSW-QLD</t>
        </is>
      </c>
      <c r="D758" t="inlineStr">
        <is>
          <t>Virtus Health</t>
        </is>
      </c>
      <c r="E758" t="inlineStr">
        <is>
          <t>Registered Nurse</t>
        </is>
      </c>
      <c r="F758" s="1" t="n">
        <v>45266</v>
      </c>
      <c r="H758" t="inlineStr">
        <is>
          <t>IVFN2021</t>
        </is>
      </c>
      <c r="I758" t="inlineStr">
        <is>
          <t>NSW</t>
        </is>
      </c>
      <c r="J758" t="inlineStr">
        <is>
          <t>Casual</t>
        </is>
      </c>
      <c r="K758" s="23" t="n">
        <v>45266</v>
      </c>
      <c r="L758" s="23" t="n">
        <v>45266</v>
      </c>
      <c r="O758" t="n">
        <v>38</v>
      </c>
    </row>
    <row r="759">
      <c r="A759" t="inlineStr">
        <is>
          <t>AU22886</t>
        </is>
      </c>
      <c r="B759" s="1" t="n"/>
      <c r="C759" t="inlineStr">
        <is>
          <t>NSW-QLD</t>
        </is>
      </c>
      <c r="D759" t="inlineStr">
        <is>
          <t>Virtus Health</t>
        </is>
      </c>
      <c r="E759" t="inlineStr">
        <is>
          <t>Embryologist</t>
        </is>
      </c>
      <c r="F759" s="1" t="n">
        <v>45266</v>
      </c>
      <c r="H759" t="inlineStr">
        <is>
          <t>QS2024</t>
        </is>
      </c>
      <c r="I759" t="inlineStr">
        <is>
          <t>QLD</t>
        </is>
      </c>
      <c r="J759" t="inlineStr">
        <is>
          <t>Part Time</t>
        </is>
      </c>
      <c r="K759" s="23" t="n">
        <v>45266</v>
      </c>
      <c r="L759" s="23" t="n">
        <v>45266</v>
      </c>
      <c r="O759" t="n">
        <v>38</v>
      </c>
    </row>
    <row r="760">
      <c r="A760" t="inlineStr">
        <is>
          <t>AU22887</t>
        </is>
      </c>
      <c r="B760" s="1" t="n"/>
      <c r="C760" t="inlineStr">
        <is>
          <t>NSW-QLD</t>
        </is>
      </c>
      <c r="D760" t="inlineStr">
        <is>
          <t>Virtus Health</t>
        </is>
      </c>
      <c r="E760" t="inlineStr">
        <is>
          <t>Embryologist</t>
        </is>
      </c>
      <c r="F760" s="1" t="n">
        <v>45052</v>
      </c>
      <c r="H760" t="inlineStr">
        <is>
          <t>QS2024</t>
        </is>
      </c>
      <c r="I760" t="inlineStr">
        <is>
          <t>QLD</t>
        </is>
      </c>
      <c r="J760" t="inlineStr">
        <is>
          <t>Full Time</t>
        </is>
      </c>
      <c r="K760" s="23" t="n">
        <v>45052</v>
      </c>
      <c r="L760" s="23" t="n">
        <v>45052</v>
      </c>
      <c r="O760" t="n">
        <v>31</v>
      </c>
    </row>
    <row r="761">
      <c r="A761" t="inlineStr">
        <is>
          <t>AU22890</t>
        </is>
      </c>
      <c r="C761" t="inlineStr">
        <is>
          <t>NSW-QLD</t>
        </is>
      </c>
      <c r="D761" t="inlineStr">
        <is>
          <t>Virtus Health</t>
        </is>
      </c>
      <c r="E761" t="inlineStr">
        <is>
          <t>ICT -INF-System Administrator</t>
        </is>
      </c>
      <c r="F761" t="inlineStr">
        <is>
          <t>6/26/2023</t>
        </is>
      </c>
      <c r="H761" t="inlineStr">
        <is>
          <t>QLD</t>
        </is>
      </c>
      <c r="I761" t="inlineStr">
        <is>
          <t>QLD</t>
        </is>
      </c>
      <c r="J761" t="inlineStr">
        <is>
          <t>Full Time</t>
        </is>
      </c>
      <c r="K761" s="23" t="inlineStr">
        <is>
          <t>6/26/2023</t>
        </is>
      </c>
      <c r="L761" s="23" t="inlineStr">
        <is>
          <t>6/26/2023</t>
        </is>
      </c>
      <c r="O761" t="n">
        <v>38</v>
      </c>
    </row>
    <row r="762">
      <c r="A762" t="inlineStr">
        <is>
          <t>AU22892</t>
        </is>
      </c>
      <c r="C762" t="inlineStr">
        <is>
          <t>NSW-QLD</t>
        </is>
      </c>
      <c r="D762" t="inlineStr">
        <is>
          <t>Virtus Health</t>
        </is>
      </c>
      <c r="E762" t="inlineStr">
        <is>
          <t>Registered Nurse</t>
        </is>
      </c>
      <c r="F762" t="inlineStr">
        <is>
          <t>8/20/2013</t>
        </is>
      </c>
      <c r="H762" t="inlineStr">
        <is>
          <t>IVFN2021</t>
        </is>
      </c>
      <c r="I762" t="inlineStr">
        <is>
          <t>NSW</t>
        </is>
      </c>
      <c r="J762" t="inlineStr">
        <is>
          <t>Casual</t>
        </is>
      </c>
      <c r="K762" s="23" t="inlineStr">
        <is>
          <t>8/20/2013</t>
        </is>
      </c>
      <c r="L762" s="23" t="inlineStr">
        <is>
          <t>8/20/2013</t>
        </is>
      </c>
      <c r="O762" t="n">
        <v>16</v>
      </c>
    </row>
    <row r="763">
      <c r="A763" t="inlineStr">
        <is>
          <t>AU22894</t>
        </is>
      </c>
      <c r="B763" s="1" t="n"/>
      <c r="C763" t="inlineStr">
        <is>
          <t>NSW-QLD</t>
        </is>
      </c>
      <c r="D763" t="inlineStr">
        <is>
          <t>Virtus Health</t>
        </is>
      </c>
      <c r="E763" t="inlineStr">
        <is>
          <t>Integration Lead</t>
        </is>
      </c>
      <c r="F763" s="1" t="n">
        <v>45206</v>
      </c>
      <c r="H763" t="inlineStr">
        <is>
          <t>VIC</t>
        </is>
      </c>
      <c r="I763" t="inlineStr">
        <is>
          <t>VIC</t>
        </is>
      </c>
      <c r="J763" t="inlineStr">
        <is>
          <t>Full Time</t>
        </is>
      </c>
      <c r="K763" s="23" t="n">
        <v>45206</v>
      </c>
      <c r="L763" s="23" t="n">
        <v>45206</v>
      </c>
      <c r="O763" t="n">
        <v>38</v>
      </c>
    </row>
    <row r="764">
      <c r="A764" t="inlineStr">
        <is>
          <t>AU22895</t>
        </is>
      </c>
      <c r="C764" t="inlineStr">
        <is>
          <t>VIC-TAS</t>
        </is>
      </c>
      <c r="D764" t="inlineStr">
        <is>
          <t>Virtus Health</t>
        </is>
      </c>
      <c r="E764" t="inlineStr">
        <is>
          <t>Registered Nurse</t>
        </is>
      </c>
      <c r="F764" t="inlineStr">
        <is>
          <t>6/19/2023</t>
        </is>
      </c>
      <c r="H764" t="inlineStr">
        <is>
          <t>MIVFN2023</t>
        </is>
      </c>
      <c r="I764" t="inlineStr">
        <is>
          <t>VIC</t>
        </is>
      </c>
      <c r="J764" t="inlineStr">
        <is>
          <t>Full Time</t>
        </is>
      </c>
      <c r="K764" s="23" t="inlineStr">
        <is>
          <t>6/19/2023</t>
        </is>
      </c>
      <c r="L764" s="23" t="inlineStr">
        <is>
          <t>6/19/2023</t>
        </is>
      </c>
      <c r="O764" t="n">
        <v>38</v>
      </c>
    </row>
    <row r="765">
      <c r="A765" t="inlineStr">
        <is>
          <t>AU22898</t>
        </is>
      </c>
      <c r="B765" s="1" t="n"/>
      <c r="C765" t="inlineStr">
        <is>
          <t>VIC-TAS</t>
        </is>
      </c>
      <c r="D765" t="inlineStr">
        <is>
          <t>Virtus Health</t>
        </is>
      </c>
      <c r="E765" t="inlineStr">
        <is>
          <t>Registered Nurse</t>
        </is>
      </c>
      <c r="F765" s="1" t="n">
        <v>44992</v>
      </c>
      <c r="H765" t="inlineStr">
        <is>
          <t>TIVF2024</t>
        </is>
      </c>
      <c r="I765" t="inlineStr">
        <is>
          <t>TAS</t>
        </is>
      </c>
      <c r="J765" t="inlineStr">
        <is>
          <t>Casual</t>
        </is>
      </c>
      <c r="K765" s="23" t="n">
        <v>44992</v>
      </c>
      <c r="L765" s="23" t="n">
        <v>44992</v>
      </c>
      <c r="O765" t="n">
        <v>38</v>
      </c>
    </row>
    <row r="766">
      <c r="A766" t="inlineStr">
        <is>
          <t>AU22899</t>
        </is>
      </c>
      <c r="B766" s="1" t="n"/>
      <c r="C766" t="inlineStr">
        <is>
          <t>VIC-TAS</t>
        </is>
      </c>
      <c r="D766" t="inlineStr">
        <is>
          <t>Virtus Health</t>
        </is>
      </c>
      <c r="E766" t="inlineStr">
        <is>
          <t>Registered Nurse</t>
        </is>
      </c>
      <c r="F766" s="1" t="n">
        <v>45206</v>
      </c>
      <c r="H766" t="inlineStr">
        <is>
          <t>MIVFN2023</t>
        </is>
      </c>
      <c r="I766" t="inlineStr">
        <is>
          <t>VIC</t>
        </is>
      </c>
      <c r="J766" t="inlineStr">
        <is>
          <t>Part Time</t>
        </is>
      </c>
      <c r="K766" s="23" t="n">
        <v>45206</v>
      </c>
      <c r="L766" s="23" t="n">
        <v>45206</v>
      </c>
      <c r="O766" t="n">
        <v>19</v>
      </c>
    </row>
    <row r="767">
      <c r="A767" t="inlineStr">
        <is>
          <t>AU22900</t>
        </is>
      </c>
      <c r="C767" t="inlineStr">
        <is>
          <t>NSW-QLD</t>
        </is>
      </c>
      <c r="D767" t="inlineStr">
        <is>
          <t>Virtus Health</t>
        </is>
      </c>
      <c r="E767" t="inlineStr">
        <is>
          <t>Managing Director Strategic Growth</t>
        </is>
      </c>
      <c r="F767" s="1" t="n">
        <v>44932</v>
      </c>
      <c r="H767" t="inlineStr">
        <is>
          <t>NSW</t>
        </is>
      </c>
      <c r="I767" t="inlineStr">
        <is>
          <t>NSW</t>
        </is>
      </c>
      <c r="J767" t="inlineStr">
        <is>
          <t>Part Time</t>
        </is>
      </c>
      <c r="K767" s="23" t="n">
        <v>44932</v>
      </c>
      <c r="L767" s="23" t="n">
        <v>44932</v>
      </c>
      <c r="O767" t="n">
        <v>38</v>
      </c>
    </row>
    <row r="768">
      <c r="A768" t="inlineStr">
        <is>
          <t>AU22901</t>
        </is>
      </c>
      <c r="C768" t="inlineStr">
        <is>
          <t>NSW-QLD</t>
        </is>
      </c>
      <c r="D768" t="inlineStr">
        <is>
          <t>Virtus Health</t>
        </is>
      </c>
      <c r="E768" t="inlineStr">
        <is>
          <t>Embryologist</t>
        </is>
      </c>
      <c r="F768" t="inlineStr">
        <is>
          <t>6/26/2023</t>
        </is>
      </c>
      <c r="H768" t="inlineStr">
        <is>
          <t>IVFT2024</t>
        </is>
      </c>
      <c r="I768" t="inlineStr">
        <is>
          <t>ACT</t>
        </is>
      </c>
      <c r="J768" t="inlineStr">
        <is>
          <t>Full Time</t>
        </is>
      </c>
      <c r="K768" s="23" t="inlineStr">
        <is>
          <t>6/26/2023</t>
        </is>
      </c>
      <c r="L768" s="23" t="inlineStr">
        <is>
          <t>6/26/2023</t>
        </is>
      </c>
      <c r="O768" t="n">
        <v>38</v>
      </c>
    </row>
    <row r="769">
      <c r="A769" t="inlineStr">
        <is>
          <t>AU22902</t>
        </is>
      </c>
      <c r="B769" s="1" t="n"/>
      <c r="C769" t="inlineStr">
        <is>
          <t>NSW-QLD</t>
        </is>
      </c>
      <c r="D769" t="inlineStr">
        <is>
          <t>Virtus Health</t>
        </is>
      </c>
      <c r="E769" t="inlineStr">
        <is>
          <t>Enrolled Nurse</t>
        </is>
      </c>
      <c r="F769" s="1" t="n">
        <v>44992</v>
      </c>
      <c r="H769" t="inlineStr">
        <is>
          <t>IVFN2021</t>
        </is>
      </c>
      <c r="I769" t="inlineStr">
        <is>
          <t>NSW</t>
        </is>
      </c>
      <c r="J769" t="inlineStr">
        <is>
          <t>Casual</t>
        </is>
      </c>
      <c r="K769" s="23" t="n">
        <v>44992</v>
      </c>
      <c r="L769" s="23" t="n">
        <v>44992</v>
      </c>
      <c r="O769" t="n">
        <v>23</v>
      </c>
    </row>
    <row r="770">
      <c r="A770" t="inlineStr">
        <is>
          <t>AU22904</t>
        </is>
      </c>
      <c r="C770" t="inlineStr">
        <is>
          <t>NSW-QLD</t>
        </is>
      </c>
      <c r="D770" t="inlineStr">
        <is>
          <t>Virtus Health</t>
        </is>
      </c>
      <c r="E770" t="inlineStr">
        <is>
          <t>Phlebotomist/ Administration</t>
        </is>
      </c>
      <c r="F770" t="inlineStr">
        <is>
          <t>7/17/2023</t>
        </is>
      </c>
      <c r="H770" t="inlineStr">
        <is>
          <t>IVFS2023</t>
        </is>
      </c>
      <c r="I770" t="inlineStr">
        <is>
          <t>QLD</t>
        </is>
      </c>
      <c r="J770" t="inlineStr">
        <is>
          <t>Part Time</t>
        </is>
      </c>
      <c r="K770" s="23" t="inlineStr">
        <is>
          <t>7/17/2023</t>
        </is>
      </c>
      <c r="L770" s="23" t="inlineStr">
        <is>
          <t>7/17/2023</t>
        </is>
      </c>
      <c r="O770" t="n">
        <v>38</v>
      </c>
    </row>
    <row r="771">
      <c r="A771" t="inlineStr">
        <is>
          <t>AU22905</t>
        </is>
      </c>
      <c r="B771" s="1" t="n"/>
      <c r="C771" t="inlineStr">
        <is>
          <t>NSW-QLD</t>
        </is>
      </c>
      <c r="D771" t="inlineStr">
        <is>
          <t>Virtus Health</t>
        </is>
      </c>
      <c r="E771" t="inlineStr">
        <is>
          <t>Registered Nurse</t>
        </is>
      </c>
      <c r="F771" s="1" t="n">
        <v>45206</v>
      </c>
      <c r="H771" t="inlineStr">
        <is>
          <t>IVFN2021</t>
        </is>
      </c>
      <c r="I771" t="inlineStr">
        <is>
          <t>NSW</t>
        </is>
      </c>
      <c r="J771" t="inlineStr">
        <is>
          <t>Casual</t>
        </is>
      </c>
      <c r="K771" s="23" t="n">
        <v>45206</v>
      </c>
      <c r="L771" s="23" t="n">
        <v>45206</v>
      </c>
      <c r="O771" t="n">
        <v>7.6</v>
      </c>
    </row>
    <row r="772">
      <c r="A772" t="inlineStr">
        <is>
          <t>AU22908</t>
        </is>
      </c>
      <c r="C772" t="inlineStr">
        <is>
          <t>NSW-QLD</t>
        </is>
      </c>
      <c r="D772" t="inlineStr">
        <is>
          <t>Virtus Health</t>
        </is>
      </c>
      <c r="E772" t="inlineStr">
        <is>
          <t>Genetic Scientist</t>
        </is>
      </c>
      <c r="F772" t="inlineStr">
        <is>
          <t>7/17/2023</t>
        </is>
      </c>
      <c r="H772" t="inlineStr">
        <is>
          <t>QS2024</t>
        </is>
      </c>
      <c r="I772" t="inlineStr">
        <is>
          <t>QLD</t>
        </is>
      </c>
      <c r="J772" t="inlineStr">
        <is>
          <t>Full Time</t>
        </is>
      </c>
      <c r="K772" s="23" t="inlineStr">
        <is>
          <t>7/17/2023</t>
        </is>
      </c>
      <c r="L772" s="23" t="inlineStr">
        <is>
          <t>7/17/2023</t>
        </is>
      </c>
      <c r="O772" t="n">
        <v>38</v>
      </c>
    </row>
    <row r="773">
      <c r="A773" t="inlineStr">
        <is>
          <t>AU22909</t>
        </is>
      </c>
      <c r="B773" s="1" t="n"/>
      <c r="C773" t="inlineStr">
        <is>
          <t>NSW-QLD</t>
        </is>
      </c>
      <c r="D773" t="inlineStr">
        <is>
          <t>Virtus Health</t>
        </is>
      </c>
      <c r="E773" t="inlineStr">
        <is>
          <t>Registered Nurse</t>
        </is>
      </c>
      <c r="F773" s="1" t="n">
        <v>44992</v>
      </c>
      <c r="H773" t="inlineStr">
        <is>
          <t>IVFN2021</t>
        </is>
      </c>
      <c r="I773" t="inlineStr">
        <is>
          <t>NSW</t>
        </is>
      </c>
      <c r="J773" t="inlineStr">
        <is>
          <t>Part Time</t>
        </is>
      </c>
      <c r="K773" s="23" t="n">
        <v>44992</v>
      </c>
      <c r="L773" s="23" t="n">
        <v>44992</v>
      </c>
      <c r="O773" t="n">
        <v>38</v>
      </c>
    </row>
    <row r="774">
      <c r="A774" t="inlineStr">
        <is>
          <t>AU22910</t>
        </is>
      </c>
      <c r="B774" s="1" t="n"/>
      <c r="C774" t="inlineStr">
        <is>
          <t>NSW-QLD</t>
        </is>
      </c>
      <c r="D774" t="inlineStr">
        <is>
          <t>Virtus Health</t>
        </is>
      </c>
      <c r="E774" t="inlineStr">
        <is>
          <t>Registered Nurse</t>
        </is>
      </c>
      <c r="F774" s="1" t="n">
        <v>44992</v>
      </c>
      <c r="H774" t="inlineStr">
        <is>
          <t>IVFN2021</t>
        </is>
      </c>
      <c r="I774" t="inlineStr">
        <is>
          <t>NSW</t>
        </is>
      </c>
      <c r="J774" t="inlineStr">
        <is>
          <t>Part Time</t>
        </is>
      </c>
      <c r="K774" s="23" t="n">
        <v>44992</v>
      </c>
      <c r="L774" s="23" t="n">
        <v>44992</v>
      </c>
      <c r="O774" t="n">
        <v>38</v>
      </c>
    </row>
    <row r="775">
      <c r="A775" t="inlineStr">
        <is>
          <t>AU22911</t>
        </is>
      </c>
      <c r="B775" s="1" t="n"/>
      <c r="C775" t="inlineStr">
        <is>
          <t>VIC-TAS</t>
        </is>
      </c>
      <c r="D775" t="inlineStr">
        <is>
          <t>Virtus Health</t>
        </is>
      </c>
      <c r="E775" t="inlineStr">
        <is>
          <t>Clinical Nurse Specialist</t>
        </is>
      </c>
      <c r="F775" s="1" t="n">
        <v>45206</v>
      </c>
      <c r="H775" t="inlineStr">
        <is>
          <t>MIVFN2023</t>
        </is>
      </c>
      <c r="I775" t="inlineStr">
        <is>
          <t>VIC</t>
        </is>
      </c>
      <c r="J775" t="inlineStr">
        <is>
          <t>Part Time</t>
        </is>
      </c>
      <c r="K775" s="23" t="n">
        <v>45206</v>
      </c>
      <c r="L775" s="23" t="n">
        <v>45206</v>
      </c>
      <c r="O775" t="n">
        <v>15.2</v>
      </c>
    </row>
    <row r="776">
      <c r="A776" t="inlineStr">
        <is>
          <t>AU22912</t>
        </is>
      </c>
      <c r="B776" s="1" t="n"/>
      <c r="C776" t="inlineStr">
        <is>
          <t>VIC-TAS</t>
        </is>
      </c>
      <c r="D776" t="inlineStr">
        <is>
          <t>Virtus Health</t>
        </is>
      </c>
      <c r="E776" t="inlineStr">
        <is>
          <t>Theatre Technician</t>
        </is>
      </c>
      <c r="F776" s="1" t="n">
        <v>45267</v>
      </c>
      <c r="H776" t="inlineStr">
        <is>
          <t>MIVFS2022</t>
        </is>
      </c>
      <c r="I776" t="inlineStr">
        <is>
          <t>VIC</t>
        </is>
      </c>
      <c r="J776" t="inlineStr">
        <is>
          <t>Casual</t>
        </is>
      </c>
      <c r="K776" s="23" t="n">
        <v>45267</v>
      </c>
      <c r="L776" s="23" t="n">
        <v>45267</v>
      </c>
      <c r="O776" t="n">
        <v>38</v>
      </c>
    </row>
    <row r="777">
      <c r="A777" t="inlineStr">
        <is>
          <t>AU22913</t>
        </is>
      </c>
      <c r="C777" t="inlineStr">
        <is>
          <t>NSW-QLD</t>
        </is>
      </c>
      <c r="D777" t="inlineStr">
        <is>
          <t>Virtus Health</t>
        </is>
      </c>
      <c r="E777" t="inlineStr">
        <is>
          <t>Administration Clerk</t>
        </is>
      </c>
      <c r="F777" t="inlineStr">
        <is>
          <t>7/17/2023</t>
        </is>
      </c>
      <c r="H777" t="inlineStr">
        <is>
          <t>IVFS2023</t>
        </is>
      </c>
      <c r="I777" t="inlineStr">
        <is>
          <t>NSW</t>
        </is>
      </c>
      <c r="J777" t="inlineStr">
        <is>
          <t>Part Time</t>
        </is>
      </c>
      <c r="K777" s="23" t="inlineStr">
        <is>
          <t>7/17/2023</t>
        </is>
      </c>
      <c r="L777" s="23" t="inlineStr">
        <is>
          <t>7/17/2023</t>
        </is>
      </c>
      <c r="O777" t="n">
        <v>38</v>
      </c>
    </row>
    <row r="778">
      <c r="A778" t="inlineStr">
        <is>
          <t>AU22916</t>
        </is>
      </c>
      <c r="B778" s="1" t="n"/>
      <c r="C778" t="inlineStr">
        <is>
          <t>VIC-TAS</t>
        </is>
      </c>
      <c r="D778" t="inlineStr">
        <is>
          <t>Virtus Health</t>
        </is>
      </c>
      <c r="E778" t="inlineStr">
        <is>
          <t>Enrolled Nurse</t>
        </is>
      </c>
      <c r="F778" s="1" t="n">
        <v>45206</v>
      </c>
      <c r="H778" t="inlineStr">
        <is>
          <t>MIVFN2023</t>
        </is>
      </c>
      <c r="I778" t="inlineStr">
        <is>
          <t>VIC</t>
        </is>
      </c>
      <c r="J778" t="inlineStr">
        <is>
          <t>Full Time</t>
        </is>
      </c>
      <c r="K778" s="23" t="n">
        <v>45206</v>
      </c>
      <c r="L778" s="23" t="n">
        <v>45206</v>
      </c>
      <c r="O778" t="n">
        <v>38</v>
      </c>
    </row>
    <row r="779">
      <c r="A779" t="inlineStr">
        <is>
          <t>AU22927</t>
        </is>
      </c>
      <c r="C779" t="inlineStr">
        <is>
          <t>NSW-QLD</t>
        </is>
      </c>
      <c r="D779" t="inlineStr">
        <is>
          <t>Virtus Health</t>
        </is>
      </c>
      <c r="E779" t="inlineStr">
        <is>
          <t>Embryologist/Team Leader</t>
        </is>
      </c>
      <c r="F779" t="inlineStr">
        <is>
          <t>7/17/2023</t>
        </is>
      </c>
      <c r="H779" t="inlineStr">
        <is>
          <t>QS2024</t>
        </is>
      </c>
      <c r="I779" t="inlineStr">
        <is>
          <t>QLD</t>
        </is>
      </c>
      <c r="J779" t="inlineStr">
        <is>
          <t>Full Time</t>
        </is>
      </c>
      <c r="K779" s="23" t="inlineStr">
        <is>
          <t>7/17/2023</t>
        </is>
      </c>
      <c r="L779" s="23" t="inlineStr">
        <is>
          <t>7/17/2023</t>
        </is>
      </c>
      <c r="O779" t="n">
        <v>38</v>
      </c>
    </row>
    <row r="780">
      <c r="A780" t="inlineStr">
        <is>
          <t>AU22930</t>
        </is>
      </c>
      <c r="C780" t="inlineStr">
        <is>
          <t>NSW-QLD</t>
        </is>
      </c>
      <c r="D780" t="inlineStr">
        <is>
          <t>Virtus Health</t>
        </is>
      </c>
      <c r="E780" t="inlineStr">
        <is>
          <t>Application Integration Officer</t>
        </is>
      </c>
      <c r="F780" t="inlineStr">
        <is>
          <t>7/31/2023</t>
        </is>
      </c>
      <c r="H780" t="inlineStr">
        <is>
          <t>VIC</t>
        </is>
      </c>
      <c r="I780" t="inlineStr">
        <is>
          <t>VIC</t>
        </is>
      </c>
      <c r="J780" t="inlineStr">
        <is>
          <t>Full Time</t>
        </is>
      </c>
      <c r="K780" s="23" t="inlineStr">
        <is>
          <t>7/31/2023</t>
        </is>
      </c>
      <c r="L780" s="23" t="inlineStr">
        <is>
          <t>7/31/2023</t>
        </is>
      </c>
      <c r="O780" t="n">
        <v>38</v>
      </c>
    </row>
    <row r="781">
      <c r="A781" t="inlineStr">
        <is>
          <t>AU22931</t>
        </is>
      </c>
      <c r="B781" s="1" t="n"/>
      <c r="C781" t="inlineStr">
        <is>
          <t>VIC-TAS</t>
        </is>
      </c>
      <c r="D781" t="inlineStr">
        <is>
          <t>Virtus Health</t>
        </is>
      </c>
      <c r="E781" t="inlineStr">
        <is>
          <t>Patient Liaison Administrator</t>
        </is>
      </c>
      <c r="F781" s="1" t="n">
        <v>45207</v>
      </c>
      <c r="H781" t="inlineStr">
        <is>
          <t>TIVF2024</t>
        </is>
      </c>
      <c r="I781" t="inlineStr">
        <is>
          <t>TAS</t>
        </is>
      </c>
      <c r="J781" t="inlineStr">
        <is>
          <t>Full Time</t>
        </is>
      </c>
      <c r="K781" s="23" t="n">
        <v>45207</v>
      </c>
      <c r="L781" s="23" t="n">
        <v>45207</v>
      </c>
      <c r="O781" t="n">
        <v>37.5</v>
      </c>
    </row>
    <row r="782">
      <c r="A782" t="inlineStr">
        <is>
          <t>AU22934</t>
        </is>
      </c>
      <c r="B782" s="1" t="n"/>
      <c r="C782" t="inlineStr">
        <is>
          <t>VIC-TAS</t>
        </is>
      </c>
      <c r="D782" t="inlineStr">
        <is>
          <t>Virtus Health</t>
        </is>
      </c>
      <c r="E782" t="inlineStr">
        <is>
          <t>Registered Nurse</t>
        </is>
      </c>
      <c r="F782" s="1" t="n">
        <v>44993</v>
      </c>
      <c r="H782" t="inlineStr">
        <is>
          <t>TIVF2024</t>
        </is>
      </c>
      <c r="I782" t="inlineStr">
        <is>
          <t>TAS</t>
        </is>
      </c>
      <c r="J782" t="inlineStr">
        <is>
          <t>Casual</t>
        </is>
      </c>
      <c r="K782" s="23" t="n">
        <v>44993</v>
      </c>
      <c r="L782" s="23" t="n">
        <v>44993</v>
      </c>
      <c r="O782" t="n">
        <v>38</v>
      </c>
    </row>
    <row r="783">
      <c r="A783" t="inlineStr">
        <is>
          <t>AU22935</t>
        </is>
      </c>
      <c r="C783" t="inlineStr">
        <is>
          <t>VIC-TAS</t>
        </is>
      </c>
      <c r="D783" t="inlineStr">
        <is>
          <t>Virtus Health</t>
        </is>
      </c>
      <c r="E783" t="inlineStr">
        <is>
          <t>Receptionist</t>
        </is>
      </c>
      <c r="F783" t="inlineStr">
        <is>
          <t>7/31/2023</t>
        </is>
      </c>
      <c r="H783" t="inlineStr">
        <is>
          <t>MIVFS2022</t>
        </is>
      </c>
      <c r="I783" t="inlineStr">
        <is>
          <t>VIC</t>
        </is>
      </c>
      <c r="J783" t="inlineStr">
        <is>
          <t>Part Time</t>
        </is>
      </c>
      <c r="K783" s="23" t="inlineStr">
        <is>
          <t>7/31/2023</t>
        </is>
      </c>
      <c r="L783" s="23" t="inlineStr">
        <is>
          <t>7/31/2023</t>
        </is>
      </c>
      <c r="O783" t="n">
        <v>30.4</v>
      </c>
    </row>
    <row r="784">
      <c r="A784" t="inlineStr">
        <is>
          <t>AU22936</t>
        </is>
      </c>
      <c r="B784" s="1" t="n"/>
      <c r="C784" t="inlineStr">
        <is>
          <t>NSW-QLD</t>
        </is>
      </c>
      <c r="D784" t="inlineStr">
        <is>
          <t>Virtus Health</t>
        </is>
      </c>
      <c r="E784" t="inlineStr">
        <is>
          <t>Genetic Scientist</t>
        </is>
      </c>
      <c r="F784" s="1" t="n">
        <v>45024</v>
      </c>
      <c r="H784" t="inlineStr">
        <is>
          <t>QS2024</t>
        </is>
      </c>
      <c r="I784" t="inlineStr">
        <is>
          <t>QLD</t>
        </is>
      </c>
      <c r="J784" t="inlineStr">
        <is>
          <t>Casual</t>
        </is>
      </c>
      <c r="K784" s="23" t="n">
        <v>45024</v>
      </c>
      <c r="L784" s="23" t="n">
        <v>45024</v>
      </c>
      <c r="O784" t="n">
        <v>22.8</v>
      </c>
    </row>
    <row r="785">
      <c r="A785" t="inlineStr">
        <is>
          <t>AU22937</t>
        </is>
      </c>
      <c r="B785" s="1" t="n"/>
      <c r="C785" t="inlineStr">
        <is>
          <t>NSW-QLD</t>
        </is>
      </c>
      <c r="D785" t="inlineStr">
        <is>
          <t>Virtus Health</t>
        </is>
      </c>
      <c r="E785" t="inlineStr">
        <is>
          <t>Genetic Laboratory Assistant</t>
        </is>
      </c>
      <c r="F785" s="1" t="n">
        <v>45115</v>
      </c>
      <c r="H785" t="inlineStr">
        <is>
          <t>QS2024</t>
        </is>
      </c>
      <c r="I785" t="inlineStr">
        <is>
          <t>QLD</t>
        </is>
      </c>
      <c r="J785" t="inlineStr">
        <is>
          <t>Casual</t>
        </is>
      </c>
      <c r="K785" s="23" t="n">
        <v>45115</v>
      </c>
      <c r="L785" s="23" t="n">
        <v>45115</v>
      </c>
      <c r="O785" t="n">
        <v>38</v>
      </c>
    </row>
    <row r="786">
      <c r="A786" t="inlineStr">
        <is>
          <t>AU22939</t>
        </is>
      </c>
      <c r="B786" s="1" t="n"/>
      <c r="C786" t="inlineStr">
        <is>
          <t>NSW-QLD</t>
        </is>
      </c>
      <c r="D786" t="inlineStr">
        <is>
          <t>Virtus Health</t>
        </is>
      </c>
      <c r="E786" t="inlineStr">
        <is>
          <t>Genetic Laboratory Assistant</t>
        </is>
      </c>
      <c r="F786" s="1" t="n">
        <v>45115</v>
      </c>
      <c r="H786" t="inlineStr">
        <is>
          <t>QS2024</t>
        </is>
      </c>
      <c r="I786" t="inlineStr">
        <is>
          <t>QLD</t>
        </is>
      </c>
      <c r="J786" t="inlineStr">
        <is>
          <t>Part Time</t>
        </is>
      </c>
      <c r="K786" s="23" t="n">
        <v>45115</v>
      </c>
      <c r="L786" s="23" t="n">
        <v>45115</v>
      </c>
      <c r="O786" t="n">
        <v>30.4</v>
      </c>
    </row>
    <row r="787">
      <c r="A787" t="inlineStr">
        <is>
          <t>AU22946</t>
        </is>
      </c>
      <c r="C787" t="inlineStr">
        <is>
          <t>VIC-TAS</t>
        </is>
      </c>
      <c r="D787" t="inlineStr">
        <is>
          <t>Virtus Health</t>
        </is>
      </c>
      <c r="E787" t="inlineStr">
        <is>
          <t>Medical Scientist</t>
        </is>
      </c>
      <c r="F787" t="inlineStr">
        <is>
          <t>8/30/2023</t>
        </is>
      </c>
      <c r="H787" t="inlineStr">
        <is>
          <t>MIVFS2022</t>
        </is>
      </c>
      <c r="I787" t="inlineStr">
        <is>
          <t>VIC</t>
        </is>
      </c>
      <c r="J787" t="inlineStr">
        <is>
          <t>Full Time</t>
        </is>
      </c>
      <c r="K787" s="23" t="inlineStr">
        <is>
          <t>8/30/2023</t>
        </is>
      </c>
      <c r="L787" s="23" t="inlineStr">
        <is>
          <t>8/30/2023</t>
        </is>
      </c>
      <c r="O787" t="n">
        <v>38</v>
      </c>
    </row>
    <row r="788">
      <c r="A788" t="inlineStr">
        <is>
          <t>AU22947</t>
        </is>
      </c>
      <c r="B788" s="1" t="n"/>
      <c r="C788" t="inlineStr">
        <is>
          <t>NSW-QLD</t>
        </is>
      </c>
      <c r="D788" t="inlineStr">
        <is>
          <t>Virtus Health</t>
        </is>
      </c>
      <c r="E788" t="inlineStr">
        <is>
          <t>Genetic Scientist</t>
        </is>
      </c>
      <c r="F788" s="1" t="n">
        <v>45115</v>
      </c>
      <c r="H788" t="inlineStr">
        <is>
          <t>QS2024</t>
        </is>
      </c>
      <c r="I788" t="inlineStr">
        <is>
          <t>QLD</t>
        </is>
      </c>
      <c r="J788" t="inlineStr">
        <is>
          <t>Full Time</t>
        </is>
      </c>
      <c r="K788" s="23" t="n">
        <v>45115</v>
      </c>
      <c r="L788" s="23" t="n">
        <v>45115</v>
      </c>
      <c r="O788" t="n">
        <v>38</v>
      </c>
    </row>
    <row r="789">
      <c r="A789" t="inlineStr">
        <is>
          <t>AU22950</t>
        </is>
      </c>
      <c r="B789" s="1" t="n"/>
      <c r="C789" t="inlineStr">
        <is>
          <t>NSW-QLD</t>
        </is>
      </c>
      <c r="D789" t="inlineStr">
        <is>
          <t>Virtus Health</t>
        </is>
      </c>
      <c r="E789" t="inlineStr">
        <is>
          <t>Registered Nurse</t>
        </is>
      </c>
      <c r="F789" s="1" t="n">
        <v>45024</v>
      </c>
      <c r="H789" t="inlineStr">
        <is>
          <t>IVFN2021</t>
        </is>
      </c>
      <c r="I789" t="inlineStr">
        <is>
          <t>NSW</t>
        </is>
      </c>
      <c r="J789" t="inlineStr">
        <is>
          <t>Casual</t>
        </is>
      </c>
      <c r="K789" s="23" t="n">
        <v>45024</v>
      </c>
      <c r="L789" s="23" t="n">
        <v>45024</v>
      </c>
      <c r="O789" t="n">
        <v>38</v>
      </c>
    </row>
    <row r="790">
      <c r="A790" t="inlineStr">
        <is>
          <t>AU22952</t>
        </is>
      </c>
      <c r="B790" s="1" t="n"/>
      <c r="C790" t="inlineStr">
        <is>
          <t>NSW-QLD</t>
        </is>
      </c>
      <c r="D790" t="inlineStr">
        <is>
          <t>Virtus Health</t>
        </is>
      </c>
      <c r="E790" t="inlineStr">
        <is>
          <t>Genetics Scientist</t>
        </is>
      </c>
      <c r="F790" s="1" t="n">
        <v>45239</v>
      </c>
      <c r="H790" t="inlineStr">
        <is>
          <t>IVFS2023</t>
        </is>
      </c>
      <c r="I790" t="inlineStr">
        <is>
          <t>NSW</t>
        </is>
      </c>
      <c r="J790" t="inlineStr">
        <is>
          <t>Full Time</t>
        </is>
      </c>
      <c r="K790" s="23" t="n">
        <v>45239</v>
      </c>
      <c r="L790" s="23" t="n">
        <v>45239</v>
      </c>
      <c r="O790" t="n">
        <v>25.5</v>
      </c>
    </row>
    <row r="791">
      <c r="A791" t="inlineStr">
        <is>
          <t>AU22953</t>
        </is>
      </c>
      <c r="C791" t="inlineStr">
        <is>
          <t>NSW-QLD</t>
        </is>
      </c>
      <c r="D791" t="inlineStr">
        <is>
          <t>Virtus Health</t>
        </is>
      </c>
      <c r="E791" t="inlineStr">
        <is>
          <t>Genetic Scientist</t>
        </is>
      </c>
      <c r="F791" t="inlineStr">
        <is>
          <t>8/21/2023</t>
        </is>
      </c>
      <c r="H791" t="inlineStr">
        <is>
          <t>QS2024</t>
        </is>
      </c>
      <c r="I791" t="inlineStr">
        <is>
          <t>QLD</t>
        </is>
      </c>
      <c r="J791" t="inlineStr">
        <is>
          <t>Full Time</t>
        </is>
      </c>
      <c r="K791" s="23" t="inlineStr">
        <is>
          <t>8/21/2023</t>
        </is>
      </c>
      <c r="L791" s="23" t="inlineStr">
        <is>
          <t>8/21/2023</t>
        </is>
      </c>
      <c r="O791" t="n">
        <v>38</v>
      </c>
    </row>
    <row r="792">
      <c r="A792" t="inlineStr">
        <is>
          <t>AU22955</t>
        </is>
      </c>
      <c r="C792" t="inlineStr">
        <is>
          <t>NSW-QLD</t>
        </is>
      </c>
      <c r="D792" t="inlineStr">
        <is>
          <t>Virtus Health</t>
        </is>
      </c>
      <c r="E792" t="inlineStr">
        <is>
          <t>Theatre Orderly</t>
        </is>
      </c>
      <c r="F792" t="inlineStr">
        <is>
          <t>8/15/2023</t>
        </is>
      </c>
      <c r="H792" t="inlineStr">
        <is>
          <t>IVFS2023</t>
        </is>
      </c>
      <c r="I792" t="inlineStr">
        <is>
          <t>NSW</t>
        </is>
      </c>
      <c r="J792" t="inlineStr">
        <is>
          <t>Casual</t>
        </is>
      </c>
      <c r="K792" s="23" t="inlineStr">
        <is>
          <t>8/15/2023</t>
        </is>
      </c>
      <c r="L792" s="23" t="inlineStr">
        <is>
          <t>8/15/2023</t>
        </is>
      </c>
      <c r="O792" t="n">
        <v>38</v>
      </c>
    </row>
    <row r="793">
      <c r="A793" t="inlineStr">
        <is>
          <t>AU22958</t>
        </is>
      </c>
      <c r="B793" s="1" t="n"/>
      <c r="C793" t="inlineStr">
        <is>
          <t>NSW-QLD</t>
        </is>
      </c>
      <c r="D793" t="inlineStr">
        <is>
          <t>Virtus Health</t>
        </is>
      </c>
      <c r="E793" t="inlineStr">
        <is>
          <t>Registered Nurse</t>
        </is>
      </c>
      <c r="F793" s="1" t="n">
        <v>44965</v>
      </c>
      <c r="H793" t="inlineStr">
        <is>
          <t>IVFN2021</t>
        </is>
      </c>
      <c r="I793" t="inlineStr">
        <is>
          <t>NSW</t>
        </is>
      </c>
      <c r="J793" t="inlineStr">
        <is>
          <t>Casual</t>
        </is>
      </c>
      <c r="K793" s="23" t="n">
        <v>44965</v>
      </c>
      <c r="L793" s="23" t="n">
        <v>44965</v>
      </c>
      <c r="O793" t="n">
        <v>38</v>
      </c>
    </row>
    <row r="794">
      <c r="A794" t="inlineStr">
        <is>
          <t>AU22959</t>
        </is>
      </c>
      <c r="C794" t="inlineStr">
        <is>
          <t>NSW-QLD</t>
        </is>
      </c>
      <c r="D794" t="inlineStr">
        <is>
          <t>Virtus Health</t>
        </is>
      </c>
      <c r="E794" t="inlineStr">
        <is>
          <t>Casual Phlebotomist/Administration</t>
        </is>
      </c>
      <c r="F794" t="inlineStr">
        <is>
          <t>8/30/2023</t>
        </is>
      </c>
      <c r="H794" t="inlineStr">
        <is>
          <t>IVFS2023</t>
        </is>
      </c>
      <c r="I794" t="inlineStr">
        <is>
          <t>QLD</t>
        </is>
      </c>
      <c r="J794" t="inlineStr">
        <is>
          <t>Casual</t>
        </is>
      </c>
      <c r="K794" s="23" t="inlineStr">
        <is>
          <t>8/30/2023</t>
        </is>
      </c>
      <c r="L794" s="23" t="inlineStr">
        <is>
          <t>8/30/2023</t>
        </is>
      </c>
      <c r="O794" t="n">
        <v>38</v>
      </c>
    </row>
    <row r="795">
      <c r="A795" t="inlineStr">
        <is>
          <t>AU22960</t>
        </is>
      </c>
      <c r="B795" s="1" t="n"/>
      <c r="C795" t="inlineStr">
        <is>
          <t>VIC-TAS</t>
        </is>
      </c>
      <c r="D795" t="inlineStr">
        <is>
          <t>Virtus Health</t>
        </is>
      </c>
      <c r="E795" t="inlineStr">
        <is>
          <t>Patient Liaison Administrator</t>
        </is>
      </c>
      <c r="F795" s="1" t="n">
        <v>45207</v>
      </c>
      <c r="H795" t="inlineStr">
        <is>
          <t>TIVF2024</t>
        </is>
      </c>
      <c r="I795" t="inlineStr">
        <is>
          <t>TAS</t>
        </is>
      </c>
      <c r="J795" t="inlineStr">
        <is>
          <t>Casual</t>
        </is>
      </c>
      <c r="K795" s="23" t="n">
        <v>45207</v>
      </c>
      <c r="L795" s="23" t="n">
        <v>45207</v>
      </c>
      <c r="O795" t="n">
        <v>38</v>
      </c>
    </row>
    <row r="796">
      <c r="A796" t="inlineStr">
        <is>
          <t>AU22961</t>
        </is>
      </c>
      <c r="C796" t="inlineStr">
        <is>
          <t>NSW-QLD</t>
        </is>
      </c>
      <c r="D796" t="inlineStr">
        <is>
          <t>Virtus Health</t>
        </is>
      </c>
      <c r="E796" t="inlineStr">
        <is>
          <t>Medical Receptionist/Administratiom</t>
        </is>
      </c>
      <c r="F796" t="inlineStr">
        <is>
          <t>8/28/2023</t>
        </is>
      </c>
      <c r="H796" t="inlineStr">
        <is>
          <t>IVFS2023</t>
        </is>
      </c>
      <c r="I796" t="inlineStr">
        <is>
          <t>QLD</t>
        </is>
      </c>
      <c r="J796" t="inlineStr">
        <is>
          <t>Part Time</t>
        </is>
      </c>
      <c r="K796" s="23" t="inlineStr">
        <is>
          <t>8/28/2023</t>
        </is>
      </c>
      <c r="L796" s="23" t="inlineStr">
        <is>
          <t>8/28/2023</t>
        </is>
      </c>
      <c r="O796" t="n">
        <v>38</v>
      </c>
    </row>
    <row r="797">
      <c r="A797" t="inlineStr">
        <is>
          <t>AU22963</t>
        </is>
      </c>
      <c r="C797" t="inlineStr">
        <is>
          <t>NSW-QLD</t>
        </is>
      </c>
      <c r="D797" t="inlineStr">
        <is>
          <t>Virtus Health</t>
        </is>
      </c>
      <c r="E797" t="inlineStr">
        <is>
          <t>Registered Nurse</t>
        </is>
      </c>
      <c r="F797" t="inlineStr">
        <is>
          <t>8/14/2023</t>
        </is>
      </c>
      <c r="H797" t="inlineStr">
        <is>
          <t>IVFN2021</t>
        </is>
      </c>
      <c r="I797" t="inlineStr">
        <is>
          <t>NSW</t>
        </is>
      </c>
      <c r="J797" t="inlineStr">
        <is>
          <t>Part Time</t>
        </is>
      </c>
      <c r="K797" s="23" t="inlineStr">
        <is>
          <t>8/14/2023</t>
        </is>
      </c>
      <c r="L797" s="23" t="inlineStr">
        <is>
          <t>8/14/2023</t>
        </is>
      </c>
      <c r="O797" t="n">
        <v>38</v>
      </c>
    </row>
    <row r="798">
      <c r="A798" t="inlineStr">
        <is>
          <t>AU22964</t>
        </is>
      </c>
      <c r="C798" t="inlineStr">
        <is>
          <t>NSW-QLD</t>
        </is>
      </c>
      <c r="D798" t="inlineStr">
        <is>
          <t>Virtus Health</t>
        </is>
      </c>
      <c r="E798" t="inlineStr">
        <is>
          <t>Admin Officer</t>
        </is>
      </c>
      <c r="F798" t="inlineStr">
        <is>
          <t>8/18/2023</t>
        </is>
      </c>
      <c r="H798" t="inlineStr">
        <is>
          <t>IVFS2023</t>
        </is>
      </c>
      <c r="I798" t="inlineStr">
        <is>
          <t>NSW</t>
        </is>
      </c>
      <c r="J798" t="inlineStr">
        <is>
          <t>Casual</t>
        </is>
      </c>
      <c r="K798" s="23" t="inlineStr">
        <is>
          <t>8/18/2023</t>
        </is>
      </c>
      <c r="L798" s="23" t="inlineStr">
        <is>
          <t>8/18/2023</t>
        </is>
      </c>
      <c r="O798" t="n">
        <v>32</v>
      </c>
    </row>
    <row r="799">
      <c r="A799" t="inlineStr">
        <is>
          <t>AU22968</t>
        </is>
      </c>
      <c r="B799" s="1" t="n"/>
      <c r="C799" t="inlineStr">
        <is>
          <t>VIC-TAS</t>
        </is>
      </c>
      <c r="D799" t="inlineStr">
        <is>
          <t>Virtus Health</t>
        </is>
      </c>
      <c r="E799" t="inlineStr">
        <is>
          <t>Registered Midwife</t>
        </is>
      </c>
      <c r="F799" s="1" t="n">
        <v>45025</v>
      </c>
      <c r="H799" t="inlineStr">
        <is>
          <t>MIVFN2023</t>
        </is>
      </c>
      <c r="I799" t="inlineStr">
        <is>
          <t>VIC</t>
        </is>
      </c>
      <c r="J799" t="inlineStr">
        <is>
          <t>Full Time</t>
        </is>
      </c>
      <c r="K799" s="23" t="n">
        <v>45025</v>
      </c>
      <c r="L799" s="23" t="n">
        <v>45025</v>
      </c>
      <c r="O799" t="n">
        <v>38</v>
      </c>
    </row>
    <row r="800">
      <c r="A800" t="inlineStr">
        <is>
          <t>AU22970</t>
        </is>
      </c>
      <c r="B800" s="1" t="n"/>
      <c r="C800" t="inlineStr">
        <is>
          <t>NSW-QLD</t>
        </is>
      </c>
      <c r="D800" t="inlineStr">
        <is>
          <t>Virtus Health</t>
        </is>
      </c>
      <c r="E800" t="inlineStr">
        <is>
          <t>Accounts Receivable Officer</t>
        </is>
      </c>
      <c r="F800" s="1" t="n">
        <v>45239</v>
      </c>
      <c r="H800" t="inlineStr">
        <is>
          <t>QLD</t>
        </is>
      </c>
      <c r="I800" t="inlineStr">
        <is>
          <t>QLD</t>
        </is>
      </c>
      <c r="J800" t="inlineStr">
        <is>
          <t>Full Time</t>
        </is>
      </c>
      <c r="K800" s="23" t="n">
        <v>45239</v>
      </c>
      <c r="L800" s="23" t="n">
        <v>45239</v>
      </c>
      <c r="O800" t="n">
        <v>38</v>
      </c>
    </row>
    <row r="801">
      <c r="A801" t="inlineStr">
        <is>
          <t>AU22973</t>
        </is>
      </c>
      <c r="C801" t="inlineStr">
        <is>
          <t>VIC-TAS</t>
        </is>
      </c>
      <c r="D801" t="inlineStr">
        <is>
          <t>Virtus Health</t>
        </is>
      </c>
      <c r="E801" t="inlineStr">
        <is>
          <t>Accounts Receivable Administrator</t>
        </is>
      </c>
      <c r="F801" t="inlineStr">
        <is>
          <t>8/30/2023</t>
        </is>
      </c>
      <c r="H801" t="inlineStr">
        <is>
          <t>MIVFS2022</t>
        </is>
      </c>
      <c r="I801" t="inlineStr">
        <is>
          <t>VIC</t>
        </is>
      </c>
      <c r="J801" t="inlineStr">
        <is>
          <t>Full Time</t>
        </is>
      </c>
      <c r="K801" s="23" t="inlineStr">
        <is>
          <t>8/30/2023</t>
        </is>
      </c>
      <c r="L801" s="23" t="inlineStr">
        <is>
          <t>8/30/2023</t>
        </is>
      </c>
      <c r="O801" t="n">
        <v>38</v>
      </c>
    </row>
    <row r="802">
      <c r="A802" t="inlineStr">
        <is>
          <t>AU22974</t>
        </is>
      </c>
      <c r="B802" s="1" t="n"/>
      <c r="C802" t="inlineStr">
        <is>
          <t>VIC-TAS</t>
        </is>
      </c>
      <c r="D802" t="inlineStr">
        <is>
          <t>Virtus Health</t>
        </is>
      </c>
      <c r="E802" t="inlineStr">
        <is>
          <t>Registered Nurse</t>
        </is>
      </c>
      <c r="F802" s="1" t="n">
        <v>45025</v>
      </c>
      <c r="H802" t="inlineStr">
        <is>
          <t>MIVFN2023</t>
        </is>
      </c>
      <c r="I802" t="inlineStr">
        <is>
          <t>VIC</t>
        </is>
      </c>
      <c r="J802" t="inlineStr">
        <is>
          <t>Full Time</t>
        </is>
      </c>
      <c r="K802" s="23" t="n">
        <v>45025</v>
      </c>
      <c r="L802" s="23" t="n">
        <v>45025</v>
      </c>
      <c r="O802" t="n">
        <v>38</v>
      </c>
    </row>
    <row r="803">
      <c r="A803" t="inlineStr">
        <is>
          <t>AU22975</t>
        </is>
      </c>
      <c r="B803" s="1" t="n"/>
      <c r="C803" t="inlineStr">
        <is>
          <t>VIC-TAS</t>
        </is>
      </c>
      <c r="D803" t="inlineStr">
        <is>
          <t>Virtus Health</t>
        </is>
      </c>
      <c r="E803" t="inlineStr">
        <is>
          <t>Registered Nurse</t>
        </is>
      </c>
      <c r="F803" s="1" t="n">
        <v>45269</v>
      </c>
      <c r="H803" t="inlineStr">
        <is>
          <t>TIVF2024</t>
        </is>
      </c>
      <c r="I803" t="inlineStr">
        <is>
          <t>TAS</t>
        </is>
      </c>
      <c r="J803" t="inlineStr">
        <is>
          <t>Casual</t>
        </is>
      </c>
      <c r="K803" s="23" t="n">
        <v>45269</v>
      </c>
      <c r="L803" s="23" t="n">
        <v>45269</v>
      </c>
      <c r="O803" t="n">
        <v>38</v>
      </c>
    </row>
    <row r="804">
      <c r="A804" t="inlineStr">
        <is>
          <t>AU22976</t>
        </is>
      </c>
      <c r="C804" t="inlineStr">
        <is>
          <t>NSW-QLD</t>
        </is>
      </c>
      <c r="D804" t="inlineStr">
        <is>
          <t>Virtus Health</t>
        </is>
      </c>
      <c r="E804" t="inlineStr">
        <is>
          <t>Assistant in Nursing</t>
        </is>
      </c>
      <c r="F804" t="inlineStr">
        <is>
          <t>8/28/2023</t>
        </is>
      </c>
      <c r="H804" t="inlineStr">
        <is>
          <t>IVFN2021</t>
        </is>
      </c>
      <c r="I804" t="inlineStr">
        <is>
          <t>NSW</t>
        </is>
      </c>
      <c r="J804" t="inlineStr">
        <is>
          <t>Casual</t>
        </is>
      </c>
      <c r="K804" s="23" t="inlineStr">
        <is>
          <t>8/28/2023</t>
        </is>
      </c>
      <c r="L804" s="23" t="inlineStr">
        <is>
          <t>8/28/2023</t>
        </is>
      </c>
      <c r="O804" t="n">
        <v>24</v>
      </c>
    </row>
    <row r="805">
      <c r="A805" t="inlineStr">
        <is>
          <t>AU22978</t>
        </is>
      </c>
      <c r="B805" s="1" t="n"/>
      <c r="C805" t="inlineStr">
        <is>
          <t>NSW-QLD</t>
        </is>
      </c>
      <c r="D805" t="inlineStr">
        <is>
          <t>Virtus Health</t>
        </is>
      </c>
      <c r="E805" t="inlineStr">
        <is>
          <t>Registered Nurse</t>
        </is>
      </c>
      <c r="F805" t="inlineStr">
        <is>
          <t>9/13/2023</t>
        </is>
      </c>
      <c r="H805" t="inlineStr">
        <is>
          <t>QN2025</t>
        </is>
      </c>
      <c r="I805" t="inlineStr">
        <is>
          <t>QLD</t>
        </is>
      </c>
      <c r="J805" t="inlineStr">
        <is>
          <t>Full Time</t>
        </is>
      </c>
      <c r="K805" s="23" t="inlineStr">
        <is>
          <t>9/13/2023</t>
        </is>
      </c>
      <c r="L805" s="23" t="inlineStr">
        <is>
          <t>9/13/2023</t>
        </is>
      </c>
      <c r="O805" t="n">
        <v>38</v>
      </c>
    </row>
    <row r="806">
      <c r="A806" t="inlineStr">
        <is>
          <t>AU22980</t>
        </is>
      </c>
      <c r="C806" t="inlineStr">
        <is>
          <t>NSW-QLD</t>
        </is>
      </c>
      <c r="D806" t="inlineStr">
        <is>
          <t>Virtus Health</t>
        </is>
      </c>
      <c r="E806" t="inlineStr">
        <is>
          <t>Enrolled Nurse</t>
        </is>
      </c>
      <c r="F806" t="inlineStr">
        <is>
          <t>8/27/2023</t>
        </is>
      </c>
      <c r="H806" t="inlineStr">
        <is>
          <t>IVFN2021</t>
        </is>
      </c>
      <c r="I806" t="inlineStr">
        <is>
          <t>NSW</t>
        </is>
      </c>
      <c r="J806" t="inlineStr">
        <is>
          <t>Casual</t>
        </is>
      </c>
      <c r="K806" s="23" t="inlineStr">
        <is>
          <t>8/27/2023</t>
        </is>
      </c>
      <c r="L806" s="23" t="inlineStr">
        <is>
          <t>8/27/2023</t>
        </is>
      </c>
      <c r="O806" t="n">
        <v>30.4</v>
      </c>
    </row>
    <row r="807">
      <c r="A807" t="inlineStr">
        <is>
          <t>AU22981</t>
        </is>
      </c>
      <c r="C807" t="inlineStr">
        <is>
          <t>VIC-TAS</t>
        </is>
      </c>
      <c r="D807" t="inlineStr">
        <is>
          <t>Virtus Health</t>
        </is>
      </c>
      <c r="E807" t="inlineStr">
        <is>
          <t>Registered Nurse</t>
        </is>
      </c>
      <c r="F807" t="inlineStr">
        <is>
          <t>9/22/2023</t>
        </is>
      </c>
      <c r="H807" t="inlineStr">
        <is>
          <t>TIVF2024</t>
        </is>
      </c>
      <c r="I807" t="inlineStr">
        <is>
          <t>TAS</t>
        </is>
      </c>
      <c r="J807" t="inlineStr">
        <is>
          <t>Casual</t>
        </is>
      </c>
      <c r="K807" s="23" t="inlineStr">
        <is>
          <t>9/22/2023</t>
        </is>
      </c>
      <c r="L807" s="23" t="inlineStr">
        <is>
          <t>9/22/2023</t>
        </is>
      </c>
      <c r="O807" t="n">
        <v>38</v>
      </c>
    </row>
    <row r="808">
      <c r="A808" t="inlineStr">
        <is>
          <t>AU22987</t>
        </is>
      </c>
      <c r="B808" s="1" t="n"/>
      <c r="C808" t="inlineStr">
        <is>
          <t>VIC-TAS</t>
        </is>
      </c>
      <c r="D808" t="inlineStr">
        <is>
          <t>Virtus Health</t>
        </is>
      </c>
      <c r="E808" t="inlineStr">
        <is>
          <t>PGT Scientist</t>
        </is>
      </c>
      <c r="F808" s="1" t="n">
        <v>45179</v>
      </c>
      <c r="H808" t="inlineStr">
        <is>
          <t>MIVFS2022</t>
        </is>
      </c>
      <c r="I808" t="inlineStr">
        <is>
          <t>VIC</t>
        </is>
      </c>
      <c r="J808" t="inlineStr">
        <is>
          <t>Part Time</t>
        </is>
      </c>
      <c r="K808" s="23" t="n">
        <v>45179</v>
      </c>
      <c r="L808" s="23" t="n">
        <v>45179</v>
      </c>
      <c r="O808" t="n">
        <v>30.4</v>
      </c>
    </row>
    <row r="809">
      <c r="A809" t="inlineStr">
        <is>
          <t>AU22990</t>
        </is>
      </c>
      <c r="B809" s="1" t="n"/>
      <c r="C809" t="inlineStr">
        <is>
          <t>NSW-QLD</t>
        </is>
      </c>
      <c r="D809" t="inlineStr">
        <is>
          <t>Virtus Health</t>
        </is>
      </c>
      <c r="E809" t="inlineStr">
        <is>
          <t>Registered Nurse</t>
        </is>
      </c>
      <c r="F809" s="1" t="n">
        <v>45087</v>
      </c>
      <c r="H809" t="inlineStr">
        <is>
          <t>IVFN2021</t>
        </is>
      </c>
      <c r="I809" t="inlineStr">
        <is>
          <t>NSW</t>
        </is>
      </c>
      <c r="J809" t="inlineStr">
        <is>
          <t>Casual</t>
        </is>
      </c>
      <c r="K809" s="23" t="n">
        <v>45087</v>
      </c>
      <c r="L809" s="23" t="n">
        <v>45087</v>
      </c>
      <c r="O809" t="n">
        <v>38</v>
      </c>
    </row>
    <row r="810">
      <c r="A810" t="inlineStr">
        <is>
          <t>AU22993</t>
        </is>
      </c>
      <c r="B810" s="1" t="n"/>
      <c r="C810" t="inlineStr">
        <is>
          <t>NSW-QLD</t>
        </is>
      </c>
      <c r="D810" t="inlineStr">
        <is>
          <t>Virtus Health</t>
        </is>
      </c>
      <c r="E810" t="inlineStr">
        <is>
          <t>Registered Nurse</t>
        </is>
      </c>
      <c r="F810" s="1" t="n">
        <v>45056</v>
      </c>
      <c r="H810" t="inlineStr">
        <is>
          <t>IVFN2021</t>
        </is>
      </c>
      <c r="I810" t="inlineStr">
        <is>
          <t>NSW</t>
        </is>
      </c>
      <c r="J810" t="inlineStr">
        <is>
          <t>Casual</t>
        </is>
      </c>
      <c r="K810" s="23" t="n">
        <v>45056</v>
      </c>
      <c r="L810" s="23" t="n">
        <v>45056</v>
      </c>
      <c r="O810" t="n">
        <v>38</v>
      </c>
    </row>
    <row r="811">
      <c r="A811" t="inlineStr">
        <is>
          <t>AU22994</t>
        </is>
      </c>
      <c r="C811" t="inlineStr">
        <is>
          <t>NSW-QLD</t>
        </is>
      </c>
      <c r="D811" t="inlineStr">
        <is>
          <t>Virtus Health</t>
        </is>
      </c>
      <c r="E811" t="inlineStr">
        <is>
          <t xml:space="preserve"> Embryologist</t>
        </is>
      </c>
      <c r="F811" t="inlineStr">
        <is>
          <t>10/18/2023</t>
        </is>
      </c>
      <c r="H811" t="inlineStr">
        <is>
          <t>QS2024</t>
        </is>
      </c>
      <c r="I811" t="inlineStr">
        <is>
          <t>QLD</t>
        </is>
      </c>
      <c r="J811" t="inlineStr">
        <is>
          <t>Full Time</t>
        </is>
      </c>
      <c r="K811" s="23" t="inlineStr">
        <is>
          <t>10/18/2023</t>
        </is>
      </c>
      <c r="L811" s="23" t="inlineStr">
        <is>
          <t>10/18/2023</t>
        </is>
      </c>
      <c r="O811" t="n">
        <v>38</v>
      </c>
    </row>
    <row r="812">
      <c r="A812" t="inlineStr">
        <is>
          <t>AU22995</t>
        </is>
      </c>
      <c r="B812" s="1" t="n"/>
      <c r="C812" t="inlineStr">
        <is>
          <t>NSW-QLD</t>
        </is>
      </c>
      <c r="D812" t="inlineStr">
        <is>
          <t>Virtus Health</t>
        </is>
      </c>
      <c r="E812" t="inlineStr">
        <is>
          <t>Registered Nurse</t>
        </is>
      </c>
      <c r="F812" s="1" t="n">
        <v>45179</v>
      </c>
      <c r="H812" t="inlineStr">
        <is>
          <t>IVFN2021</t>
        </is>
      </c>
      <c r="I812" t="inlineStr">
        <is>
          <t>NSW</t>
        </is>
      </c>
      <c r="J812" t="inlineStr">
        <is>
          <t>Casual</t>
        </is>
      </c>
      <c r="K812" s="23" t="n">
        <v>45179</v>
      </c>
      <c r="L812" s="23" t="n">
        <v>45179</v>
      </c>
      <c r="O812" t="n">
        <v>38</v>
      </c>
    </row>
    <row r="813">
      <c r="A813" t="inlineStr">
        <is>
          <t>AU22997</t>
        </is>
      </c>
      <c r="B813" s="1" t="n"/>
      <c r="C813" t="inlineStr">
        <is>
          <t>NSW-QLD</t>
        </is>
      </c>
      <c r="D813" t="inlineStr">
        <is>
          <t>Virtus Health</t>
        </is>
      </c>
      <c r="E813" t="inlineStr">
        <is>
          <t>Bioinformation</t>
        </is>
      </c>
      <c r="F813" s="1" t="n">
        <v>45179</v>
      </c>
      <c r="H813" t="inlineStr">
        <is>
          <t>IVFS2023</t>
        </is>
      </c>
      <c r="I813" t="inlineStr">
        <is>
          <t>NSW</t>
        </is>
      </c>
      <c r="J813" t="inlineStr">
        <is>
          <t>Full Time</t>
        </is>
      </c>
      <c r="K813" s="23" t="n">
        <v>45179</v>
      </c>
      <c r="L813" s="23" t="n">
        <v>45179</v>
      </c>
      <c r="O813" t="n">
        <v>38</v>
      </c>
    </row>
    <row r="814">
      <c r="A814" t="inlineStr">
        <is>
          <t>AU22998</t>
        </is>
      </c>
      <c r="B814" s="1" t="n"/>
      <c r="C814" t="inlineStr">
        <is>
          <t>NSW-QLD</t>
        </is>
      </c>
      <c r="D814" t="inlineStr">
        <is>
          <t>Virtus Health</t>
        </is>
      </c>
      <c r="E814" t="inlineStr">
        <is>
          <t>Genetics Scientist</t>
        </is>
      </c>
      <c r="F814" s="1" t="n">
        <v>45240</v>
      </c>
      <c r="H814" t="inlineStr">
        <is>
          <t>IVFS2023</t>
        </is>
      </c>
      <c r="I814" t="inlineStr">
        <is>
          <t>NSW</t>
        </is>
      </c>
      <c r="J814" t="inlineStr">
        <is>
          <t>Full Time</t>
        </is>
      </c>
      <c r="K814" s="23" t="n">
        <v>45240</v>
      </c>
      <c r="L814" s="23" t="n">
        <v>45240</v>
      </c>
      <c r="O814" t="n">
        <v>38</v>
      </c>
    </row>
    <row r="815">
      <c r="A815" t="inlineStr">
        <is>
          <t>AU23002</t>
        </is>
      </c>
      <c r="C815" t="inlineStr">
        <is>
          <t>NSW-QLD</t>
        </is>
      </c>
      <c r="D815" t="inlineStr">
        <is>
          <t>Virtus Health</t>
        </is>
      </c>
      <c r="E815" t="inlineStr">
        <is>
          <t>Medical Secretary</t>
        </is>
      </c>
      <c r="F815" t="inlineStr">
        <is>
          <t>10/16/2023</t>
        </is>
      </c>
      <c r="H815" t="inlineStr">
        <is>
          <t>IVFS2023</t>
        </is>
      </c>
      <c r="I815" t="inlineStr">
        <is>
          <t>NSW</t>
        </is>
      </c>
      <c r="J815" t="inlineStr">
        <is>
          <t>Part Time</t>
        </is>
      </c>
      <c r="K815" s="23" t="inlineStr">
        <is>
          <t>10/16/2023</t>
        </is>
      </c>
      <c r="L815" s="23" t="inlineStr">
        <is>
          <t>10/16/2023</t>
        </is>
      </c>
      <c r="O815" t="n">
        <v>38</v>
      </c>
    </row>
    <row r="816">
      <c r="A816" t="inlineStr">
        <is>
          <t>AU23004</t>
        </is>
      </c>
      <c r="C816" t="inlineStr">
        <is>
          <t>VIC-TAS</t>
        </is>
      </c>
      <c r="D816" t="inlineStr">
        <is>
          <t>Virtus Health</t>
        </is>
      </c>
      <c r="E816" t="inlineStr">
        <is>
          <t>Enrolled Nurse</t>
        </is>
      </c>
      <c r="F816" t="inlineStr">
        <is>
          <t>10/25/2023</t>
        </is>
      </c>
      <c r="H816" t="inlineStr">
        <is>
          <t>TIVF2024</t>
        </is>
      </c>
      <c r="I816" t="inlineStr">
        <is>
          <t>TAS</t>
        </is>
      </c>
      <c r="J816" t="inlineStr">
        <is>
          <t>Casual</t>
        </is>
      </c>
      <c r="K816" s="23" t="inlineStr">
        <is>
          <t>10/25/2023</t>
        </is>
      </c>
      <c r="L816" s="23" t="inlineStr">
        <is>
          <t>10/25/2023</t>
        </is>
      </c>
      <c r="O816" t="n">
        <v>38</v>
      </c>
    </row>
    <row r="817">
      <c r="A817" t="inlineStr">
        <is>
          <t>AU23006</t>
        </is>
      </c>
      <c r="B817" s="1" t="n"/>
      <c r="C817" t="inlineStr">
        <is>
          <t>VIC-TAS</t>
        </is>
      </c>
      <c r="D817" t="inlineStr">
        <is>
          <t>Virtus Health</t>
        </is>
      </c>
      <c r="E817" t="inlineStr">
        <is>
          <t>IVF Laboratory Administrator Team Leader</t>
        </is>
      </c>
      <c r="F817" s="1" t="n">
        <v>45239</v>
      </c>
      <c r="H817" t="inlineStr">
        <is>
          <t>MIVFS2022</t>
        </is>
      </c>
      <c r="I817" t="inlineStr">
        <is>
          <t>VIC</t>
        </is>
      </c>
      <c r="J817" t="inlineStr">
        <is>
          <t>Part Time</t>
        </is>
      </c>
      <c r="K817" s="23" t="n">
        <v>45239</v>
      </c>
      <c r="L817" s="23" t="n">
        <v>45239</v>
      </c>
      <c r="O817" t="n">
        <v>24</v>
      </c>
    </row>
    <row r="818">
      <c r="A818" t="inlineStr">
        <is>
          <t>AU23008</t>
        </is>
      </c>
      <c r="B818" s="1" t="n"/>
      <c r="C818" t="inlineStr">
        <is>
          <t>VIC-TAS</t>
        </is>
      </c>
      <c r="D818" t="inlineStr">
        <is>
          <t>Virtus Health</t>
        </is>
      </c>
      <c r="E818" t="inlineStr">
        <is>
          <t>Theatre Orderly</t>
        </is>
      </c>
      <c r="F818" s="1" t="n">
        <v>44967</v>
      </c>
      <c r="H818" t="inlineStr">
        <is>
          <t>TIVF2024</t>
        </is>
      </c>
      <c r="I818" t="inlineStr">
        <is>
          <t>TAS</t>
        </is>
      </c>
      <c r="J818" t="inlineStr">
        <is>
          <t>Casual</t>
        </is>
      </c>
      <c r="K818" s="23" t="n">
        <v>44967</v>
      </c>
      <c r="L818" s="23" t="n">
        <v>44967</v>
      </c>
      <c r="O818" t="n">
        <v>38</v>
      </c>
    </row>
    <row r="819">
      <c r="A819" t="inlineStr">
        <is>
          <t>AU23009</t>
        </is>
      </c>
      <c r="C819" t="inlineStr">
        <is>
          <t>NSW-QLD</t>
        </is>
      </c>
      <c r="D819" t="inlineStr">
        <is>
          <t>Virtus Health</t>
        </is>
      </c>
      <c r="E819" t="inlineStr">
        <is>
          <t>Pracrtice Manager</t>
        </is>
      </c>
      <c r="F819" t="inlineStr">
        <is>
          <t>11/14/2023</t>
        </is>
      </c>
      <c r="H819" t="inlineStr">
        <is>
          <t>IVFS2023</t>
        </is>
      </c>
      <c r="I819" t="inlineStr">
        <is>
          <t>NSW</t>
        </is>
      </c>
      <c r="J819" t="inlineStr">
        <is>
          <t>Full Time</t>
        </is>
      </c>
      <c r="K819" s="23" t="inlineStr">
        <is>
          <t>11/14/2023</t>
        </is>
      </c>
      <c r="L819" s="23" t="inlineStr">
        <is>
          <t>11/14/2023</t>
        </is>
      </c>
      <c r="O819" t="n">
        <v>38</v>
      </c>
    </row>
    <row r="820">
      <c r="A820" t="inlineStr">
        <is>
          <t>AU23013</t>
        </is>
      </c>
      <c r="C820" t="inlineStr">
        <is>
          <t>NSW-QLD</t>
        </is>
      </c>
      <c r="D820" t="inlineStr">
        <is>
          <t>Virtus Health</t>
        </is>
      </c>
      <c r="E820" t="inlineStr">
        <is>
          <t>Registered Nurse</t>
        </is>
      </c>
      <c r="F820" t="inlineStr">
        <is>
          <t>10/16/2023</t>
        </is>
      </c>
      <c r="H820" t="inlineStr">
        <is>
          <t>IVFN2021</t>
        </is>
      </c>
      <c r="I820" t="inlineStr">
        <is>
          <t>NSW</t>
        </is>
      </c>
      <c r="J820" t="inlineStr">
        <is>
          <t>Casual</t>
        </is>
      </c>
      <c r="K820" s="23" t="inlineStr">
        <is>
          <t>10/16/2023</t>
        </is>
      </c>
      <c r="L820" s="23" t="inlineStr">
        <is>
          <t>10/16/2023</t>
        </is>
      </c>
      <c r="O820" t="n">
        <v>38</v>
      </c>
    </row>
    <row r="821">
      <c r="A821" t="inlineStr">
        <is>
          <t>AU23014</t>
        </is>
      </c>
      <c r="C821" t="inlineStr">
        <is>
          <t>NSW-QLD</t>
        </is>
      </c>
      <c r="D821" t="inlineStr">
        <is>
          <t>Virtus Health</t>
        </is>
      </c>
      <c r="E821" t="inlineStr">
        <is>
          <t>Counsellor</t>
        </is>
      </c>
      <c r="F821" t="inlineStr">
        <is>
          <t>10/31/2023</t>
        </is>
      </c>
      <c r="H821" t="inlineStr">
        <is>
          <t>IVFC2022</t>
        </is>
      </c>
      <c r="I821" t="inlineStr">
        <is>
          <t>QLD</t>
        </is>
      </c>
      <c r="J821" t="inlineStr">
        <is>
          <t>Part Time</t>
        </is>
      </c>
      <c r="K821" s="23" t="inlineStr">
        <is>
          <t>10/31/2023</t>
        </is>
      </c>
      <c r="L821" s="23" t="inlineStr">
        <is>
          <t>10/31/2023</t>
        </is>
      </c>
      <c r="O821" t="n">
        <v>38</v>
      </c>
    </row>
    <row r="822">
      <c r="A822" t="inlineStr">
        <is>
          <t>AU23015</t>
        </is>
      </c>
      <c r="C822" t="inlineStr">
        <is>
          <t>VIC-TAS</t>
        </is>
      </c>
      <c r="D822" t="inlineStr">
        <is>
          <t>Virtus Health</t>
        </is>
      </c>
      <c r="E822" t="inlineStr">
        <is>
          <t>Enrolled Nurse</t>
        </is>
      </c>
      <c r="F822" t="inlineStr">
        <is>
          <t>9/29/2023</t>
        </is>
      </c>
      <c r="H822" t="inlineStr">
        <is>
          <t>MIVFN2023</t>
        </is>
      </c>
      <c r="I822" t="inlineStr">
        <is>
          <t>VIC</t>
        </is>
      </c>
      <c r="J822" t="inlineStr">
        <is>
          <t>Casual</t>
        </is>
      </c>
      <c r="K822" s="23" t="inlineStr">
        <is>
          <t>9/29/2023</t>
        </is>
      </c>
      <c r="L822" s="23" t="inlineStr">
        <is>
          <t>9/29/2023</t>
        </is>
      </c>
      <c r="O822" t="n">
        <v>38</v>
      </c>
    </row>
    <row r="823">
      <c r="A823" t="inlineStr">
        <is>
          <t>AU23018</t>
        </is>
      </c>
      <c r="C823" t="inlineStr">
        <is>
          <t>NSW-QLD</t>
        </is>
      </c>
      <c r="D823" t="inlineStr">
        <is>
          <t>Virtus Health</t>
        </is>
      </c>
      <c r="E823" t="inlineStr">
        <is>
          <t>Registered Nurse</t>
        </is>
      </c>
      <c r="F823" t="inlineStr">
        <is>
          <t>9/25/2023</t>
        </is>
      </c>
      <c r="H823" t="inlineStr">
        <is>
          <t>IVFN2021</t>
        </is>
      </c>
      <c r="I823" t="inlineStr">
        <is>
          <t>NSW</t>
        </is>
      </c>
      <c r="J823" t="inlineStr">
        <is>
          <t>Casual</t>
        </is>
      </c>
      <c r="K823" s="23" t="inlineStr">
        <is>
          <t>9/25/2023</t>
        </is>
      </c>
      <c r="L823" s="23" t="inlineStr">
        <is>
          <t>9/25/2023</t>
        </is>
      </c>
      <c r="O823" t="n">
        <v>38</v>
      </c>
    </row>
    <row r="824">
      <c r="A824" t="inlineStr">
        <is>
          <t>AU23020</t>
        </is>
      </c>
      <c r="B824" s="1" t="n"/>
      <c r="C824" t="inlineStr">
        <is>
          <t>NSW-QLD</t>
        </is>
      </c>
      <c r="D824" t="inlineStr">
        <is>
          <t>Virtus Health</t>
        </is>
      </c>
      <c r="E824" t="inlineStr">
        <is>
          <t>Payroll Manager</t>
        </is>
      </c>
      <c r="F824" s="1" t="n">
        <v>45242</v>
      </c>
      <c r="H824" t="inlineStr">
        <is>
          <t>NSW</t>
        </is>
      </c>
      <c r="I824" t="inlineStr">
        <is>
          <t>NSW</t>
        </is>
      </c>
      <c r="J824" t="inlineStr">
        <is>
          <t>Full Time</t>
        </is>
      </c>
      <c r="K824" s="23" t="n">
        <v>45242</v>
      </c>
      <c r="L824" s="23" t="n">
        <v>45242</v>
      </c>
      <c r="O824" t="n">
        <v>38</v>
      </c>
    </row>
    <row r="825">
      <c r="A825" t="inlineStr">
        <is>
          <t>AU23023</t>
        </is>
      </c>
      <c r="B825" s="1" t="n"/>
      <c r="C825" t="inlineStr">
        <is>
          <t>NSW-QLD</t>
        </is>
      </c>
      <c r="D825" t="inlineStr">
        <is>
          <t>Virtus Health</t>
        </is>
      </c>
      <c r="E825" t="inlineStr">
        <is>
          <t>Assistant in Nursing</t>
        </is>
      </c>
      <c r="F825" t="inlineStr">
        <is>
          <t>11/13/2023</t>
        </is>
      </c>
      <c r="H825" t="inlineStr">
        <is>
          <t>IVFN2021</t>
        </is>
      </c>
      <c r="I825" t="inlineStr">
        <is>
          <t>NSW</t>
        </is>
      </c>
      <c r="J825" t="inlineStr">
        <is>
          <t>Casual</t>
        </is>
      </c>
      <c r="K825" s="23" t="inlineStr">
        <is>
          <t>11/13/2023</t>
        </is>
      </c>
      <c r="L825" s="23" t="inlineStr">
        <is>
          <t>11/13/2023</t>
        </is>
      </c>
      <c r="O825" t="n">
        <v>30.4</v>
      </c>
    </row>
    <row r="826">
      <c r="A826" t="inlineStr">
        <is>
          <t>AU23025</t>
        </is>
      </c>
      <c r="C826" t="inlineStr">
        <is>
          <t>NSW-QLD</t>
        </is>
      </c>
      <c r="D826" t="inlineStr">
        <is>
          <t>Virtus Health</t>
        </is>
      </c>
      <c r="E826" t="inlineStr">
        <is>
          <t xml:space="preserve"> Embryologist</t>
        </is>
      </c>
      <c r="F826" t="inlineStr">
        <is>
          <t>11/20/2023</t>
        </is>
      </c>
      <c r="H826" t="inlineStr">
        <is>
          <t>IVFT2024</t>
        </is>
      </c>
      <c r="I826" t="inlineStr">
        <is>
          <t>NSW</t>
        </is>
      </c>
      <c r="J826" t="inlineStr">
        <is>
          <t>Full Time</t>
        </is>
      </c>
      <c r="K826" s="23" t="inlineStr">
        <is>
          <t>11/20/2023</t>
        </is>
      </c>
      <c r="L826" s="23" t="inlineStr">
        <is>
          <t>11/20/2023</t>
        </is>
      </c>
      <c r="O826" t="n">
        <v>38</v>
      </c>
    </row>
    <row r="827">
      <c r="A827" t="inlineStr">
        <is>
          <t>AU23027</t>
        </is>
      </c>
      <c r="C827" t="inlineStr">
        <is>
          <t>NSW-QLD</t>
        </is>
      </c>
      <c r="D827" t="inlineStr">
        <is>
          <t>Virtus Health</t>
        </is>
      </c>
      <c r="E827" t="inlineStr">
        <is>
          <t xml:space="preserve"> Embryologist</t>
        </is>
      </c>
      <c r="F827" t="inlineStr">
        <is>
          <t>1/23/2024</t>
        </is>
      </c>
      <c r="H827" t="inlineStr">
        <is>
          <t>IVFT2024</t>
        </is>
      </c>
      <c r="I827" t="inlineStr">
        <is>
          <t>NSW</t>
        </is>
      </c>
      <c r="J827" t="inlineStr">
        <is>
          <t>Full Time</t>
        </is>
      </c>
      <c r="K827" s="23" t="inlineStr">
        <is>
          <t>1/23/2024</t>
        </is>
      </c>
      <c r="L827" s="23" t="inlineStr">
        <is>
          <t>1/23/2024</t>
        </is>
      </c>
      <c r="O827" t="n">
        <v>38</v>
      </c>
    </row>
    <row r="828">
      <c r="A828" t="inlineStr">
        <is>
          <t>AU23029</t>
        </is>
      </c>
      <c r="C828" t="inlineStr">
        <is>
          <t>NSW-QLD</t>
        </is>
      </c>
      <c r="D828" t="inlineStr">
        <is>
          <t>Virtus Health</t>
        </is>
      </c>
      <c r="E828" t="inlineStr">
        <is>
          <t xml:space="preserve"> Embryologist</t>
        </is>
      </c>
      <c r="F828" t="inlineStr">
        <is>
          <t>11/27/2023</t>
        </is>
      </c>
      <c r="H828" t="inlineStr">
        <is>
          <t>IVFT2024</t>
        </is>
      </c>
      <c r="I828" t="inlineStr">
        <is>
          <t>NSW</t>
        </is>
      </c>
      <c r="J828" t="inlineStr">
        <is>
          <t>Full Time</t>
        </is>
      </c>
      <c r="K828" s="23" t="inlineStr">
        <is>
          <t>11/27/2023</t>
        </is>
      </c>
      <c r="L828" s="23" t="inlineStr">
        <is>
          <t>11/27/2023</t>
        </is>
      </c>
      <c r="O828" t="n">
        <v>38</v>
      </c>
    </row>
    <row r="829">
      <c r="A829" t="inlineStr">
        <is>
          <t>AU23030</t>
        </is>
      </c>
      <c r="C829" t="inlineStr">
        <is>
          <t>NSW-QLD</t>
        </is>
      </c>
      <c r="D829" t="inlineStr">
        <is>
          <t>Virtus Health</t>
        </is>
      </c>
      <c r="E829" t="inlineStr">
        <is>
          <t xml:space="preserve"> Embryologist</t>
        </is>
      </c>
      <c r="F829" t="inlineStr">
        <is>
          <t>1/16/2024</t>
        </is>
      </c>
      <c r="H829" t="inlineStr">
        <is>
          <t>IVFT2024</t>
        </is>
      </c>
      <c r="I829" t="inlineStr">
        <is>
          <t>NSW</t>
        </is>
      </c>
      <c r="J829" t="inlineStr">
        <is>
          <t>Full Time</t>
        </is>
      </c>
      <c r="K829" s="23" t="inlineStr">
        <is>
          <t>1/16/2024</t>
        </is>
      </c>
      <c r="L829" s="23" t="inlineStr">
        <is>
          <t>1/16/2024</t>
        </is>
      </c>
      <c r="O829" t="n">
        <v>24</v>
      </c>
    </row>
    <row r="830">
      <c r="A830" t="inlineStr">
        <is>
          <t>AU23031</t>
        </is>
      </c>
      <c r="C830" t="inlineStr">
        <is>
          <t>NSW-QLD</t>
        </is>
      </c>
      <c r="D830" t="inlineStr">
        <is>
          <t>Virtus Health</t>
        </is>
      </c>
      <c r="E830" t="inlineStr">
        <is>
          <t xml:space="preserve"> Embryologist</t>
        </is>
      </c>
      <c r="F830" t="inlineStr">
        <is>
          <t>1/15/2024</t>
        </is>
      </c>
      <c r="H830" t="inlineStr">
        <is>
          <t>IVFT2024</t>
        </is>
      </c>
      <c r="I830" t="inlineStr">
        <is>
          <t>NSW</t>
        </is>
      </c>
      <c r="J830" t="inlineStr">
        <is>
          <t>Full Time</t>
        </is>
      </c>
      <c r="K830" s="23" t="inlineStr">
        <is>
          <t>1/15/2024</t>
        </is>
      </c>
      <c r="L830" s="23" t="inlineStr">
        <is>
          <t>1/15/2024</t>
        </is>
      </c>
      <c r="O830" t="n">
        <v>38</v>
      </c>
    </row>
    <row r="831">
      <c r="A831" t="inlineStr">
        <is>
          <t>AU23032</t>
        </is>
      </c>
      <c r="C831" t="inlineStr">
        <is>
          <t>NSW-QLD</t>
        </is>
      </c>
      <c r="D831" t="inlineStr">
        <is>
          <t>Virtus Health</t>
        </is>
      </c>
      <c r="E831" t="inlineStr">
        <is>
          <t>Laboratory Support Assistant</t>
        </is>
      </c>
      <c r="F831" t="inlineStr">
        <is>
          <t>11/28/2023</t>
        </is>
      </c>
      <c r="H831" t="inlineStr">
        <is>
          <t>IVFT2024</t>
        </is>
      </c>
      <c r="I831" t="inlineStr">
        <is>
          <t>NSW</t>
        </is>
      </c>
      <c r="J831" t="inlineStr">
        <is>
          <t>Full Time</t>
        </is>
      </c>
      <c r="K831" s="23" t="inlineStr">
        <is>
          <t>11/28/2023</t>
        </is>
      </c>
      <c r="L831" s="23" t="inlineStr">
        <is>
          <t>11/28/2023</t>
        </is>
      </c>
      <c r="O831" t="n">
        <v>38</v>
      </c>
    </row>
    <row r="832">
      <c r="A832" t="inlineStr">
        <is>
          <t>AU23033</t>
        </is>
      </c>
      <c r="C832" t="inlineStr">
        <is>
          <t>NSW-QLD</t>
        </is>
      </c>
      <c r="D832" t="inlineStr">
        <is>
          <t>Virtus Health</t>
        </is>
      </c>
      <c r="E832" t="inlineStr">
        <is>
          <t>Assistant in Nursing</t>
        </is>
      </c>
      <c r="F832" t="inlineStr">
        <is>
          <t>11/29/2023</t>
        </is>
      </c>
      <c r="H832" t="inlineStr">
        <is>
          <t>QN2025</t>
        </is>
      </c>
      <c r="I832" t="inlineStr">
        <is>
          <t>QLD</t>
        </is>
      </c>
      <c r="J832" t="inlineStr">
        <is>
          <t>Casual</t>
        </is>
      </c>
      <c r="K832" s="23" t="inlineStr">
        <is>
          <t>11/29/2023</t>
        </is>
      </c>
      <c r="L832" s="23" t="inlineStr">
        <is>
          <t>11/29/2023</t>
        </is>
      </c>
      <c r="O832" t="n">
        <v>38</v>
      </c>
    </row>
    <row r="833">
      <c r="A833" t="inlineStr">
        <is>
          <t>AU23034</t>
        </is>
      </c>
      <c r="B833" s="1" t="n"/>
      <c r="C833" t="inlineStr">
        <is>
          <t>NSW-QLD</t>
        </is>
      </c>
      <c r="D833" t="inlineStr">
        <is>
          <t>Virtus Health</t>
        </is>
      </c>
      <c r="E833" t="inlineStr">
        <is>
          <t>Patient Services Manager</t>
        </is>
      </c>
      <c r="F833" s="1" t="n">
        <v>45505</v>
      </c>
      <c r="H833" t="inlineStr">
        <is>
          <t>QLD</t>
        </is>
      </c>
      <c r="I833" t="inlineStr">
        <is>
          <t>QLD</t>
        </is>
      </c>
      <c r="J833" t="inlineStr">
        <is>
          <t>Full Time</t>
        </is>
      </c>
      <c r="K833" s="23" t="n">
        <v>45505</v>
      </c>
      <c r="L833" s="23" t="n">
        <v>45505</v>
      </c>
      <c r="O833" t="n">
        <v>30.4</v>
      </c>
    </row>
    <row r="834">
      <c r="A834" t="inlineStr">
        <is>
          <t>AU23035</t>
        </is>
      </c>
      <c r="B834" s="1" t="n"/>
      <c r="C834" t="inlineStr">
        <is>
          <t>NSW-QLD</t>
        </is>
      </c>
      <c r="D834" t="inlineStr">
        <is>
          <t>Virtus Health</t>
        </is>
      </c>
      <c r="E834" t="inlineStr">
        <is>
          <t>Service Desk Operator</t>
        </is>
      </c>
      <c r="F834" s="1" t="n">
        <v>45028</v>
      </c>
      <c r="H834" t="inlineStr">
        <is>
          <t>VIC</t>
        </is>
      </c>
      <c r="I834" t="inlineStr">
        <is>
          <t>VIC</t>
        </is>
      </c>
      <c r="J834" t="inlineStr">
        <is>
          <t>Full Time</t>
        </is>
      </c>
      <c r="K834" s="23" t="n">
        <v>45028</v>
      </c>
      <c r="L834" s="23" t="n">
        <v>45028</v>
      </c>
      <c r="O834" t="n">
        <v>38</v>
      </c>
    </row>
    <row r="835">
      <c r="A835" t="inlineStr">
        <is>
          <t>AU23037</t>
        </is>
      </c>
      <c r="C835" t="inlineStr">
        <is>
          <t>NSW-QLD</t>
        </is>
      </c>
      <c r="D835" t="inlineStr">
        <is>
          <t>Virtus Health</t>
        </is>
      </c>
      <c r="E835" t="inlineStr">
        <is>
          <t xml:space="preserve"> Embryologist</t>
        </is>
      </c>
      <c r="F835" t="inlineStr">
        <is>
          <t>1/22/2024</t>
        </is>
      </c>
      <c r="H835" t="inlineStr">
        <is>
          <t>IVFT2024</t>
        </is>
      </c>
      <c r="I835" t="inlineStr">
        <is>
          <t>NSW</t>
        </is>
      </c>
      <c r="J835" t="inlineStr">
        <is>
          <t>Full Time</t>
        </is>
      </c>
      <c r="K835" s="23" t="inlineStr">
        <is>
          <t>1/22/2024</t>
        </is>
      </c>
      <c r="L835" s="23" t="inlineStr">
        <is>
          <t>1/22/2024</t>
        </is>
      </c>
      <c r="O835" t="n">
        <v>38</v>
      </c>
    </row>
    <row r="836">
      <c r="A836" t="inlineStr">
        <is>
          <t>AU23042</t>
        </is>
      </c>
      <c r="B836" s="1" t="n"/>
      <c r="C836" t="inlineStr">
        <is>
          <t>NSW-QLD</t>
        </is>
      </c>
      <c r="D836" t="inlineStr">
        <is>
          <t>Virtus Health</t>
        </is>
      </c>
      <c r="E836" t="inlineStr">
        <is>
          <t>CSSD Tech</t>
        </is>
      </c>
      <c r="F836" s="1" t="n">
        <v>45028</v>
      </c>
      <c r="H836" t="inlineStr">
        <is>
          <t>IVFS2023</t>
        </is>
      </c>
      <c r="I836" t="inlineStr">
        <is>
          <t>NSW</t>
        </is>
      </c>
      <c r="J836" t="inlineStr">
        <is>
          <t>Full Time</t>
        </is>
      </c>
      <c r="K836" s="23" t="n">
        <v>45028</v>
      </c>
      <c r="L836" s="23" t="n">
        <v>45028</v>
      </c>
      <c r="O836" t="n">
        <v>24</v>
      </c>
    </row>
    <row r="837">
      <c r="A837" t="inlineStr">
        <is>
          <t>AU23043</t>
        </is>
      </c>
      <c r="C837" t="inlineStr">
        <is>
          <t>NSW-QLD</t>
        </is>
      </c>
      <c r="D837" t="inlineStr">
        <is>
          <t>Virtus Health</t>
        </is>
      </c>
      <c r="E837" t="inlineStr">
        <is>
          <t xml:space="preserve"> Embryologist</t>
        </is>
      </c>
      <c r="F837" t="inlineStr">
        <is>
          <t>1/22/2024</t>
        </is>
      </c>
      <c r="H837" t="inlineStr">
        <is>
          <t>IVFT2024</t>
        </is>
      </c>
      <c r="I837" t="inlineStr">
        <is>
          <t>NSW</t>
        </is>
      </c>
      <c r="J837" t="inlineStr">
        <is>
          <t>Full Time</t>
        </is>
      </c>
      <c r="K837" s="23" t="inlineStr">
        <is>
          <t>1/22/2024</t>
        </is>
      </c>
      <c r="L837" s="23" t="inlineStr">
        <is>
          <t>1/22/2024</t>
        </is>
      </c>
      <c r="O837" t="n">
        <v>38</v>
      </c>
    </row>
    <row r="838">
      <c r="A838" t="inlineStr">
        <is>
          <t>AU23044</t>
        </is>
      </c>
      <c r="B838" s="1" t="n"/>
      <c r="C838" t="inlineStr">
        <is>
          <t>VIC-TAS</t>
        </is>
      </c>
      <c r="D838" t="inlineStr">
        <is>
          <t>Virtus Health</t>
        </is>
      </c>
      <c r="E838" t="inlineStr">
        <is>
          <t>IVF Laboratory Administrator</t>
        </is>
      </c>
      <c r="F838" s="1" t="n">
        <v>45242</v>
      </c>
      <c r="H838" t="inlineStr">
        <is>
          <t>MIVFS2022</t>
        </is>
      </c>
      <c r="I838" t="inlineStr">
        <is>
          <t>VIC</t>
        </is>
      </c>
      <c r="J838" t="inlineStr">
        <is>
          <t>Full Time</t>
        </is>
      </c>
      <c r="K838" s="23" t="n">
        <v>45242</v>
      </c>
      <c r="L838" s="23" t="n">
        <v>45242</v>
      </c>
      <c r="O838" t="n">
        <v>38</v>
      </c>
    </row>
    <row r="839">
      <c r="A839" t="inlineStr">
        <is>
          <t>AU23045</t>
        </is>
      </c>
      <c r="C839" t="inlineStr">
        <is>
          <t>VIC-TAS</t>
        </is>
      </c>
      <c r="D839" t="inlineStr">
        <is>
          <t>Virtus Health</t>
        </is>
      </c>
      <c r="E839" t="inlineStr">
        <is>
          <t>Patient Liaison Administrator</t>
        </is>
      </c>
      <c r="F839" t="inlineStr">
        <is>
          <t>12/18/2023</t>
        </is>
      </c>
      <c r="H839" t="inlineStr">
        <is>
          <t>TIVF2024</t>
        </is>
      </c>
      <c r="I839" t="inlineStr">
        <is>
          <t>TAS</t>
        </is>
      </c>
      <c r="J839" t="inlineStr">
        <is>
          <t>Part Time</t>
        </is>
      </c>
      <c r="K839" s="23" t="inlineStr">
        <is>
          <t>12/18/2023</t>
        </is>
      </c>
      <c r="L839" s="23" t="inlineStr">
        <is>
          <t>12/18/2023</t>
        </is>
      </c>
      <c r="O839" t="n">
        <v>15</v>
      </c>
    </row>
    <row r="840">
      <c r="A840" t="inlineStr">
        <is>
          <t>AU23046</t>
        </is>
      </c>
      <c r="C840" t="inlineStr">
        <is>
          <t>NSW-QLD</t>
        </is>
      </c>
      <c r="D840" t="inlineStr">
        <is>
          <t>Virtus Health</t>
        </is>
      </c>
      <c r="E840" t="inlineStr">
        <is>
          <t>Embryologist</t>
        </is>
      </c>
      <c r="F840" t="inlineStr">
        <is>
          <t>1/15/2024</t>
        </is>
      </c>
      <c r="H840" t="inlineStr">
        <is>
          <t>IVFT2024</t>
        </is>
      </c>
      <c r="I840" t="inlineStr">
        <is>
          <t>NSW</t>
        </is>
      </c>
      <c r="J840" t="inlineStr">
        <is>
          <t>Full Time</t>
        </is>
      </c>
      <c r="K840" s="23" t="inlineStr">
        <is>
          <t>1/15/2024</t>
        </is>
      </c>
      <c r="L840" s="23" t="inlineStr">
        <is>
          <t>1/15/2024</t>
        </is>
      </c>
      <c r="O840" t="n">
        <v>38</v>
      </c>
    </row>
    <row r="841">
      <c r="A841" t="inlineStr">
        <is>
          <t>AU23047</t>
        </is>
      </c>
      <c r="C841" t="inlineStr">
        <is>
          <t>VIC-TAS</t>
        </is>
      </c>
      <c r="D841" t="inlineStr">
        <is>
          <t>Virtus Health</t>
        </is>
      </c>
      <c r="E841" t="inlineStr">
        <is>
          <t>Patient Liaison Administrator</t>
        </is>
      </c>
      <c r="F841" t="inlineStr">
        <is>
          <t>12/18/2023</t>
        </is>
      </c>
      <c r="H841" t="inlineStr">
        <is>
          <t>MIVFS2022</t>
        </is>
      </c>
      <c r="I841" t="inlineStr">
        <is>
          <t>VIC</t>
        </is>
      </c>
      <c r="J841" t="inlineStr">
        <is>
          <t>Full Time</t>
        </is>
      </c>
      <c r="K841" s="23" t="inlineStr">
        <is>
          <t>12/18/2023</t>
        </is>
      </c>
      <c r="L841" s="23" t="inlineStr">
        <is>
          <t>12/18/2023</t>
        </is>
      </c>
      <c r="O841" t="n">
        <v>38</v>
      </c>
    </row>
    <row r="842">
      <c r="A842" t="inlineStr">
        <is>
          <t>AU23049</t>
        </is>
      </c>
      <c r="C842" t="inlineStr">
        <is>
          <t>NSW-QLD</t>
        </is>
      </c>
      <c r="D842" t="inlineStr">
        <is>
          <t>Virtus Health</t>
        </is>
      </c>
      <c r="E842" t="inlineStr">
        <is>
          <t>Administration</t>
        </is>
      </c>
      <c r="F842" t="inlineStr">
        <is>
          <t>1/15/2024</t>
        </is>
      </c>
      <c r="H842" t="inlineStr">
        <is>
          <t>IVFS2023</t>
        </is>
      </c>
      <c r="I842" t="inlineStr">
        <is>
          <t>NSW</t>
        </is>
      </c>
      <c r="J842" t="inlineStr">
        <is>
          <t>Part Time</t>
        </is>
      </c>
      <c r="K842" s="23" t="inlineStr">
        <is>
          <t>1/15/2024</t>
        </is>
      </c>
      <c r="L842" s="23" t="inlineStr">
        <is>
          <t>1/15/2024</t>
        </is>
      </c>
      <c r="O842" t="n">
        <v>28.5</v>
      </c>
    </row>
    <row r="843">
      <c r="A843" t="inlineStr">
        <is>
          <t>AU23051</t>
        </is>
      </c>
      <c r="C843" t="inlineStr">
        <is>
          <t>NSW-QLD</t>
        </is>
      </c>
      <c r="D843" t="inlineStr">
        <is>
          <t>Virtus Health</t>
        </is>
      </c>
      <c r="E843" t="inlineStr">
        <is>
          <t>CEO</t>
        </is>
      </c>
      <c r="F843" s="1" t="n">
        <v>44938</v>
      </c>
      <c r="H843" t="inlineStr">
        <is>
          <t>NSW</t>
        </is>
      </c>
      <c r="I843" t="inlineStr">
        <is>
          <t>NSW</t>
        </is>
      </c>
      <c r="J843" t="inlineStr">
        <is>
          <t>Full Time</t>
        </is>
      </c>
      <c r="K843" s="23" t="n">
        <v>44938</v>
      </c>
      <c r="L843" s="23" t="n">
        <v>44938</v>
      </c>
      <c r="O843" t="n">
        <v>38</v>
      </c>
    </row>
    <row r="844">
      <c r="A844" t="inlineStr">
        <is>
          <t>AU23053</t>
        </is>
      </c>
      <c r="C844" t="inlineStr">
        <is>
          <t>NSW-QLD</t>
        </is>
      </c>
      <c r="D844" t="inlineStr">
        <is>
          <t>Virtus Health</t>
        </is>
      </c>
      <c r="E844" t="inlineStr">
        <is>
          <t>Medical Secretary</t>
        </is>
      </c>
      <c r="F844" t="inlineStr">
        <is>
          <t>1/29/2024</t>
        </is>
      </c>
      <c r="H844" t="inlineStr">
        <is>
          <t>IVFS2023</t>
        </is>
      </c>
      <c r="I844" t="inlineStr">
        <is>
          <t>NSW</t>
        </is>
      </c>
      <c r="J844" t="inlineStr">
        <is>
          <t>Full Time</t>
        </is>
      </c>
      <c r="K844" s="23" t="inlineStr">
        <is>
          <t>1/29/2024</t>
        </is>
      </c>
      <c r="L844" s="23" t="inlineStr">
        <is>
          <t>1/29/2024</t>
        </is>
      </c>
      <c r="O844" t="n">
        <v>38</v>
      </c>
    </row>
    <row r="845">
      <c r="A845" t="inlineStr">
        <is>
          <t>AU23054</t>
        </is>
      </c>
      <c r="B845" s="1" t="n"/>
      <c r="C845" t="inlineStr">
        <is>
          <t>NSW-QLD</t>
        </is>
      </c>
      <c r="D845" t="inlineStr">
        <is>
          <t>Virtus Health</t>
        </is>
      </c>
      <c r="E845" t="inlineStr">
        <is>
          <t>Quality Assurance Officer</t>
        </is>
      </c>
      <c r="F845" s="1" t="n">
        <v>45505</v>
      </c>
      <c r="H845" t="inlineStr">
        <is>
          <t>IVFS2023</t>
        </is>
      </c>
      <c r="I845" t="inlineStr">
        <is>
          <t>QLD</t>
        </is>
      </c>
      <c r="J845" t="inlineStr">
        <is>
          <t>Full Time</t>
        </is>
      </c>
      <c r="K845" s="23" t="n">
        <v>45505</v>
      </c>
      <c r="L845" s="23" t="n">
        <v>45505</v>
      </c>
      <c r="O845" t="n">
        <v>38</v>
      </c>
    </row>
    <row r="846">
      <c r="A846" t="inlineStr">
        <is>
          <t>AU23056</t>
        </is>
      </c>
      <c r="C846" t="inlineStr">
        <is>
          <t>NSW-QLD</t>
        </is>
      </c>
      <c r="D846" t="inlineStr">
        <is>
          <t>Virtus Health</t>
        </is>
      </c>
      <c r="E846" t="inlineStr">
        <is>
          <t>Registered Nurse</t>
        </is>
      </c>
      <c r="F846" t="inlineStr">
        <is>
          <t>1/19/2024</t>
        </is>
      </c>
      <c r="H846" t="inlineStr">
        <is>
          <t>IVFN2021</t>
        </is>
      </c>
      <c r="I846" t="inlineStr">
        <is>
          <t>NSW</t>
        </is>
      </c>
      <c r="J846" t="inlineStr">
        <is>
          <t>Casual</t>
        </is>
      </c>
      <c r="K846" s="23" t="inlineStr">
        <is>
          <t>1/19/2024</t>
        </is>
      </c>
      <c r="L846" s="23" t="inlineStr">
        <is>
          <t>1/19/2024</t>
        </is>
      </c>
      <c r="O846" t="n">
        <v>38</v>
      </c>
    </row>
    <row r="847">
      <c r="A847" t="inlineStr">
        <is>
          <t>AU23057</t>
        </is>
      </c>
      <c r="C847" t="inlineStr">
        <is>
          <t>NSW-QLD</t>
        </is>
      </c>
      <c r="D847" t="inlineStr">
        <is>
          <t>Virtus Health</t>
        </is>
      </c>
      <c r="E847" t="inlineStr">
        <is>
          <t>Administration</t>
        </is>
      </c>
      <c r="F847" t="inlineStr">
        <is>
          <t>12/22/2023</t>
        </is>
      </c>
      <c r="H847" t="inlineStr">
        <is>
          <t>IVFS2023</t>
        </is>
      </c>
      <c r="I847" t="inlineStr">
        <is>
          <t>QLD</t>
        </is>
      </c>
      <c r="J847" t="inlineStr">
        <is>
          <t>Casual</t>
        </is>
      </c>
      <c r="K847" s="23" t="inlineStr">
        <is>
          <t>12/22/2023</t>
        </is>
      </c>
      <c r="L847" s="23" t="inlineStr">
        <is>
          <t>12/22/2023</t>
        </is>
      </c>
      <c r="O847" t="n">
        <v>38</v>
      </c>
    </row>
    <row r="848">
      <c r="A848" t="inlineStr">
        <is>
          <t>AU23058</t>
        </is>
      </c>
      <c r="C848" t="inlineStr">
        <is>
          <t>NSW-QLD</t>
        </is>
      </c>
      <c r="D848" t="inlineStr">
        <is>
          <t>Virtus Health</t>
        </is>
      </c>
      <c r="E848" t="inlineStr">
        <is>
          <t>Nurse Coordinator</t>
        </is>
      </c>
      <c r="F848" t="inlineStr">
        <is>
          <t>1/15/2024</t>
        </is>
      </c>
      <c r="H848" t="inlineStr">
        <is>
          <t>IVFN2021</t>
        </is>
      </c>
      <c r="I848" t="inlineStr">
        <is>
          <t>NSW</t>
        </is>
      </c>
      <c r="J848" t="inlineStr">
        <is>
          <t>Part Time</t>
        </is>
      </c>
      <c r="K848" s="23" t="inlineStr">
        <is>
          <t>1/15/2024</t>
        </is>
      </c>
      <c r="L848" s="23" t="inlineStr">
        <is>
          <t>1/15/2024</t>
        </is>
      </c>
      <c r="O848" t="n">
        <v>12</v>
      </c>
    </row>
    <row r="849">
      <c r="A849" t="inlineStr">
        <is>
          <t>AU23060</t>
        </is>
      </c>
      <c r="C849" t="inlineStr">
        <is>
          <t>NSW-QLD</t>
        </is>
      </c>
      <c r="D849" t="inlineStr">
        <is>
          <t>Virtus Health</t>
        </is>
      </c>
      <c r="E849" t="inlineStr">
        <is>
          <t>Registered Nurse</t>
        </is>
      </c>
      <c r="F849" t="inlineStr">
        <is>
          <t>1/15/2024</t>
        </is>
      </c>
      <c r="H849" t="inlineStr">
        <is>
          <t>IVFN2021</t>
        </is>
      </c>
      <c r="I849" t="inlineStr">
        <is>
          <t>NSW</t>
        </is>
      </c>
      <c r="J849" t="inlineStr">
        <is>
          <t>Full Time</t>
        </is>
      </c>
      <c r="K849" s="23" t="inlineStr">
        <is>
          <t>1/15/2024</t>
        </is>
      </c>
      <c r="L849" s="23" t="inlineStr">
        <is>
          <t>1/15/2024</t>
        </is>
      </c>
      <c r="O849" t="n">
        <v>38</v>
      </c>
    </row>
    <row r="850">
      <c r="A850" t="inlineStr">
        <is>
          <t>AU23062</t>
        </is>
      </c>
      <c r="C850" t="inlineStr">
        <is>
          <t>NSW-QLD</t>
        </is>
      </c>
      <c r="D850" t="inlineStr">
        <is>
          <t>Virtus Health</t>
        </is>
      </c>
      <c r="E850" t="inlineStr">
        <is>
          <t>Registered Nurse</t>
        </is>
      </c>
      <c r="F850" t="inlineStr">
        <is>
          <t>1/22/2024</t>
        </is>
      </c>
      <c r="H850" t="inlineStr">
        <is>
          <t>IVFN2021</t>
        </is>
      </c>
      <c r="I850" t="inlineStr">
        <is>
          <t>NSW</t>
        </is>
      </c>
      <c r="J850" t="inlineStr">
        <is>
          <t>Full Time</t>
        </is>
      </c>
      <c r="K850" s="23" t="inlineStr">
        <is>
          <t>1/22/2024</t>
        </is>
      </c>
      <c r="L850" s="23" t="inlineStr">
        <is>
          <t>1/22/2024</t>
        </is>
      </c>
      <c r="O850" t="n">
        <v>30</v>
      </c>
    </row>
    <row r="851">
      <c r="A851" t="inlineStr">
        <is>
          <t>AU23063</t>
        </is>
      </c>
      <c r="C851" t="inlineStr">
        <is>
          <t>NSW-QLD</t>
        </is>
      </c>
      <c r="D851" t="inlineStr">
        <is>
          <t>Virtus Health</t>
        </is>
      </c>
      <c r="E851" t="inlineStr">
        <is>
          <t>Nurse Coordinator</t>
        </is>
      </c>
      <c r="F851" t="inlineStr">
        <is>
          <t>1/29/2024</t>
        </is>
      </c>
      <c r="H851" t="inlineStr">
        <is>
          <t>QN2025</t>
        </is>
      </c>
      <c r="I851" t="inlineStr">
        <is>
          <t>QLD</t>
        </is>
      </c>
      <c r="J851" t="inlineStr">
        <is>
          <t>Part Time</t>
        </is>
      </c>
      <c r="K851" s="23" t="inlineStr">
        <is>
          <t>1/29/2024</t>
        </is>
      </c>
      <c r="L851" s="23" t="inlineStr">
        <is>
          <t>1/29/2024</t>
        </is>
      </c>
      <c r="O851" t="n">
        <v>18</v>
      </c>
    </row>
    <row r="852">
      <c r="A852" t="inlineStr">
        <is>
          <t>AU23064</t>
        </is>
      </c>
      <c r="C852" t="inlineStr">
        <is>
          <t>NSW-QLD</t>
        </is>
      </c>
      <c r="D852" t="inlineStr">
        <is>
          <t>Virtus Health</t>
        </is>
      </c>
      <c r="E852" t="inlineStr">
        <is>
          <t>Registered Nurse</t>
        </is>
      </c>
      <c r="F852" t="inlineStr">
        <is>
          <t>1/15/2024</t>
        </is>
      </c>
      <c r="H852" t="inlineStr">
        <is>
          <t>IVFN2021</t>
        </is>
      </c>
      <c r="I852" t="inlineStr">
        <is>
          <t>NSW</t>
        </is>
      </c>
      <c r="J852" t="inlineStr">
        <is>
          <t>Casual</t>
        </is>
      </c>
      <c r="K852" s="23" t="inlineStr">
        <is>
          <t>1/15/2024</t>
        </is>
      </c>
      <c r="L852" s="23" t="inlineStr">
        <is>
          <t>1/15/2024</t>
        </is>
      </c>
      <c r="O852" t="n">
        <v>38</v>
      </c>
    </row>
    <row r="853">
      <c r="A853" t="inlineStr">
        <is>
          <t>AU23065</t>
        </is>
      </c>
      <c r="C853" t="inlineStr">
        <is>
          <t>NSW-QLD</t>
        </is>
      </c>
      <c r="D853" t="inlineStr">
        <is>
          <t>Virtus Health</t>
        </is>
      </c>
      <c r="E853" t="inlineStr">
        <is>
          <t>Registered Nurse</t>
        </is>
      </c>
      <c r="F853" t="inlineStr">
        <is>
          <t>1/15/2024</t>
        </is>
      </c>
      <c r="H853" t="inlineStr">
        <is>
          <t>IVFN2021</t>
        </is>
      </c>
      <c r="I853" t="inlineStr">
        <is>
          <t>NSW</t>
        </is>
      </c>
      <c r="J853" t="inlineStr">
        <is>
          <t>Part Time</t>
        </is>
      </c>
      <c r="K853" s="23" t="inlineStr">
        <is>
          <t>1/15/2024</t>
        </is>
      </c>
      <c r="L853" s="23" t="inlineStr">
        <is>
          <t>1/15/2024</t>
        </is>
      </c>
      <c r="O853" t="n">
        <v>38</v>
      </c>
    </row>
    <row r="854">
      <c r="A854" t="inlineStr">
        <is>
          <t>AU23066</t>
        </is>
      </c>
      <c r="C854" t="inlineStr">
        <is>
          <t>VIC-TAS</t>
        </is>
      </c>
      <c r="D854" t="inlineStr">
        <is>
          <t>Virtus Health</t>
        </is>
      </c>
      <c r="E854" t="inlineStr">
        <is>
          <t>Receptionist</t>
        </is>
      </c>
      <c r="F854" t="inlineStr">
        <is>
          <t>1/15/2024</t>
        </is>
      </c>
      <c r="H854" t="inlineStr">
        <is>
          <t>MIVFS2022</t>
        </is>
      </c>
      <c r="I854" t="inlineStr">
        <is>
          <t>VIC</t>
        </is>
      </c>
      <c r="J854" t="inlineStr">
        <is>
          <t>Part Time</t>
        </is>
      </c>
      <c r="K854" s="23" t="inlineStr">
        <is>
          <t>1/15/2024</t>
        </is>
      </c>
      <c r="L854" s="23" t="inlineStr">
        <is>
          <t>1/15/2024</t>
        </is>
      </c>
      <c r="O854" t="n">
        <v>15.2</v>
      </c>
    </row>
    <row r="855">
      <c r="A855" t="inlineStr">
        <is>
          <t>AU23067</t>
        </is>
      </c>
      <c r="C855" t="inlineStr">
        <is>
          <t>NSW-QLD</t>
        </is>
      </c>
      <c r="D855" t="inlineStr">
        <is>
          <t>Virtus Health</t>
        </is>
      </c>
      <c r="E855" t="inlineStr">
        <is>
          <t xml:space="preserve"> Embryologist</t>
        </is>
      </c>
      <c r="F855" t="inlineStr">
        <is>
          <t>1/23/2024</t>
        </is>
      </c>
      <c r="H855" t="inlineStr">
        <is>
          <t>IVFT2024</t>
        </is>
      </c>
      <c r="I855" t="inlineStr">
        <is>
          <t>NSW</t>
        </is>
      </c>
      <c r="J855" t="inlineStr">
        <is>
          <t>Full Time</t>
        </is>
      </c>
      <c r="K855" s="23" t="inlineStr">
        <is>
          <t>1/23/2024</t>
        </is>
      </c>
      <c r="L855" s="23" t="inlineStr">
        <is>
          <t>1/23/2024</t>
        </is>
      </c>
      <c r="O855" t="n">
        <v>22</v>
      </c>
    </row>
    <row r="856">
      <c r="A856" t="inlineStr">
        <is>
          <t>AU23069</t>
        </is>
      </c>
      <c r="C856" t="inlineStr">
        <is>
          <t>VIC-TAS</t>
        </is>
      </c>
      <c r="D856" t="inlineStr">
        <is>
          <t>Virtus Health</t>
        </is>
      </c>
      <c r="E856" t="inlineStr">
        <is>
          <t>Financial Accountant</t>
        </is>
      </c>
      <c r="F856" t="inlineStr">
        <is>
          <t>1/22/2024</t>
        </is>
      </c>
      <c r="H856" t="inlineStr">
        <is>
          <t>VIC</t>
        </is>
      </c>
      <c r="I856" t="inlineStr">
        <is>
          <t>VIC</t>
        </is>
      </c>
      <c r="J856" t="inlineStr">
        <is>
          <t>Full Time</t>
        </is>
      </c>
      <c r="K856" s="23" t="inlineStr">
        <is>
          <t>1/22/2024</t>
        </is>
      </c>
      <c r="L856" s="23" t="inlineStr">
        <is>
          <t>1/22/2024</t>
        </is>
      </c>
      <c r="O856" t="n">
        <v>38</v>
      </c>
    </row>
    <row r="857">
      <c r="A857" t="inlineStr">
        <is>
          <t>AU23071</t>
        </is>
      </c>
      <c r="C857" t="inlineStr">
        <is>
          <t>VIC-TAS</t>
        </is>
      </c>
      <c r="D857" t="inlineStr">
        <is>
          <t>Virtus Health</t>
        </is>
      </c>
      <c r="E857" t="inlineStr">
        <is>
          <t>Registered Nurse</t>
        </is>
      </c>
      <c r="F857" t="inlineStr">
        <is>
          <t>1/29/2024</t>
        </is>
      </c>
      <c r="H857" t="inlineStr">
        <is>
          <t>MIVFN2023</t>
        </is>
      </c>
      <c r="I857" t="inlineStr">
        <is>
          <t>VIC</t>
        </is>
      </c>
      <c r="J857" t="inlineStr">
        <is>
          <t>Part Time</t>
        </is>
      </c>
      <c r="K857" s="23" t="inlineStr">
        <is>
          <t>1/29/2024</t>
        </is>
      </c>
      <c r="L857" s="23" t="inlineStr">
        <is>
          <t>1/29/2024</t>
        </is>
      </c>
      <c r="O857" t="n">
        <v>15.2</v>
      </c>
    </row>
    <row r="858">
      <c r="A858" t="inlineStr">
        <is>
          <t>AU23074</t>
        </is>
      </c>
      <c r="B858" s="1" t="n"/>
      <c r="C858" t="inlineStr">
        <is>
          <t>NSW-QLD</t>
        </is>
      </c>
      <c r="D858" t="inlineStr">
        <is>
          <t>Virtus Health</t>
        </is>
      </c>
      <c r="E858" t="inlineStr">
        <is>
          <t>Registered Nurse</t>
        </is>
      </c>
      <c r="F858" s="1" t="n">
        <v>45414</v>
      </c>
      <c r="H858" t="inlineStr">
        <is>
          <t>QN2025</t>
        </is>
      </c>
      <c r="I858" t="inlineStr">
        <is>
          <t>QLD</t>
        </is>
      </c>
      <c r="J858" t="inlineStr">
        <is>
          <t>Casual</t>
        </is>
      </c>
      <c r="K858" s="23" t="n">
        <v>45414</v>
      </c>
      <c r="L858" s="23" t="n">
        <v>45414</v>
      </c>
      <c r="O858" t="n">
        <v>38</v>
      </c>
    </row>
    <row r="859">
      <c r="A859" t="inlineStr">
        <is>
          <t>AU23075</t>
        </is>
      </c>
      <c r="C859" t="inlineStr">
        <is>
          <t>NSW-QLD</t>
        </is>
      </c>
      <c r="D859" t="inlineStr">
        <is>
          <t>Virtus Health</t>
        </is>
      </c>
      <c r="E859" t="inlineStr">
        <is>
          <t>Service Desk Operator</t>
        </is>
      </c>
      <c r="F859" t="inlineStr">
        <is>
          <t>1/31/2024</t>
        </is>
      </c>
      <c r="H859" t="inlineStr">
        <is>
          <t>VIC</t>
        </is>
      </c>
      <c r="I859" t="inlineStr">
        <is>
          <t>VIC</t>
        </is>
      </c>
      <c r="J859" t="inlineStr">
        <is>
          <t>Full Time</t>
        </is>
      </c>
      <c r="K859" s="23" t="inlineStr">
        <is>
          <t>1/31/2024</t>
        </is>
      </c>
      <c r="L859" s="23" t="inlineStr">
        <is>
          <t>1/31/2024</t>
        </is>
      </c>
      <c r="O859" t="n">
        <v>30.4</v>
      </c>
    </row>
    <row r="860">
      <c r="A860" t="inlineStr">
        <is>
          <t>AU23076</t>
        </is>
      </c>
      <c r="C860" t="inlineStr">
        <is>
          <t>NSW-QLD</t>
        </is>
      </c>
      <c r="D860" t="inlineStr">
        <is>
          <t>Virtus Health</t>
        </is>
      </c>
      <c r="E860" t="inlineStr">
        <is>
          <t>Fertility Counsellor</t>
        </is>
      </c>
      <c r="F860" t="inlineStr">
        <is>
          <t>1/30/2024</t>
        </is>
      </c>
      <c r="H860" t="inlineStr">
        <is>
          <t>IVFC2022</t>
        </is>
      </c>
      <c r="I860" t="inlineStr">
        <is>
          <t>NSW</t>
        </is>
      </c>
      <c r="J860" t="inlineStr">
        <is>
          <t>Part Time</t>
        </is>
      </c>
      <c r="K860" s="23" t="inlineStr">
        <is>
          <t>1/30/2024</t>
        </is>
      </c>
      <c r="L860" s="23" t="inlineStr">
        <is>
          <t>1/30/2024</t>
        </is>
      </c>
      <c r="O860" t="n">
        <v>38</v>
      </c>
    </row>
    <row r="861">
      <c r="A861" t="inlineStr">
        <is>
          <t>AU23078</t>
        </is>
      </c>
      <c r="B861" s="1" t="n"/>
      <c r="C861" t="inlineStr">
        <is>
          <t>VIC-TAS</t>
        </is>
      </c>
      <c r="D861" t="inlineStr">
        <is>
          <t>Virtus Health</t>
        </is>
      </c>
      <c r="E861" t="inlineStr">
        <is>
          <t>General Practitioner</t>
        </is>
      </c>
      <c r="F861" t="inlineStr">
        <is>
          <t>12/13/2023</t>
        </is>
      </c>
      <c r="H861" t="inlineStr">
        <is>
          <t>VIC</t>
        </is>
      </c>
      <c r="I861" t="inlineStr">
        <is>
          <t>VIC</t>
        </is>
      </c>
      <c r="J861" t="inlineStr">
        <is>
          <t>Part Time</t>
        </is>
      </c>
      <c r="K861" s="23" t="inlineStr">
        <is>
          <t>12/13/2023</t>
        </is>
      </c>
      <c r="L861" s="23" t="inlineStr">
        <is>
          <t>12/13/2023</t>
        </is>
      </c>
      <c r="O861" t="n">
        <v>19</v>
      </c>
    </row>
    <row r="862">
      <c r="A862" t="inlineStr">
        <is>
          <t>AU23079</t>
        </is>
      </c>
      <c r="B862" s="1" t="n"/>
      <c r="C862" t="inlineStr">
        <is>
          <t>NSW-QLD</t>
        </is>
      </c>
      <c r="D862" t="inlineStr">
        <is>
          <t>Virtus Health</t>
        </is>
      </c>
      <c r="E862" t="inlineStr">
        <is>
          <t>Registered Nurse</t>
        </is>
      </c>
      <c r="F862" s="1" t="n">
        <v>45628</v>
      </c>
      <c r="H862" t="inlineStr">
        <is>
          <t>QN2025</t>
        </is>
      </c>
      <c r="I862" t="inlineStr">
        <is>
          <t>QLD</t>
        </is>
      </c>
      <c r="J862" t="inlineStr">
        <is>
          <t>Casual</t>
        </is>
      </c>
      <c r="K862" s="23" t="n">
        <v>45628</v>
      </c>
      <c r="L862" s="23" t="n">
        <v>45628</v>
      </c>
      <c r="O862" t="n">
        <v>38</v>
      </c>
    </row>
    <row r="863">
      <c r="A863" t="inlineStr">
        <is>
          <t>AU23081</t>
        </is>
      </c>
      <c r="C863" t="inlineStr">
        <is>
          <t>NSW-QLD</t>
        </is>
      </c>
      <c r="D863" t="inlineStr">
        <is>
          <t>Virtus Health</t>
        </is>
      </c>
      <c r="E863" t="inlineStr">
        <is>
          <t>Registered Nurse</t>
        </is>
      </c>
      <c r="F863" t="inlineStr">
        <is>
          <t>1/29/2024</t>
        </is>
      </c>
      <c r="H863" t="inlineStr">
        <is>
          <t>QN2025</t>
        </is>
      </c>
      <c r="I863" t="inlineStr">
        <is>
          <t>QLD</t>
        </is>
      </c>
      <c r="J863" t="inlineStr">
        <is>
          <t>Part Time</t>
        </is>
      </c>
      <c r="K863" s="23" t="inlineStr">
        <is>
          <t>1/29/2024</t>
        </is>
      </c>
      <c r="L863" s="23" t="inlineStr">
        <is>
          <t>1/29/2024</t>
        </is>
      </c>
      <c r="O863" t="n">
        <v>30.4</v>
      </c>
    </row>
    <row r="864">
      <c r="A864" t="inlineStr">
        <is>
          <t>AU23082</t>
        </is>
      </c>
      <c r="C864" t="inlineStr">
        <is>
          <t>VIC-TAS</t>
        </is>
      </c>
      <c r="D864" t="inlineStr">
        <is>
          <t>Virtus Health</t>
        </is>
      </c>
      <c r="E864" t="inlineStr">
        <is>
          <t>Receptionist</t>
        </is>
      </c>
      <c r="F864" t="inlineStr">
        <is>
          <t>1/30/2024</t>
        </is>
      </c>
      <c r="H864" t="inlineStr">
        <is>
          <t>MIVFS2022</t>
        </is>
      </c>
      <c r="I864" t="inlineStr">
        <is>
          <t>VIC</t>
        </is>
      </c>
      <c r="J864" t="inlineStr">
        <is>
          <t>Part Time</t>
        </is>
      </c>
      <c r="K864" s="23" t="inlineStr">
        <is>
          <t>1/30/2024</t>
        </is>
      </c>
      <c r="L864" s="23" t="inlineStr">
        <is>
          <t>1/30/2024</t>
        </is>
      </c>
      <c r="O864" t="n">
        <v>22.8</v>
      </c>
    </row>
    <row r="865">
      <c r="A865" t="inlineStr">
        <is>
          <t>AU23084</t>
        </is>
      </c>
      <c r="B865" s="1" t="n"/>
      <c r="C865" t="inlineStr">
        <is>
          <t>NSW-QLD</t>
        </is>
      </c>
      <c r="D865" t="inlineStr">
        <is>
          <t>Virtus Health</t>
        </is>
      </c>
      <c r="E865" t="inlineStr">
        <is>
          <t>New Patient Care Consultant</t>
        </is>
      </c>
      <c r="F865" s="1" t="n">
        <v>45628</v>
      </c>
      <c r="H865" t="inlineStr">
        <is>
          <t>IVFS2023</t>
        </is>
      </c>
      <c r="I865" t="inlineStr">
        <is>
          <t>NSW</t>
        </is>
      </c>
      <c r="J865" t="inlineStr">
        <is>
          <t>Part Time</t>
        </is>
      </c>
      <c r="K865" s="23" t="n">
        <v>45628</v>
      </c>
      <c r="L865" s="23" t="n">
        <v>45628</v>
      </c>
      <c r="O865" t="n">
        <v>22.5</v>
      </c>
    </row>
    <row r="866">
      <c r="A866" t="inlineStr">
        <is>
          <t>AU23085</t>
        </is>
      </c>
      <c r="C866" t="inlineStr">
        <is>
          <t>NSW-QLD</t>
        </is>
      </c>
      <c r="D866" t="inlineStr">
        <is>
          <t>Virtus Health</t>
        </is>
      </c>
      <c r="E866" t="inlineStr">
        <is>
          <t>Pracrtice Manager</t>
        </is>
      </c>
      <c r="F866" t="inlineStr">
        <is>
          <t>2/19/2024</t>
        </is>
      </c>
      <c r="H866" t="inlineStr">
        <is>
          <t>IVFS2023</t>
        </is>
      </c>
      <c r="I866" t="inlineStr">
        <is>
          <t>NSW</t>
        </is>
      </c>
      <c r="J866" t="inlineStr">
        <is>
          <t>Full Time</t>
        </is>
      </c>
      <c r="K866" s="23" t="inlineStr">
        <is>
          <t>2/19/2024</t>
        </is>
      </c>
      <c r="L866" s="23" t="inlineStr">
        <is>
          <t>2/19/2024</t>
        </is>
      </c>
      <c r="O866" t="n">
        <v>19.5</v>
      </c>
    </row>
    <row r="867">
      <c r="A867" t="inlineStr">
        <is>
          <t>AU23088</t>
        </is>
      </c>
      <c r="C867" t="inlineStr">
        <is>
          <t>VIC-TAS</t>
        </is>
      </c>
      <c r="D867" t="inlineStr">
        <is>
          <t>Virtus Health</t>
        </is>
      </c>
      <c r="E867" t="inlineStr">
        <is>
          <t>Registered Nurse</t>
        </is>
      </c>
      <c r="F867" t="inlineStr">
        <is>
          <t>2/19/2024</t>
        </is>
      </c>
      <c r="H867" t="inlineStr">
        <is>
          <t>TIVF2024</t>
        </is>
      </c>
      <c r="I867" t="inlineStr">
        <is>
          <t>TAS</t>
        </is>
      </c>
      <c r="J867" t="inlineStr">
        <is>
          <t>Casual</t>
        </is>
      </c>
      <c r="K867" s="23" t="inlineStr">
        <is>
          <t>2/19/2024</t>
        </is>
      </c>
      <c r="L867" s="23" t="inlineStr">
        <is>
          <t>2/19/2024</t>
        </is>
      </c>
      <c r="O867" t="n">
        <v>38</v>
      </c>
    </row>
    <row r="868">
      <c r="A868" t="inlineStr">
        <is>
          <t>AU23089</t>
        </is>
      </c>
      <c r="C868" t="inlineStr">
        <is>
          <t>NSW-QLD</t>
        </is>
      </c>
      <c r="D868" t="inlineStr">
        <is>
          <t>Virtus Health</t>
        </is>
      </c>
      <c r="E868" t="inlineStr">
        <is>
          <t xml:space="preserve">HR Systems Administrator </t>
        </is>
      </c>
      <c r="F868" t="inlineStr">
        <is>
          <t>2/27/2024</t>
        </is>
      </c>
      <c r="H868" t="inlineStr">
        <is>
          <t>NSW</t>
        </is>
      </c>
      <c r="I868" t="inlineStr">
        <is>
          <t>NSW</t>
        </is>
      </c>
      <c r="J868" t="inlineStr">
        <is>
          <t>Full Time</t>
        </is>
      </c>
      <c r="K868" s="23" t="inlineStr">
        <is>
          <t>2/27/2024</t>
        </is>
      </c>
      <c r="L868" s="23" t="inlineStr">
        <is>
          <t>2/27/2024</t>
        </is>
      </c>
      <c r="O868" t="n">
        <v>16</v>
      </c>
    </row>
    <row r="869">
      <c r="A869" t="inlineStr">
        <is>
          <t>AU23091</t>
        </is>
      </c>
      <c r="C869" t="inlineStr">
        <is>
          <t>VIC-TAS</t>
        </is>
      </c>
      <c r="D869" t="inlineStr">
        <is>
          <t>Virtus Health</t>
        </is>
      </c>
      <c r="E869" t="inlineStr">
        <is>
          <t>Registered Nurse</t>
        </is>
      </c>
      <c r="F869" t="inlineStr">
        <is>
          <t>2/26/2024</t>
        </is>
      </c>
      <c r="H869" t="inlineStr">
        <is>
          <t>MIVFN2023</t>
        </is>
      </c>
      <c r="I869" t="inlineStr">
        <is>
          <t>VIC</t>
        </is>
      </c>
      <c r="J869" t="inlineStr">
        <is>
          <t>Part Time</t>
        </is>
      </c>
      <c r="K869" s="23" t="inlineStr">
        <is>
          <t>2/26/2024</t>
        </is>
      </c>
      <c r="L869" s="23" t="inlineStr">
        <is>
          <t>2/26/2024</t>
        </is>
      </c>
      <c r="O869" t="n">
        <v>37.05</v>
      </c>
    </row>
    <row r="870">
      <c r="A870" t="inlineStr">
        <is>
          <t>AU23094</t>
        </is>
      </c>
      <c r="B870" s="1" t="n"/>
      <c r="C870" t="inlineStr">
        <is>
          <t>NSW-QLD</t>
        </is>
      </c>
      <c r="D870" t="inlineStr">
        <is>
          <t>Virtus Health</t>
        </is>
      </c>
      <c r="E870" t="inlineStr">
        <is>
          <t xml:space="preserve">Business Development Manager </t>
        </is>
      </c>
      <c r="F870" s="1" t="n">
        <v>45088</v>
      </c>
      <c r="H870" t="inlineStr">
        <is>
          <t>NSW</t>
        </is>
      </c>
      <c r="I870" t="inlineStr">
        <is>
          <t>NSW</t>
        </is>
      </c>
      <c r="J870" t="inlineStr">
        <is>
          <t>Part Time</t>
        </is>
      </c>
      <c r="K870" s="23" t="n">
        <v>45088</v>
      </c>
      <c r="L870" s="23" t="n">
        <v>45088</v>
      </c>
      <c r="O870" t="n">
        <v>38</v>
      </c>
    </row>
    <row r="871">
      <c r="A871" t="inlineStr">
        <is>
          <t>AU23095</t>
        </is>
      </c>
      <c r="C871" t="inlineStr">
        <is>
          <t>NSW-QLD</t>
        </is>
      </c>
      <c r="D871" t="inlineStr">
        <is>
          <t>Virtus Health</t>
        </is>
      </c>
      <c r="E871" t="inlineStr">
        <is>
          <t>Registered Nurse</t>
        </is>
      </c>
      <c r="F871" t="inlineStr">
        <is>
          <t>2/26/2024</t>
        </is>
      </c>
      <c r="H871" t="inlineStr">
        <is>
          <t>IVFN2021</t>
        </is>
      </c>
      <c r="I871" t="inlineStr">
        <is>
          <t>NSW</t>
        </is>
      </c>
      <c r="J871" t="inlineStr">
        <is>
          <t>Part Time</t>
        </is>
      </c>
      <c r="K871" s="23" t="inlineStr">
        <is>
          <t>2/26/2024</t>
        </is>
      </c>
      <c r="L871" s="23" t="inlineStr">
        <is>
          <t>2/26/2024</t>
        </is>
      </c>
      <c r="O871" t="n">
        <v>38</v>
      </c>
    </row>
    <row r="872">
      <c r="A872" t="inlineStr">
        <is>
          <t>AU23096</t>
        </is>
      </c>
      <c r="C872" t="inlineStr">
        <is>
          <t>NSW-QLD</t>
        </is>
      </c>
      <c r="D872" t="inlineStr">
        <is>
          <t>Virtus Health</t>
        </is>
      </c>
      <c r="E872" t="inlineStr">
        <is>
          <t>Assistant in Nursing</t>
        </is>
      </c>
      <c r="F872" t="inlineStr">
        <is>
          <t>2/18/2024</t>
        </is>
      </c>
      <c r="H872" t="inlineStr">
        <is>
          <t>IVFN2021</t>
        </is>
      </c>
      <c r="I872" t="inlineStr">
        <is>
          <t>NSW</t>
        </is>
      </c>
      <c r="J872" t="inlineStr">
        <is>
          <t>Casual</t>
        </is>
      </c>
      <c r="K872" s="23" t="inlineStr">
        <is>
          <t>2/18/2024</t>
        </is>
      </c>
      <c r="L872" s="23" t="inlineStr">
        <is>
          <t>2/18/2024</t>
        </is>
      </c>
      <c r="O872" t="n">
        <v>38</v>
      </c>
    </row>
    <row r="873">
      <c r="A873" t="inlineStr">
        <is>
          <t>AU23097</t>
        </is>
      </c>
      <c r="C873" t="inlineStr">
        <is>
          <t>NSW-QLD</t>
        </is>
      </c>
      <c r="D873" t="inlineStr">
        <is>
          <t>Virtus Health</t>
        </is>
      </c>
      <c r="E873" t="inlineStr">
        <is>
          <t>Registered Nurse</t>
        </is>
      </c>
      <c r="F873" t="inlineStr">
        <is>
          <t>2/26/2024</t>
        </is>
      </c>
      <c r="H873" t="inlineStr">
        <is>
          <t>IVFN2021</t>
        </is>
      </c>
      <c r="I873" t="inlineStr">
        <is>
          <t>NSW</t>
        </is>
      </c>
      <c r="J873" t="inlineStr">
        <is>
          <t>Casual</t>
        </is>
      </c>
      <c r="K873" s="23" t="inlineStr">
        <is>
          <t>2/26/2024</t>
        </is>
      </c>
      <c r="L873" s="23" t="inlineStr">
        <is>
          <t>2/26/2024</t>
        </is>
      </c>
      <c r="O873" t="n">
        <v>38</v>
      </c>
    </row>
    <row r="874">
      <c r="A874" t="inlineStr">
        <is>
          <t>AU23103</t>
        </is>
      </c>
      <c r="B874" s="1" t="n"/>
      <c r="C874" t="inlineStr">
        <is>
          <t>VIC-TAS</t>
        </is>
      </c>
      <c r="D874" t="inlineStr">
        <is>
          <t>Virtus Health</t>
        </is>
      </c>
      <c r="E874" t="inlineStr">
        <is>
          <t xml:space="preserve">Business Development Manager </t>
        </is>
      </c>
      <c r="F874" s="1" t="n">
        <v>45385</v>
      </c>
      <c r="H874" t="inlineStr">
        <is>
          <t>VIC</t>
        </is>
      </c>
      <c r="I874" t="inlineStr">
        <is>
          <t>VIC</t>
        </is>
      </c>
      <c r="J874" t="inlineStr">
        <is>
          <t>Full Time</t>
        </is>
      </c>
      <c r="K874" s="23" t="n">
        <v>45385</v>
      </c>
      <c r="L874" s="23" t="n">
        <v>45385</v>
      </c>
      <c r="O874" t="n">
        <v>38</v>
      </c>
    </row>
    <row r="875">
      <c r="A875" t="inlineStr">
        <is>
          <t>AU23104</t>
        </is>
      </c>
      <c r="B875" s="1" t="n"/>
      <c r="C875" t="inlineStr">
        <is>
          <t>NSW-QLD</t>
        </is>
      </c>
      <c r="D875" t="inlineStr">
        <is>
          <t>Virtus Health</t>
        </is>
      </c>
      <c r="E875" t="inlineStr">
        <is>
          <t>Head of Procurement</t>
        </is>
      </c>
      <c r="F875" s="1" t="n">
        <v>45599</v>
      </c>
      <c r="H875" t="inlineStr">
        <is>
          <t>NSW</t>
        </is>
      </c>
      <c r="I875" t="inlineStr">
        <is>
          <t>NSW</t>
        </is>
      </c>
      <c r="J875" t="inlineStr">
        <is>
          <t>Full Time</t>
        </is>
      </c>
      <c r="K875" s="23" t="n">
        <v>45599</v>
      </c>
      <c r="L875" s="23" t="n">
        <v>45599</v>
      </c>
      <c r="O875" t="n">
        <v>30.4</v>
      </c>
    </row>
    <row r="876">
      <c r="A876" t="inlineStr">
        <is>
          <t>AU23109</t>
        </is>
      </c>
      <c r="B876" s="1" t="n"/>
      <c r="C876" t="inlineStr">
        <is>
          <t>NSW-QLD</t>
        </is>
      </c>
      <c r="D876" t="inlineStr">
        <is>
          <t>Virtus Health</t>
        </is>
      </c>
      <c r="E876" t="inlineStr">
        <is>
          <t>Genetic Scientist</t>
        </is>
      </c>
      <c r="F876" s="1" t="n">
        <v>45385</v>
      </c>
      <c r="H876" t="inlineStr">
        <is>
          <t>QS2024</t>
        </is>
      </c>
      <c r="I876" t="inlineStr">
        <is>
          <t>QLD</t>
        </is>
      </c>
      <c r="J876" t="inlineStr">
        <is>
          <t>Casual</t>
        </is>
      </c>
      <c r="K876" s="23" t="n">
        <v>45385</v>
      </c>
      <c r="L876" s="23" t="n">
        <v>45385</v>
      </c>
      <c r="O876" t="n">
        <v>38</v>
      </c>
    </row>
    <row r="877">
      <c r="A877" t="inlineStr">
        <is>
          <t>AU23110</t>
        </is>
      </c>
      <c r="C877" t="inlineStr">
        <is>
          <t>VIC-TAS</t>
        </is>
      </c>
      <c r="D877" t="inlineStr">
        <is>
          <t>Virtus Health</t>
        </is>
      </c>
      <c r="E877" t="inlineStr">
        <is>
          <t>Courier</t>
        </is>
      </c>
      <c r="F877" t="inlineStr">
        <is>
          <t>2/28/2024</t>
        </is>
      </c>
      <c r="H877" t="inlineStr">
        <is>
          <t>IVFS2023</t>
        </is>
      </c>
      <c r="I877" t="inlineStr">
        <is>
          <t>VIC</t>
        </is>
      </c>
      <c r="J877" t="inlineStr">
        <is>
          <t>Part Time</t>
        </is>
      </c>
      <c r="K877" s="23" t="inlineStr">
        <is>
          <t>2/28/2024</t>
        </is>
      </c>
      <c r="L877" s="23" t="inlineStr">
        <is>
          <t>2/28/2024</t>
        </is>
      </c>
      <c r="O877" t="n">
        <v>12</v>
      </c>
    </row>
    <row r="878">
      <c r="A878" t="inlineStr">
        <is>
          <t>AU23114</t>
        </is>
      </c>
      <c r="B878" s="1" t="n"/>
      <c r="C878" t="inlineStr">
        <is>
          <t>NSW-QLD</t>
        </is>
      </c>
      <c r="D878" t="inlineStr">
        <is>
          <t>Virtus Health</t>
        </is>
      </c>
      <c r="E878" t="inlineStr">
        <is>
          <t>Nures Coordinator</t>
        </is>
      </c>
      <c r="F878" s="1" t="n">
        <v>45385</v>
      </c>
      <c r="H878" t="inlineStr">
        <is>
          <t>IVFN2021</t>
        </is>
      </c>
      <c r="I878" t="inlineStr">
        <is>
          <t>NSW</t>
        </is>
      </c>
      <c r="J878" t="inlineStr">
        <is>
          <t>Full Time</t>
        </is>
      </c>
      <c r="K878" s="23" t="n">
        <v>45385</v>
      </c>
      <c r="L878" s="23" t="n">
        <v>45385</v>
      </c>
      <c r="O878" t="n">
        <v>38</v>
      </c>
    </row>
    <row r="879">
      <c r="A879" t="inlineStr">
        <is>
          <t>AU23115</t>
        </is>
      </c>
      <c r="B879" s="1" t="n"/>
      <c r="C879" t="inlineStr">
        <is>
          <t>VIC-TAS</t>
        </is>
      </c>
      <c r="D879" t="inlineStr">
        <is>
          <t>Virtus Health</t>
        </is>
      </c>
      <c r="E879" t="inlineStr">
        <is>
          <t>Registered Nurse</t>
        </is>
      </c>
      <c r="F879" s="1" t="n">
        <v>45385</v>
      </c>
      <c r="H879" t="inlineStr">
        <is>
          <t>MIVFN2023</t>
        </is>
      </c>
      <c r="I879" t="inlineStr">
        <is>
          <t>VIC</t>
        </is>
      </c>
      <c r="J879" t="inlineStr">
        <is>
          <t>Part Time</t>
        </is>
      </c>
      <c r="K879" s="23" t="n">
        <v>45385</v>
      </c>
      <c r="L879" s="23" t="n">
        <v>45385</v>
      </c>
      <c r="O879" t="n">
        <v>30.4</v>
      </c>
    </row>
    <row r="880">
      <c r="A880" t="inlineStr">
        <is>
          <t>AU23116</t>
        </is>
      </c>
      <c r="B880" s="1" t="n"/>
      <c r="C880" t="inlineStr">
        <is>
          <t>NSW-QLD</t>
        </is>
      </c>
      <c r="D880" t="inlineStr">
        <is>
          <t>Virtus Health</t>
        </is>
      </c>
      <c r="E880" t="inlineStr">
        <is>
          <t>Registered Nurse</t>
        </is>
      </c>
      <c r="F880" s="1" t="n">
        <v>45385</v>
      </c>
      <c r="H880" t="inlineStr">
        <is>
          <t>IVFN2021</t>
        </is>
      </c>
      <c r="I880" t="inlineStr">
        <is>
          <t>NSW</t>
        </is>
      </c>
      <c r="J880" t="inlineStr">
        <is>
          <t>Casual</t>
        </is>
      </c>
      <c r="K880" s="23" t="n">
        <v>45385</v>
      </c>
      <c r="L880" s="23" t="n">
        <v>45385</v>
      </c>
      <c r="O880" t="n">
        <v>38</v>
      </c>
    </row>
    <row r="881">
      <c r="A881" t="inlineStr">
        <is>
          <t>AU23117</t>
        </is>
      </c>
      <c r="B881" s="1" t="n"/>
      <c r="C881" t="inlineStr">
        <is>
          <t>NSW-QLD</t>
        </is>
      </c>
      <c r="D881" t="inlineStr">
        <is>
          <t>Virtus Health</t>
        </is>
      </c>
      <c r="E881" t="inlineStr">
        <is>
          <t>Theatre Orderly</t>
        </is>
      </c>
      <c r="F881" s="1" t="n">
        <v>45385</v>
      </c>
      <c r="H881" t="inlineStr">
        <is>
          <t>IVFS2023</t>
        </is>
      </c>
      <c r="I881" t="inlineStr">
        <is>
          <t>NSW</t>
        </is>
      </c>
      <c r="J881" t="inlineStr">
        <is>
          <t>Casual</t>
        </is>
      </c>
      <c r="K881" s="23" t="n">
        <v>45385</v>
      </c>
      <c r="L881" s="23" t="n">
        <v>45385</v>
      </c>
      <c r="O881" t="n">
        <v>38</v>
      </c>
    </row>
    <row r="882">
      <c r="A882" t="inlineStr">
        <is>
          <t>AU23119</t>
        </is>
      </c>
      <c r="B882" s="1" t="n"/>
      <c r="C882" t="inlineStr">
        <is>
          <t>VIC-TAS</t>
        </is>
      </c>
      <c r="D882" t="inlineStr">
        <is>
          <t>Virtus Health</t>
        </is>
      </c>
      <c r="E882" t="inlineStr">
        <is>
          <t>Registered Nurse</t>
        </is>
      </c>
      <c r="F882" s="1" t="n">
        <v>45599</v>
      </c>
      <c r="H882" t="inlineStr">
        <is>
          <t>TIVF2024</t>
        </is>
      </c>
      <c r="I882" t="inlineStr">
        <is>
          <t>TAS</t>
        </is>
      </c>
      <c r="J882" t="inlineStr">
        <is>
          <t>Part Time</t>
        </is>
      </c>
      <c r="K882" s="23" t="n">
        <v>45599</v>
      </c>
      <c r="L882" s="23" t="n">
        <v>45599</v>
      </c>
      <c r="O882" t="n">
        <v>28</v>
      </c>
    </row>
    <row r="883">
      <c r="A883" t="inlineStr">
        <is>
          <t>AU23128</t>
        </is>
      </c>
      <c r="C883" t="inlineStr">
        <is>
          <t>VIC-TAS</t>
        </is>
      </c>
      <c r="D883" t="inlineStr">
        <is>
          <t>Virtus Health</t>
        </is>
      </c>
      <c r="E883" t="inlineStr">
        <is>
          <t>Embryologist</t>
        </is>
      </c>
      <c r="F883" t="inlineStr">
        <is>
          <t>3/13/2024</t>
        </is>
      </c>
      <c r="H883" t="inlineStr">
        <is>
          <t>MIVFS2022</t>
        </is>
      </c>
      <c r="I883" t="inlineStr">
        <is>
          <t>VIC</t>
        </is>
      </c>
      <c r="J883" t="inlineStr">
        <is>
          <t>Full Time</t>
        </is>
      </c>
      <c r="K883" s="23" t="inlineStr">
        <is>
          <t>3/13/2024</t>
        </is>
      </c>
      <c r="L883" s="23" t="inlineStr">
        <is>
          <t>3/13/2024</t>
        </is>
      </c>
      <c r="O883" t="n">
        <v>38</v>
      </c>
    </row>
    <row r="884">
      <c r="A884" t="inlineStr">
        <is>
          <t>AU23131</t>
        </is>
      </c>
      <c r="B884" s="1" t="n"/>
      <c r="C884" t="inlineStr">
        <is>
          <t>NSW-QLD</t>
        </is>
      </c>
      <c r="D884" t="inlineStr">
        <is>
          <t>Virtus Health</t>
        </is>
      </c>
      <c r="E884" t="inlineStr">
        <is>
          <t>Head of Finance-IVF Australia</t>
        </is>
      </c>
      <c r="F884" s="1" t="n">
        <v>45326</v>
      </c>
      <c r="H884" t="inlineStr">
        <is>
          <t>NSW</t>
        </is>
      </c>
      <c r="I884" t="inlineStr">
        <is>
          <t>NSW</t>
        </is>
      </c>
      <c r="J884" t="inlineStr">
        <is>
          <t>Full Time</t>
        </is>
      </c>
      <c r="K884" s="23" t="n">
        <v>45326</v>
      </c>
      <c r="L884" s="23" t="n">
        <v>45326</v>
      </c>
      <c r="O884" t="n">
        <v>30</v>
      </c>
    </row>
    <row r="885">
      <c r="A885" t="inlineStr">
        <is>
          <t>AU23133</t>
        </is>
      </c>
      <c r="C885" t="inlineStr">
        <is>
          <t>NSW-QLD</t>
        </is>
      </c>
      <c r="D885" t="inlineStr">
        <is>
          <t>Virtus Health</t>
        </is>
      </c>
      <c r="E885" t="inlineStr">
        <is>
          <t>Operation Support Projects</t>
        </is>
      </c>
      <c r="F885" t="inlineStr">
        <is>
          <t>3/18/2024</t>
        </is>
      </c>
      <c r="H885" t="inlineStr">
        <is>
          <t>QLD</t>
        </is>
      </c>
      <c r="I885" t="inlineStr">
        <is>
          <t>QLD</t>
        </is>
      </c>
      <c r="J885" t="inlineStr">
        <is>
          <t>Part Time</t>
        </is>
      </c>
      <c r="K885" s="23" t="inlineStr">
        <is>
          <t>3/18/2024</t>
        </is>
      </c>
      <c r="L885" s="23" t="inlineStr">
        <is>
          <t>3/18/2024</t>
        </is>
      </c>
      <c r="O885" t="n">
        <v>28.5</v>
      </c>
    </row>
    <row r="886">
      <c r="A886" t="inlineStr">
        <is>
          <t>AU23134</t>
        </is>
      </c>
      <c r="C886" t="inlineStr">
        <is>
          <t>NSW-QLD</t>
        </is>
      </c>
      <c r="D886" t="inlineStr">
        <is>
          <t>Virtus Health</t>
        </is>
      </c>
      <c r="E886" t="inlineStr">
        <is>
          <t>Registered Midwife</t>
        </is>
      </c>
      <c r="F886" t="inlineStr">
        <is>
          <t>3/18/2024</t>
        </is>
      </c>
      <c r="H886" t="inlineStr">
        <is>
          <t>IVFN2021</t>
        </is>
      </c>
      <c r="I886" t="inlineStr">
        <is>
          <t>NSW</t>
        </is>
      </c>
      <c r="J886" t="inlineStr">
        <is>
          <t>Full Time</t>
        </is>
      </c>
      <c r="K886" s="23" t="inlineStr">
        <is>
          <t>3/18/2024</t>
        </is>
      </c>
      <c r="L886" s="23" t="inlineStr">
        <is>
          <t>3/18/2024</t>
        </is>
      </c>
      <c r="O886" t="n">
        <v>38</v>
      </c>
    </row>
    <row r="887">
      <c r="A887" t="inlineStr">
        <is>
          <t>AU23135</t>
        </is>
      </c>
      <c r="B887" s="1" t="n"/>
      <c r="C887" t="inlineStr">
        <is>
          <t>NSW-QLD</t>
        </is>
      </c>
      <c r="D887" t="inlineStr">
        <is>
          <t>Virtus Health</t>
        </is>
      </c>
      <c r="E887" t="inlineStr">
        <is>
          <t>Registered Nurse</t>
        </is>
      </c>
      <c r="F887" s="1" t="n">
        <v>45599</v>
      </c>
      <c r="H887" t="inlineStr">
        <is>
          <t>IVFN2021</t>
        </is>
      </c>
      <c r="I887" t="inlineStr">
        <is>
          <t>NSW</t>
        </is>
      </c>
      <c r="J887" t="inlineStr">
        <is>
          <t>Casual</t>
        </is>
      </c>
      <c r="K887" s="23" t="n">
        <v>45599</v>
      </c>
      <c r="L887" s="23" t="n">
        <v>45599</v>
      </c>
      <c r="O887" t="n">
        <v>38</v>
      </c>
    </row>
    <row r="888">
      <c r="A888" t="inlineStr">
        <is>
          <t>AU23136</t>
        </is>
      </c>
      <c r="C888" t="inlineStr">
        <is>
          <t>NSW-QLD</t>
        </is>
      </c>
      <c r="D888" t="inlineStr">
        <is>
          <t>Virtus Health</t>
        </is>
      </c>
      <c r="E888" t="inlineStr">
        <is>
          <t>Genetic Laboratory Assistant</t>
        </is>
      </c>
      <c r="F888" t="inlineStr">
        <is>
          <t>3/18/2024</t>
        </is>
      </c>
      <c r="H888" t="inlineStr">
        <is>
          <t>QS2024</t>
        </is>
      </c>
      <c r="I888" t="inlineStr">
        <is>
          <t>QLD</t>
        </is>
      </c>
      <c r="J888" t="inlineStr">
        <is>
          <t>Part Time</t>
        </is>
      </c>
      <c r="K888" s="23" t="inlineStr">
        <is>
          <t>3/18/2024</t>
        </is>
      </c>
      <c r="L888" s="23" t="inlineStr">
        <is>
          <t>3/18/2024</t>
        </is>
      </c>
      <c r="O888" t="n">
        <v>16</v>
      </c>
    </row>
    <row r="889">
      <c r="A889" t="inlineStr">
        <is>
          <t>AU23139</t>
        </is>
      </c>
      <c r="B889" s="1" t="n"/>
      <c r="C889" t="inlineStr">
        <is>
          <t>NSW-QLD</t>
        </is>
      </c>
      <c r="D889" t="inlineStr">
        <is>
          <t>Virtus Health</t>
        </is>
      </c>
      <c r="E889" t="inlineStr">
        <is>
          <t>Admin Team Leader</t>
        </is>
      </c>
      <c r="F889" s="1" t="n">
        <v>45326</v>
      </c>
      <c r="H889" t="inlineStr">
        <is>
          <t>IVFS2023</t>
        </is>
      </c>
      <c r="I889" t="inlineStr">
        <is>
          <t>QLD</t>
        </is>
      </c>
      <c r="J889" t="inlineStr">
        <is>
          <t>Full Time</t>
        </is>
      </c>
      <c r="K889" s="23" t="n">
        <v>45326</v>
      </c>
      <c r="L889" s="23" t="n">
        <v>45326</v>
      </c>
      <c r="O889" t="n">
        <v>38</v>
      </c>
    </row>
    <row r="890">
      <c r="A890" t="inlineStr">
        <is>
          <t>AU23140</t>
        </is>
      </c>
      <c r="C890" t="inlineStr">
        <is>
          <t>NSW-QLD</t>
        </is>
      </c>
      <c r="D890" t="inlineStr">
        <is>
          <t>Virtus Health</t>
        </is>
      </c>
      <c r="E890" t="inlineStr">
        <is>
          <t>Registered Nurse</t>
        </is>
      </c>
      <c r="F890" t="inlineStr">
        <is>
          <t>3/18/2024</t>
        </is>
      </c>
      <c r="H890" t="inlineStr">
        <is>
          <t>IVFN2021</t>
        </is>
      </c>
      <c r="I890" t="inlineStr">
        <is>
          <t>NSW</t>
        </is>
      </c>
      <c r="J890" t="inlineStr">
        <is>
          <t>Full Time</t>
        </is>
      </c>
      <c r="K890" s="23" t="inlineStr">
        <is>
          <t>3/18/2024</t>
        </is>
      </c>
      <c r="L890" s="23" t="inlineStr">
        <is>
          <t>3/18/2024</t>
        </is>
      </c>
      <c r="O890" t="n">
        <v>38</v>
      </c>
    </row>
    <row r="891">
      <c r="A891" t="inlineStr">
        <is>
          <t>AU23141</t>
        </is>
      </c>
      <c r="C891" t="inlineStr">
        <is>
          <t>NSW-QLD</t>
        </is>
      </c>
      <c r="D891" t="inlineStr">
        <is>
          <t>Virtus Health</t>
        </is>
      </c>
      <c r="E891" t="inlineStr">
        <is>
          <t>Administration Assistant</t>
        </is>
      </c>
      <c r="F891" t="inlineStr">
        <is>
          <t>3/25/2024</t>
        </is>
      </c>
      <c r="H891" t="inlineStr">
        <is>
          <t>IVFS2023</t>
        </is>
      </c>
      <c r="I891" t="inlineStr">
        <is>
          <t>QLD</t>
        </is>
      </c>
      <c r="J891" t="inlineStr">
        <is>
          <t>Casual</t>
        </is>
      </c>
      <c r="K891" s="23" t="inlineStr">
        <is>
          <t>3/25/2024</t>
        </is>
      </c>
      <c r="L891" s="23" t="inlineStr">
        <is>
          <t>3/25/2024</t>
        </is>
      </c>
      <c r="O891" t="n">
        <v>38</v>
      </c>
    </row>
    <row r="892">
      <c r="A892" t="inlineStr">
        <is>
          <t>AU23146</t>
        </is>
      </c>
      <c r="B892" s="1" t="n"/>
      <c r="C892" t="inlineStr">
        <is>
          <t>NSW-QLD</t>
        </is>
      </c>
      <c r="D892" t="inlineStr">
        <is>
          <t>Virtus Health</t>
        </is>
      </c>
      <c r="E892" t="inlineStr">
        <is>
          <t>Chief Digital Health Officer</t>
        </is>
      </c>
      <c r="F892" s="1" t="n">
        <v>45326</v>
      </c>
      <c r="H892" t="inlineStr">
        <is>
          <t>VIC</t>
        </is>
      </c>
      <c r="I892" t="inlineStr">
        <is>
          <t>VIC</t>
        </is>
      </c>
      <c r="J892" t="inlineStr">
        <is>
          <t>Full Time</t>
        </is>
      </c>
      <c r="K892" s="23" t="n">
        <v>45326</v>
      </c>
      <c r="L892" s="23" t="n">
        <v>45326</v>
      </c>
      <c r="O892" t="n">
        <v>30</v>
      </c>
    </row>
    <row r="893">
      <c r="A893" t="inlineStr">
        <is>
          <t>AU23147</t>
        </is>
      </c>
      <c r="B893" s="1" t="n"/>
      <c r="C893" t="inlineStr">
        <is>
          <t>NSW-QLD</t>
        </is>
      </c>
      <c r="D893" t="inlineStr">
        <is>
          <t>Virtus Health</t>
        </is>
      </c>
      <c r="E893" t="inlineStr">
        <is>
          <t>Assistant in Nursing</t>
        </is>
      </c>
      <c r="F893" s="1" t="n">
        <v>45326</v>
      </c>
      <c r="H893" t="inlineStr">
        <is>
          <t>IVFN2021</t>
        </is>
      </c>
      <c r="I893" t="inlineStr">
        <is>
          <t>NSW</t>
        </is>
      </c>
      <c r="J893" t="inlineStr">
        <is>
          <t>Part Time</t>
        </is>
      </c>
      <c r="K893" s="23" t="n">
        <v>45326</v>
      </c>
      <c r="L893" s="23" t="n">
        <v>45326</v>
      </c>
      <c r="O893" t="n">
        <v>21</v>
      </c>
    </row>
    <row r="894">
      <c r="A894" t="inlineStr">
        <is>
          <t>AU23148</t>
        </is>
      </c>
      <c r="B894" s="1" t="n"/>
      <c r="C894" t="inlineStr">
        <is>
          <t>VIC-TAS</t>
        </is>
      </c>
      <c r="D894" t="inlineStr">
        <is>
          <t>Virtus Health</t>
        </is>
      </c>
      <c r="E894" t="inlineStr">
        <is>
          <t>Accounts Receivable Administrator</t>
        </is>
      </c>
      <c r="F894" s="1" t="n">
        <v>45386</v>
      </c>
      <c r="H894" t="inlineStr">
        <is>
          <t>MIVFS2022</t>
        </is>
      </c>
      <c r="I894" t="inlineStr">
        <is>
          <t>VIC</t>
        </is>
      </c>
      <c r="J894" t="inlineStr">
        <is>
          <t>Full Time</t>
        </is>
      </c>
      <c r="K894" s="23" t="n">
        <v>45386</v>
      </c>
      <c r="L894" s="23" t="n">
        <v>45386</v>
      </c>
      <c r="O894" t="n">
        <v>38</v>
      </c>
    </row>
    <row r="895">
      <c r="A895" t="inlineStr">
        <is>
          <t>AU23151</t>
        </is>
      </c>
      <c r="C895" t="inlineStr">
        <is>
          <t>NSW-QLD</t>
        </is>
      </c>
      <c r="D895" t="inlineStr">
        <is>
          <t>Virtus Health</t>
        </is>
      </c>
      <c r="E895" t="inlineStr">
        <is>
          <t>Registered Nurse</t>
        </is>
      </c>
      <c r="F895" t="inlineStr">
        <is>
          <t>3/27/2024</t>
        </is>
      </c>
      <c r="H895" t="inlineStr">
        <is>
          <t>IVFN2021</t>
        </is>
      </c>
      <c r="I895" t="inlineStr">
        <is>
          <t>NSW</t>
        </is>
      </c>
      <c r="J895" t="inlineStr">
        <is>
          <t>Casual</t>
        </is>
      </c>
      <c r="K895" s="23" t="inlineStr">
        <is>
          <t>3/27/2024</t>
        </is>
      </c>
      <c r="L895" s="23" t="inlineStr">
        <is>
          <t>3/27/2024</t>
        </is>
      </c>
      <c r="O895" t="n">
        <v>38</v>
      </c>
    </row>
    <row r="896">
      <c r="A896" t="inlineStr">
        <is>
          <t>AU23153</t>
        </is>
      </c>
      <c r="B896" s="1" t="n"/>
      <c r="C896" t="inlineStr">
        <is>
          <t>NSW-QLD</t>
        </is>
      </c>
      <c r="D896" t="inlineStr">
        <is>
          <t>Virtus Health</t>
        </is>
      </c>
      <c r="E896" t="inlineStr">
        <is>
          <t>CSSD Tech</t>
        </is>
      </c>
      <c r="F896" s="1" t="n">
        <v>45386</v>
      </c>
      <c r="H896" t="inlineStr">
        <is>
          <t>IVFS2023</t>
        </is>
      </c>
      <c r="I896" t="inlineStr">
        <is>
          <t>NSW</t>
        </is>
      </c>
      <c r="J896" t="inlineStr">
        <is>
          <t>Casual</t>
        </is>
      </c>
      <c r="K896" s="23" t="n">
        <v>45386</v>
      </c>
      <c r="L896" s="23" t="n">
        <v>45386</v>
      </c>
      <c r="O896" t="n">
        <v>15.2</v>
      </c>
    </row>
    <row r="897">
      <c r="A897" t="inlineStr">
        <is>
          <t>AU23155</t>
        </is>
      </c>
      <c r="B897" s="1" t="n"/>
      <c r="C897" t="inlineStr">
        <is>
          <t>NSW-QLD</t>
        </is>
      </c>
      <c r="D897" t="inlineStr">
        <is>
          <t>Virtus Health</t>
        </is>
      </c>
      <c r="E897" t="inlineStr">
        <is>
          <t>Enrolled Nurse</t>
        </is>
      </c>
      <c r="F897" s="1" t="n">
        <v>45508</v>
      </c>
      <c r="H897" t="inlineStr">
        <is>
          <t>QN2025</t>
        </is>
      </c>
      <c r="I897" t="inlineStr">
        <is>
          <t>QLD</t>
        </is>
      </c>
      <c r="J897" t="inlineStr">
        <is>
          <t>Full Time</t>
        </is>
      </c>
      <c r="K897" s="23" t="n">
        <v>45508</v>
      </c>
      <c r="L897" s="23" t="n">
        <v>45508</v>
      </c>
      <c r="O897" t="n">
        <v>38</v>
      </c>
    </row>
    <row r="898">
      <c r="A898" t="inlineStr">
        <is>
          <t>AU23158</t>
        </is>
      </c>
      <c r="C898" t="inlineStr">
        <is>
          <t>NSW-QLD</t>
        </is>
      </c>
      <c r="D898" t="inlineStr">
        <is>
          <t>Virtus Health</t>
        </is>
      </c>
      <c r="E898" t="inlineStr">
        <is>
          <t>Phlebotomist</t>
        </is>
      </c>
      <c r="F898" t="inlineStr">
        <is>
          <t>4/16/2024</t>
        </is>
      </c>
      <c r="H898" t="inlineStr">
        <is>
          <t>IVFS2023</t>
        </is>
      </c>
      <c r="I898" t="inlineStr">
        <is>
          <t>QLD</t>
        </is>
      </c>
      <c r="J898" t="inlineStr">
        <is>
          <t>Casual</t>
        </is>
      </c>
      <c r="K898" s="23" t="inlineStr">
        <is>
          <t>4/16/2024</t>
        </is>
      </c>
      <c r="L898" s="23" t="inlineStr">
        <is>
          <t>4/16/2024</t>
        </is>
      </c>
      <c r="O898" t="n">
        <v>38</v>
      </c>
    </row>
    <row r="899">
      <c r="A899" t="inlineStr">
        <is>
          <t>AU23172</t>
        </is>
      </c>
      <c r="B899" s="1" t="n"/>
      <c r="C899" t="inlineStr">
        <is>
          <t>NSW-QLD</t>
        </is>
      </c>
      <c r="D899" t="inlineStr">
        <is>
          <t>Virtus Health</t>
        </is>
      </c>
      <c r="E899" t="inlineStr">
        <is>
          <t>Donor Coordinator</t>
        </is>
      </c>
      <c r="F899" s="1" t="n">
        <v>45539</v>
      </c>
      <c r="H899" t="inlineStr">
        <is>
          <t>IVFS2023</t>
        </is>
      </c>
      <c r="I899" t="inlineStr">
        <is>
          <t>NSW</t>
        </is>
      </c>
      <c r="J899" t="inlineStr">
        <is>
          <t>Part Time</t>
        </is>
      </c>
      <c r="K899" s="23" t="n">
        <v>45539</v>
      </c>
      <c r="L899" s="23" t="n">
        <v>45539</v>
      </c>
      <c r="O899" t="n">
        <v>38</v>
      </c>
    </row>
    <row r="900">
      <c r="A900" t="inlineStr">
        <is>
          <t>AU23176</t>
        </is>
      </c>
      <c r="B900" s="1" t="n"/>
      <c r="C900" t="inlineStr">
        <is>
          <t>NSW-QLD</t>
        </is>
      </c>
      <c r="D900" t="inlineStr">
        <is>
          <t>Virtus Health</t>
        </is>
      </c>
      <c r="E900" t="inlineStr">
        <is>
          <t>Genetic Scientist</t>
        </is>
      </c>
      <c r="F900" s="1" t="n">
        <v>45478</v>
      </c>
      <c r="H900" t="inlineStr">
        <is>
          <t>QS2024</t>
        </is>
      </c>
      <c r="I900" t="inlineStr">
        <is>
          <t>QLD</t>
        </is>
      </c>
      <c r="J900" t="inlineStr">
        <is>
          <t>Full Time</t>
        </is>
      </c>
      <c r="K900" s="23" t="n">
        <v>45478</v>
      </c>
      <c r="L900" s="23" t="n">
        <v>45478</v>
      </c>
      <c r="O900" t="n">
        <v>38</v>
      </c>
    </row>
    <row r="901">
      <c r="A901" t="inlineStr">
        <is>
          <t>AU23177</t>
        </is>
      </c>
      <c r="C901" t="inlineStr">
        <is>
          <t>NSW-QLD</t>
        </is>
      </c>
      <c r="D901" t="inlineStr">
        <is>
          <t>Virtus Health</t>
        </is>
      </c>
      <c r="E901" t="inlineStr">
        <is>
          <t>Medical Receptionist</t>
        </is>
      </c>
      <c r="F901" t="inlineStr">
        <is>
          <t>4/22/2024</t>
        </is>
      </c>
      <c r="H901" t="inlineStr">
        <is>
          <t>IVFS2023</t>
        </is>
      </c>
      <c r="I901" t="inlineStr">
        <is>
          <t>QLD</t>
        </is>
      </c>
      <c r="J901" t="inlineStr">
        <is>
          <t>Part Time</t>
        </is>
      </c>
      <c r="K901" s="23" t="inlineStr">
        <is>
          <t>4/22/2024</t>
        </is>
      </c>
      <c r="L901" s="23" t="inlineStr">
        <is>
          <t>4/22/2024</t>
        </is>
      </c>
      <c r="O901" t="n">
        <v>38</v>
      </c>
    </row>
    <row r="902">
      <c r="A902" t="inlineStr">
        <is>
          <t>AU23178</t>
        </is>
      </c>
      <c r="C902" t="inlineStr">
        <is>
          <t>NSW-QLD</t>
        </is>
      </c>
      <c r="D902" t="inlineStr">
        <is>
          <t>Virtus Health</t>
        </is>
      </c>
      <c r="E902" t="inlineStr">
        <is>
          <t>Administration Officer</t>
        </is>
      </c>
      <c r="F902" t="inlineStr">
        <is>
          <t>4/24/2024</t>
        </is>
      </c>
      <c r="H902" t="inlineStr">
        <is>
          <t>IVFS2023</t>
        </is>
      </c>
      <c r="I902" t="inlineStr">
        <is>
          <t>NSW</t>
        </is>
      </c>
      <c r="J902" t="inlineStr">
        <is>
          <t>Casual</t>
        </is>
      </c>
      <c r="K902" s="23" t="inlineStr">
        <is>
          <t>4/24/2024</t>
        </is>
      </c>
      <c r="L902" s="23" t="inlineStr">
        <is>
          <t>4/24/2024</t>
        </is>
      </c>
      <c r="O902" t="n">
        <v>32</v>
      </c>
    </row>
    <row r="903">
      <c r="A903" t="inlineStr">
        <is>
          <t>AU23180</t>
        </is>
      </c>
      <c r="C903" t="inlineStr">
        <is>
          <t>NSW-QLD</t>
        </is>
      </c>
      <c r="D903" t="inlineStr">
        <is>
          <t>Virtus Health</t>
        </is>
      </c>
      <c r="E903" t="inlineStr">
        <is>
          <t>Payroll Business Partner</t>
        </is>
      </c>
      <c r="F903" t="inlineStr">
        <is>
          <t>4/29/2024</t>
        </is>
      </c>
      <c r="H903" t="inlineStr">
        <is>
          <t>NSW</t>
        </is>
      </c>
      <c r="I903" t="inlineStr">
        <is>
          <t>NSW</t>
        </is>
      </c>
      <c r="J903" t="inlineStr">
        <is>
          <t>Full Time</t>
        </is>
      </c>
      <c r="K903" s="23" t="inlineStr">
        <is>
          <t>4/29/2024</t>
        </is>
      </c>
      <c r="L903" s="23" t="inlineStr">
        <is>
          <t>4/29/2024</t>
        </is>
      </c>
      <c r="O903" t="n">
        <v>38</v>
      </c>
    </row>
    <row r="904">
      <c r="A904" t="inlineStr">
        <is>
          <t>AU23181</t>
        </is>
      </c>
      <c r="C904" t="inlineStr">
        <is>
          <t>NSW-QLD</t>
        </is>
      </c>
      <c r="D904" t="inlineStr">
        <is>
          <t>Virtus Health</t>
        </is>
      </c>
      <c r="E904" t="inlineStr">
        <is>
          <t>Assistant in Nursing</t>
        </is>
      </c>
      <c r="F904" t="inlineStr">
        <is>
          <t>4/29/2024</t>
        </is>
      </c>
      <c r="H904" t="inlineStr">
        <is>
          <t>IVFN2021</t>
        </is>
      </c>
      <c r="I904" t="inlineStr">
        <is>
          <t>NSW</t>
        </is>
      </c>
      <c r="J904" t="inlineStr">
        <is>
          <t>Full Time</t>
        </is>
      </c>
      <c r="K904" s="23" t="inlineStr">
        <is>
          <t>4/29/2024</t>
        </is>
      </c>
      <c r="L904" s="23" t="inlineStr">
        <is>
          <t>4/29/2024</t>
        </is>
      </c>
      <c r="O904" t="n">
        <v>38</v>
      </c>
    </row>
    <row r="905">
      <c r="A905" t="inlineStr">
        <is>
          <t>AU23182</t>
        </is>
      </c>
      <c r="C905" t="inlineStr">
        <is>
          <t>NSW-QLD</t>
        </is>
      </c>
      <c r="D905" t="inlineStr">
        <is>
          <t>Virtus Health</t>
        </is>
      </c>
      <c r="E905" t="inlineStr">
        <is>
          <t>Theatre Orderly</t>
        </is>
      </c>
      <c r="F905" t="inlineStr">
        <is>
          <t>4/22/2024</t>
        </is>
      </c>
      <c r="H905" t="inlineStr">
        <is>
          <t>IVFS2023</t>
        </is>
      </c>
      <c r="I905" t="inlineStr">
        <is>
          <t>NSW</t>
        </is>
      </c>
      <c r="J905" t="inlineStr">
        <is>
          <t>Casual</t>
        </is>
      </c>
      <c r="K905" s="23" t="inlineStr">
        <is>
          <t>4/22/2024</t>
        </is>
      </c>
      <c r="L905" s="23" t="inlineStr">
        <is>
          <t>4/22/2024</t>
        </is>
      </c>
      <c r="O905" t="n">
        <v>24</v>
      </c>
    </row>
    <row r="906">
      <c r="A906" t="inlineStr">
        <is>
          <t>AU23186</t>
        </is>
      </c>
      <c r="C906" t="inlineStr">
        <is>
          <t>NSW-QLD</t>
        </is>
      </c>
      <c r="D906" t="inlineStr">
        <is>
          <t>Virtus Health</t>
        </is>
      </c>
      <c r="E906" t="inlineStr">
        <is>
          <t>Nures Coordinator</t>
        </is>
      </c>
      <c r="F906" t="inlineStr">
        <is>
          <t>4/29/2024</t>
        </is>
      </c>
      <c r="H906" t="inlineStr">
        <is>
          <t>IVFN2021</t>
        </is>
      </c>
      <c r="I906" t="inlineStr">
        <is>
          <t>ACT</t>
        </is>
      </c>
      <c r="J906" t="inlineStr">
        <is>
          <t>Part Time</t>
        </is>
      </c>
      <c r="K906" s="23" t="inlineStr">
        <is>
          <t>4/29/2024</t>
        </is>
      </c>
      <c r="L906" s="23" t="inlineStr">
        <is>
          <t>4/29/2024</t>
        </is>
      </c>
      <c r="O906" t="n">
        <v>26</v>
      </c>
    </row>
    <row r="907">
      <c r="A907" t="inlineStr">
        <is>
          <t>AU23189</t>
        </is>
      </c>
      <c r="C907" t="inlineStr">
        <is>
          <t>VIC-TAS</t>
        </is>
      </c>
      <c r="D907" t="inlineStr">
        <is>
          <t>Virtus Health</t>
        </is>
      </c>
      <c r="E907" t="inlineStr">
        <is>
          <t>IVF Laboratory Team Leader</t>
        </is>
      </c>
      <c r="F907" t="inlineStr">
        <is>
          <t>4/29/2024</t>
        </is>
      </c>
      <c r="H907" t="inlineStr">
        <is>
          <t>MIVFS2022</t>
        </is>
      </c>
      <c r="I907" t="inlineStr">
        <is>
          <t>VIC</t>
        </is>
      </c>
      <c r="J907" t="inlineStr">
        <is>
          <t>Full Time</t>
        </is>
      </c>
      <c r="K907" s="23" t="inlineStr">
        <is>
          <t>4/29/2024</t>
        </is>
      </c>
      <c r="L907" s="23" t="inlineStr">
        <is>
          <t>4/29/2024</t>
        </is>
      </c>
      <c r="O907" t="n">
        <v>38</v>
      </c>
    </row>
    <row r="908">
      <c r="A908" t="inlineStr">
        <is>
          <t>AU23195</t>
        </is>
      </c>
      <c r="C908" t="inlineStr">
        <is>
          <t>NSW-QLD</t>
        </is>
      </c>
      <c r="D908" t="inlineStr">
        <is>
          <t>Virtus Health</t>
        </is>
      </c>
      <c r="E908" t="inlineStr">
        <is>
          <t>Assistant in Nursing</t>
        </is>
      </c>
      <c r="F908" t="inlineStr">
        <is>
          <t>4/29/2024</t>
        </is>
      </c>
      <c r="H908" t="inlineStr">
        <is>
          <t>IVFN2021</t>
        </is>
      </c>
      <c r="I908" t="inlineStr">
        <is>
          <t>NSW</t>
        </is>
      </c>
      <c r="J908" t="inlineStr">
        <is>
          <t>Part Time</t>
        </is>
      </c>
      <c r="K908" s="23" t="inlineStr">
        <is>
          <t>4/29/2024</t>
        </is>
      </c>
      <c r="L908" s="23" t="inlineStr">
        <is>
          <t>4/29/2024</t>
        </is>
      </c>
      <c r="O908" t="n">
        <v>19.2</v>
      </c>
    </row>
    <row r="909">
      <c r="A909" t="inlineStr">
        <is>
          <t>AU23196</t>
        </is>
      </c>
      <c r="C909" t="inlineStr">
        <is>
          <t>NSW-QLD</t>
        </is>
      </c>
      <c r="D909" t="inlineStr">
        <is>
          <t>Virtus Health</t>
        </is>
      </c>
      <c r="E909" t="inlineStr">
        <is>
          <t>Genetic Scientist</t>
        </is>
      </c>
      <c r="F909" t="inlineStr">
        <is>
          <t>5/20/2024</t>
        </is>
      </c>
      <c r="H909" t="inlineStr">
        <is>
          <t>QS2024</t>
        </is>
      </c>
      <c r="I909" t="inlineStr">
        <is>
          <t>QLD</t>
        </is>
      </c>
      <c r="J909" t="inlineStr">
        <is>
          <t>Full Time</t>
        </is>
      </c>
      <c r="K909" s="23" t="inlineStr">
        <is>
          <t>5/20/2024</t>
        </is>
      </c>
      <c r="L909" s="23" t="inlineStr">
        <is>
          <t>5/20/2024</t>
        </is>
      </c>
      <c r="O909" t="n">
        <v>22.8</v>
      </c>
    </row>
    <row r="910">
      <c r="A910" t="inlineStr">
        <is>
          <t>AU23197</t>
        </is>
      </c>
      <c r="B910" s="1" t="n"/>
      <c r="C910" t="inlineStr">
        <is>
          <t>NSW-QLD</t>
        </is>
      </c>
      <c r="D910" t="inlineStr">
        <is>
          <t>Virtus Health</t>
        </is>
      </c>
      <c r="E910" t="inlineStr">
        <is>
          <t>Nures Coordinator</t>
        </is>
      </c>
      <c r="F910" s="1" t="n">
        <v>45448</v>
      </c>
      <c r="H910" t="inlineStr">
        <is>
          <t>IVFN2021</t>
        </is>
      </c>
      <c r="I910" t="inlineStr">
        <is>
          <t>NSW</t>
        </is>
      </c>
      <c r="J910" t="inlineStr">
        <is>
          <t>Full Time</t>
        </is>
      </c>
      <c r="K910" s="23" t="n">
        <v>45448</v>
      </c>
      <c r="L910" s="23" t="n">
        <v>45448</v>
      </c>
      <c r="O910" t="n">
        <v>38</v>
      </c>
    </row>
    <row r="911">
      <c r="A911" t="inlineStr">
        <is>
          <t>AU23200</t>
        </is>
      </c>
      <c r="B911" s="1" t="n"/>
      <c r="C911" t="inlineStr">
        <is>
          <t>NSW-QLD</t>
        </is>
      </c>
      <c r="D911" t="inlineStr">
        <is>
          <t>Virtus Health</t>
        </is>
      </c>
      <c r="E911" t="inlineStr">
        <is>
          <t>Registered Nurse</t>
        </is>
      </c>
      <c r="F911" s="1" t="n">
        <v>45326</v>
      </c>
      <c r="H911" t="inlineStr">
        <is>
          <t>IVFN2021</t>
        </is>
      </c>
      <c r="I911" t="inlineStr">
        <is>
          <t>NSW</t>
        </is>
      </c>
      <c r="J911" t="inlineStr">
        <is>
          <t>Full Time</t>
        </is>
      </c>
      <c r="K911" s="23" t="n">
        <v>45326</v>
      </c>
      <c r="L911" s="23" t="n">
        <v>45326</v>
      </c>
      <c r="O911" t="n">
        <v>38</v>
      </c>
    </row>
    <row r="912">
      <c r="A912" t="inlineStr">
        <is>
          <t>AU23201</t>
        </is>
      </c>
      <c r="C912" t="inlineStr">
        <is>
          <t>NSW-QLD</t>
        </is>
      </c>
      <c r="D912" t="inlineStr">
        <is>
          <t>Virtus Health</t>
        </is>
      </c>
      <c r="E912" t="inlineStr">
        <is>
          <t>Courier</t>
        </is>
      </c>
      <c r="F912" t="inlineStr">
        <is>
          <t>4/29/2024</t>
        </is>
      </c>
      <c r="H912" t="inlineStr">
        <is>
          <t>IVFS2023</t>
        </is>
      </c>
      <c r="I912" t="inlineStr">
        <is>
          <t>QLD</t>
        </is>
      </c>
      <c r="J912" t="inlineStr">
        <is>
          <t>Part Time</t>
        </is>
      </c>
      <c r="K912" s="23" t="inlineStr">
        <is>
          <t>4/29/2024</t>
        </is>
      </c>
      <c r="L912" s="23" t="inlineStr">
        <is>
          <t>4/29/2024</t>
        </is>
      </c>
      <c r="O912" t="n">
        <v>30.4</v>
      </c>
    </row>
    <row r="913">
      <c r="A913" t="inlineStr">
        <is>
          <t>AU23203</t>
        </is>
      </c>
      <c r="C913" t="inlineStr">
        <is>
          <t>NSW-QLD</t>
        </is>
      </c>
      <c r="D913" t="inlineStr">
        <is>
          <t>Virtus Health</t>
        </is>
      </c>
      <c r="E913" t="inlineStr">
        <is>
          <t>Enrolled Nurse</t>
        </is>
      </c>
      <c r="F913" t="inlineStr">
        <is>
          <t>4/22/2024</t>
        </is>
      </c>
      <c r="H913" t="inlineStr">
        <is>
          <t>IVFN2021</t>
        </is>
      </c>
      <c r="I913" t="inlineStr">
        <is>
          <t>NSW</t>
        </is>
      </c>
      <c r="J913" t="inlineStr">
        <is>
          <t>Casual</t>
        </is>
      </c>
      <c r="K913" s="23" t="inlineStr">
        <is>
          <t>4/22/2024</t>
        </is>
      </c>
      <c r="L913" s="23" t="inlineStr">
        <is>
          <t>4/22/2024</t>
        </is>
      </c>
      <c r="O913" t="n">
        <v>38</v>
      </c>
    </row>
    <row r="914">
      <c r="A914" t="inlineStr">
        <is>
          <t>AU23205</t>
        </is>
      </c>
      <c r="B914" s="1" t="n"/>
      <c r="C914" t="inlineStr">
        <is>
          <t>NSW-QLD</t>
        </is>
      </c>
      <c r="D914" t="inlineStr">
        <is>
          <t>Virtus Health</t>
        </is>
      </c>
      <c r="E914" t="inlineStr">
        <is>
          <t>Clinical Nurse Specialist</t>
        </is>
      </c>
      <c r="F914" s="1" t="n">
        <v>45296</v>
      </c>
      <c r="H914" t="inlineStr">
        <is>
          <t>IVFN2021</t>
        </is>
      </c>
      <c r="I914" t="inlineStr">
        <is>
          <t>NSW</t>
        </is>
      </c>
      <c r="J914" t="inlineStr">
        <is>
          <t>Casual</t>
        </is>
      </c>
      <c r="K914" s="23" t="n">
        <v>45296</v>
      </c>
      <c r="L914" s="23" t="n">
        <v>45296</v>
      </c>
      <c r="O914" t="n">
        <v>38</v>
      </c>
    </row>
    <row r="915">
      <c r="A915" t="inlineStr">
        <is>
          <t>AU23206</t>
        </is>
      </c>
      <c r="C915" t="inlineStr">
        <is>
          <t>NSW-QLD</t>
        </is>
      </c>
      <c r="D915" t="inlineStr">
        <is>
          <t>Virtus Health</t>
        </is>
      </c>
      <c r="E915" t="inlineStr">
        <is>
          <t>Marketing and Campaign Manager b</t>
        </is>
      </c>
      <c r="F915" t="inlineStr">
        <is>
          <t>5/13/2024</t>
        </is>
      </c>
      <c r="H915" t="inlineStr">
        <is>
          <t>VIC</t>
        </is>
      </c>
      <c r="I915" t="inlineStr">
        <is>
          <t>VIC</t>
        </is>
      </c>
      <c r="J915" t="inlineStr">
        <is>
          <t>Full Time</t>
        </is>
      </c>
      <c r="K915" s="23" t="inlineStr">
        <is>
          <t>5/13/2024</t>
        </is>
      </c>
      <c r="L915" s="23" t="inlineStr">
        <is>
          <t>5/13/2024</t>
        </is>
      </c>
      <c r="O915" t="n">
        <v>38</v>
      </c>
    </row>
    <row r="916">
      <c r="A916" t="inlineStr">
        <is>
          <t>AU23207</t>
        </is>
      </c>
      <c r="C916" t="inlineStr">
        <is>
          <t>VIC-TAS</t>
        </is>
      </c>
      <c r="D916" t="inlineStr">
        <is>
          <t>Virtus Health</t>
        </is>
      </c>
      <c r="E916" t="inlineStr">
        <is>
          <t>Embryologist</t>
        </is>
      </c>
      <c r="F916" t="inlineStr">
        <is>
          <t>5/13/2024</t>
        </is>
      </c>
      <c r="H916" t="inlineStr">
        <is>
          <t>MIVFS2022</t>
        </is>
      </c>
      <c r="I916" t="inlineStr">
        <is>
          <t>VIC</t>
        </is>
      </c>
      <c r="J916" t="inlineStr">
        <is>
          <t>Full Time</t>
        </is>
      </c>
      <c r="K916" s="23" t="inlineStr">
        <is>
          <t>5/13/2024</t>
        </is>
      </c>
      <c r="L916" s="23" t="inlineStr">
        <is>
          <t>5/13/2024</t>
        </is>
      </c>
      <c r="O916" t="n">
        <v>38</v>
      </c>
    </row>
    <row r="917">
      <c r="A917" t="inlineStr">
        <is>
          <t>AU23208</t>
        </is>
      </c>
      <c r="C917" t="inlineStr">
        <is>
          <t>NSW-QLD</t>
        </is>
      </c>
      <c r="D917" t="inlineStr">
        <is>
          <t>Virtus Health</t>
        </is>
      </c>
      <c r="E917" t="inlineStr">
        <is>
          <t>Registered Nurse</t>
        </is>
      </c>
      <c r="F917" t="inlineStr">
        <is>
          <t>4/29/2024</t>
        </is>
      </c>
      <c r="H917" t="inlineStr">
        <is>
          <t>IVFN2021</t>
        </is>
      </c>
      <c r="I917" t="inlineStr">
        <is>
          <t>ACT</t>
        </is>
      </c>
      <c r="J917" t="inlineStr">
        <is>
          <t>Casual</t>
        </is>
      </c>
      <c r="K917" s="23" t="inlineStr">
        <is>
          <t>4/29/2024</t>
        </is>
      </c>
      <c r="L917" s="23" t="inlineStr">
        <is>
          <t>4/29/2024</t>
        </is>
      </c>
      <c r="O917" t="n">
        <v>20</v>
      </c>
    </row>
    <row r="918">
      <c r="A918" t="inlineStr">
        <is>
          <t>AU23209</t>
        </is>
      </c>
      <c r="B918" s="1" t="n"/>
      <c r="C918" t="inlineStr">
        <is>
          <t>VIC-TAS</t>
        </is>
      </c>
      <c r="D918" t="inlineStr">
        <is>
          <t>Virtus Health</t>
        </is>
      </c>
      <c r="E918" t="inlineStr">
        <is>
          <t>Clinical Embryologist</t>
        </is>
      </c>
      <c r="F918" s="1" t="n">
        <v>45448</v>
      </c>
      <c r="H918" t="inlineStr">
        <is>
          <t>MIVFS2022</t>
        </is>
      </c>
      <c r="I918" t="inlineStr">
        <is>
          <t>VIC</t>
        </is>
      </c>
      <c r="J918" t="inlineStr">
        <is>
          <t>Full Time</t>
        </is>
      </c>
      <c r="K918" s="23" t="n">
        <v>45448</v>
      </c>
      <c r="L918" s="23" t="n">
        <v>45448</v>
      </c>
      <c r="O918" t="n">
        <v>38</v>
      </c>
    </row>
    <row r="919">
      <c r="A919" t="inlineStr">
        <is>
          <t>AU23210</t>
        </is>
      </c>
      <c r="C919" t="inlineStr">
        <is>
          <t>NSW-QLD</t>
        </is>
      </c>
      <c r="D919" t="inlineStr">
        <is>
          <t>Virtus Health</t>
        </is>
      </c>
      <c r="E919" t="inlineStr">
        <is>
          <t>Registered Nurse</t>
        </is>
      </c>
      <c r="F919" t="inlineStr">
        <is>
          <t>4/24/2024</t>
        </is>
      </c>
      <c r="H919" t="inlineStr">
        <is>
          <t>IVFN2021</t>
        </is>
      </c>
      <c r="I919" t="inlineStr">
        <is>
          <t>NSW</t>
        </is>
      </c>
      <c r="J919" t="inlineStr">
        <is>
          <t>Casual</t>
        </is>
      </c>
      <c r="K919" s="23" t="inlineStr">
        <is>
          <t>4/24/2024</t>
        </is>
      </c>
      <c r="L919" s="23" t="inlineStr">
        <is>
          <t>4/24/2024</t>
        </is>
      </c>
      <c r="O919" t="n">
        <v>38</v>
      </c>
    </row>
    <row r="920">
      <c r="A920" t="inlineStr">
        <is>
          <t>AU23211</t>
        </is>
      </c>
      <c r="C920" t="inlineStr">
        <is>
          <t>NSW-QLD</t>
        </is>
      </c>
      <c r="D920" t="inlineStr">
        <is>
          <t>Virtus Health</t>
        </is>
      </c>
      <c r="E920" t="inlineStr">
        <is>
          <t>Enrolled Nurse</t>
        </is>
      </c>
      <c r="F920" t="inlineStr">
        <is>
          <t>4/17/2024</t>
        </is>
      </c>
      <c r="H920" t="inlineStr">
        <is>
          <t>QN2025</t>
        </is>
      </c>
      <c r="I920" t="inlineStr">
        <is>
          <t>QLD</t>
        </is>
      </c>
      <c r="J920" t="inlineStr">
        <is>
          <t>Casual</t>
        </is>
      </c>
      <c r="K920" s="23" t="inlineStr">
        <is>
          <t>4/17/2024</t>
        </is>
      </c>
      <c r="L920" s="23" t="inlineStr">
        <is>
          <t>4/17/2024</t>
        </is>
      </c>
      <c r="O920" t="n">
        <v>38</v>
      </c>
    </row>
    <row r="921">
      <c r="A921" t="inlineStr">
        <is>
          <t>AU23212</t>
        </is>
      </c>
      <c r="C921" t="inlineStr">
        <is>
          <t>NSW-QLD</t>
        </is>
      </c>
      <c r="D921" t="inlineStr">
        <is>
          <t>Virtus Health</t>
        </is>
      </c>
      <c r="E921" t="inlineStr">
        <is>
          <t>Nurse Unit Manager</t>
        </is>
      </c>
      <c r="F921" t="inlineStr">
        <is>
          <t>5/13/2024</t>
        </is>
      </c>
      <c r="H921" t="inlineStr">
        <is>
          <t>IVFN2021</t>
        </is>
      </c>
      <c r="I921" t="inlineStr">
        <is>
          <t>NSW</t>
        </is>
      </c>
      <c r="J921" t="inlineStr">
        <is>
          <t>Full Time</t>
        </is>
      </c>
      <c r="K921" s="23" t="inlineStr">
        <is>
          <t>5/13/2024</t>
        </is>
      </c>
      <c r="L921" s="23" t="inlineStr">
        <is>
          <t>5/13/2024</t>
        </is>
      </c>
      <c r="O921" t="n">
        <v>38</v>
      </c>
    </row>
    <row r="922">
      <c r="A922" t="inlineStr">
        <is>
          <t>AU23213</t>
        </is>
      </c>
      <c r="B922" s="1" t="n"/>
      <c r="C922" t="inlineStr">
        <is>
          <t>NSW-QLD</t>
        </is>
      </c>
      <c r="D922" t="inlineStr">
        <is>
          <t>Virtus Health</t>
        </is>
      </c>
      <c r="E922" t="inlineStr">
        <is>
          <t>Pathology Scientist</t>
        </is>
      </c>
      <c r="F922" s="1" t="n">
        <v>45448</v>
      </c>
      <c r="H922" t="inlineStr">
        <is>
          <t>IVFS2023</t>
        </is>
      </c>
      <c r="I922" t="inlineStr">
        <is>
          <t>NSW</t>
        </is>
      </c>
      <c r="J922" t="inlineStr">
        <is>
          <t>Part Time</t>
        </is>
      </c>
      <c r="K922" s="23" t="n">
        <v>45448</v>
      </c>
      <c r="L922" s="23" t="n">
        <v>45448</v>
      </c>
      <c r="O922" t="n">
        <v>38</v>
      </c>
    </row>
    <row r="923">
      <c r="A923" t="inlineStr">
        <is>
          <t>AU23215</t>
        </is>
      </c>
      <c r="C923" t="inlineStr">
        <is>
          <t>NSW-QLD</t>
        </is>
      </c>
      <c r="D923" t="inlineStr">
        <is>
          <t>Virtus Health</t>
        </is>
      </c>
      <c r="E923" t="inlineStr">
        <is>
          <t>Trainee Embryologist</t>
        </is>
      </c>
      <c r="F923" t="inlineStr">
        <is>
          <t>5/20/2024</t>
        </is>
      </c>
      <c r="H923" t="inlineStr">
        <is>
          <t>QS2024</t>
        </is>
      </c>
      <c r="I923" t="inlineStr">
        <is>
          <t>QLD</t>
        </is>
      </c>
      <c r="J923" t="inlineStr">
        <is>
          <t>Part Time</t>
        </is>
      </c>
      <c r="K923" s="23" t="inlineStr">
        <is>
          <t>5/20/2024</t>
        </is>
      </c>
      <c r="L923" s="23" t="inlineStr">
        <is>
          <t>5/20/2024</t>
        </is>
      </c>
      <c r="O923" t="n">
        <v>22.8</v>
      </c>
    </row>
    <row r="924">
      <c r="A924" t="inlineStr">
        <is>
          <t>AU23216</t>
        </is>
      </c>
      <c r="B924" s="1" t="n"/>
      <c r="C924" t="inlineStr">
        <is>
          <t>NSW-QLD</t>
        </is>
      </c>
      <c r="D924" t="inlineStr">
        <is>
          <t>Virtus Health</t>
        </is>
      </c>
      <c r="E924" t="inlineStr">
        <is>
          <t>Registered Nurse</t>
        </is>
      </c>
      <c r="F924" s="1" t="n">
        <v>45509</v>
      </c>
      <c r="H924" t="inlineStr">
        <is>
          <t>IVFN2021</t>
        </is>
      </c>
      <c r="I924" t="inlineStr">
        <is>
          <t>QLD</t>
        </is>
      </c>
      <c r="J924" t="inlineStr">
        <is>
          <t>Casual</t>
        </is>
      </c>
      <c r="K924" s="23" t="n">
        <v>45509</v>
      </c>
      <c r="L924" s="23" t="n">
        <v>45509</v>
      </c>
      <c r="O924" t="n">
        <v>38</v>
      </c>
    </row>
    <row r="925">
      <c r="A925" t="inlineStr">
        <is>
          <t>AU23217</t>
        </is>
      </c>
      <c r="B925" s="1" t="n"/>
      <c r="C925" t="inlineStr">
        <is>
          <t>NSW-QLD</t>
        </is>
      </c>
      <c r="D925" t="inlineStr">
        <is>
          <t>Virtus Health</t>
        </is>
      </c>
      <c r="E925" t="inlineStr">
        <is>
          <t>Registered Nurse</t>
        </is>
      </c>
      <c r="F925" s="1" t="n">
        <v>45296</v>
      </c>
      <c r="H925" t="inlineStr">
        <is>
          <t>IVFN2021</t>
        </is>
      </c>
      <c r="I925" t="inlineStr">
        <is>
          <t>NSW</t>
        </is>
      </c>
      <c r="J925" t="inlineStr">
        <is>
          <t>Part Time</t>
        </is>
      </c>
      <c r="K925" s="23" t="n">
        <v>45296</v>
      </c>
      <c r="L925" s="23" t="n">
        <v>45296</v>
      </c>
      <c r="O925" t="n">
        <v>38</v>
      </c>
    </row>
    <row r="926">
      <c r="A926" t="inlineStr">
        <is>
          <t>AU23218</t>
        </is>
      </c>
      <c r="C926" t="inlineStr">
        <is>
          <t>NSW-QLD</t>
        </is>
      </c>
      <c r="D926" t="inlineStr">
        <is>
          <t>Virtus Health</t>
        </is>
      </c>
      <c r="E926" t="inlineStr">
        <is>
          <t>Registered Nurse</t>
        </is>
      </c>
      <c r="F926" t="inlineStr">
        <is>
          <t>4/22/2024</t>
        </is>
      </c>
      <c r="H926" t="inlineStr">
        <is>
          <t>QN2025</t>
        </is>
      </c>
      <c r="I926" t="inlineStr">
        <is>
          <t>QLD</t>
        </is>
      </c>
      <c r="J926" t="inlineStr">
        <is>
          <t>Casual</t>
        </is>
      </c>
      <c r="K926" s="23" t="inlineStr">
        <is>
          <t>4/22/2024</t>
        </is>
      </c>
      <c r="L926" s="23" t="inlineStr">
        <is>
          <t>4/22/2024</t>
        </is>
      </c>
      <c r="O926" t="n">
        <v>38</v>
      </c>
    </row>
    <row r="927">
      <c r="A927" t="inlineStr">
        <is>
          <t>AU23219</t>
        </is>
      </c>
      <c r="C927" t="inlineStr">
        <is>
          <t>NSW-QLD</t>
        </is>
      </c>
      <c r="D927" t="inlineStr">
        <is>
          <t>Virtus Health</t>
        </is>
      </c>
      <c r="E927" t="inlineStr">
        <is>
          <t>Registered Nurse</t>
        </is>
      </c>
      <c r="F927" t="inlineStr">
        <is>
          <t>5/20/2024</t>
        </is>
      </c>
      <c r="H927" t="inlineStr">
        <is>
          <t>QN2025</t>
        </is>
      </c>
      <c r="I927" t="inlineStr">
        <is>
          <t>QLD</t>
        </is>
      </c>
      <c r="J927" t="inlineStr">
        <is>
          <t>Part Time</t>
        </is>
      </c>
      <c r="K927" s="23" t="inlineStr">
        <is>
          <t>5/20/2024</t>
        </is>
      </c>
      <c r="L927" s="23" t="inlineStr">
        <is>
          <t>5/20/2024</t>
        </is>
      </c>
      <c r="O927" t="n">
        <v>38</v>
      </c>
    </row>
    <row r="928">
      <c r="A928" t="inlineStr">
        <is>
          <t>AU23221</t>
        </is>
      </c>
      <c r="C928" t="inlineStr">
        <is>
          <t>NSW-QLD</t>
        </is>
      </c>
      <c r="D928" t="inlineStr">
        <is>
          <t>Virtus Health</t>
        </is>
      </c>
      <c r="E928" t="inlineStr">
        <is>
          <t>Financial Accountant</t>
        </is>
      </c>
      <c r="F928" t="inlineStr">
        <is>
          <t>5/20/2024</t>
        </is>
      </c>
      <c r="H928" t="inlineStr">
        <is>
          <t>NSW</t>
        </is>
      </c>
      <c r="I928" t="inlineStr">
        <is>
          <t>NSW</t>
        </is>
      </c>
      <c r="J928" t="inlineStr">
        <is>
          <t>Full Time</t>
        </is>
      </c>
      <c r="K928" s="23" t="inlineStr">
        <is>
          <t>5/20/2024</t>
        </is>
      </c>
      <c r="L928" s="23" t="inlineStr">
        <is>
          <t>5/20/2024</t>
        </is>
      </c>
      <c r="O928" t="n">
        <v>38</v>
      </c>
    </row>
    <row r="929">
      <c r="A929" t="inlineStr">
        <is>
          <t>AU23222</t>
        </is>
      </c>
      <c r="C929" t="inlineStr">
        <is>
          <t>NSW-QLD</t>
        </is>
      </c>
      <c r="D929" t="inlineStr">
        <is>
          <t>Virtus Health</t>
        </is>
      </c>
      <c r="E929" t="inlineStr">
        <is>
          <t>Head of Department - Molecular Genetics</t>
        </is>
      </c>
      <c r="F929" t="inlineStr">
        <is>
          <t>5/27/2024</t>
        </is>
      </c>
      <c r="H929" t="inlineStr">
        <is>
          <t>NSW</t>
        </is>
      </c>
      <c r="I929" t="inlineStr">
        <is>
          <t>NSW</t>
        </is>
      </c>
      <c r="J929" t="inlineStr">
        <is>
          <t>Full Time</t>
        </is>
      </c>
      <c r="K929" s="23" t="inlineStr">
        <is>
          <t>5/27/2024</t>
        </is>
      </c>
      <c r="L929" s="23" t="inlineStr">
        <is>
          <t>5/27/2024</t>
        </is>
      </c>
      <c r="O929" t="n">
        <v>38</v>
      </c>
    </row>
    <row r="930">
      <c r="A930" t="inlineStr">
        <is>
          <t>AU23223</t>
        </is>
      </c>
      <c r="C930" t="inlineStr">
        <is>
          <t>NSW-QLD</t>
        </is>
      </c>
      <c r="D930" t="inlineStr">
        <is>
          <t>Virtus Health</t>
        </is>
      </c>
      <c r="E930" t="inlineStr">
        <is>
          <t>Admin Officer</t>
        </is>
      </c>
      <c r="F930" t="inlineStr">
        <is>
          <t>5/20/2024</t>
        </is>
      </c>
      <c r="H930" t="inlineStr">
        <is>
          <t>IVFS2023</t>
        </is>
      </c>
      <c r="I930" t="inlineStr">
        <is>
          <t>NSW</t>
        </is>
      </c>
      <c r="J930" t="inlineStr">
        <is>
          <t>Full Time</t>
        </is>
      </c>
      <c r="K930" s="23" t="inlineStr">
        <is>
          <t>5/20/2024</t>
        </is>
      </c>
      <c r="L930" s="23" t="inlineStr">
        <is>
          <t>5/20/2024</t>
        </is>
      </c>
      <c r="O930" t="n">
        <v>38</v>
      </c>
    </row>
    <row r="931">
      <c r="A931" t="inlineStr">
        <is>
          <t>AU23225</t>
        </is>
      </c>
      <c r="B931" s="1" t="n"/>
      <c r="C931" t="inlineStr">
        <is>
          <t>VIC-TAS</t>
        </is>
      </c>
      <c r="D931" t="inlineStr">
        <is>
          <t>Virtus Health</t>
        </is>
      </c>
      <c r="E931" t="inlineStr">
        <is>
          <t>Senior PGT Scientist</t>
        </is>
      </c>
      <c r="F931" s="1" t="n">
        <v>45357</v>
      </c>
      <c r="H931" t="inlineStr">
        <is>
          <t>MIVFS2022</t>
        </is>
      </c>
      <c r="I931" t="inlineStr">
        <is>
          <t>VIC</t>
        </is>
      </c>
      <c r="J931" t="inlineStr">
        <is>
          <t>Part Time</t>
        </is>
      </c>
      <c r="K931" s="23" t="n">
        <v>45357</v>
      </c>
      <c r="L931" s="23" t="n">
        <v>45357</v>
      </c>
      <c r="O931" t="n">
        <v>26.6</v>
      </c>
    </row>
    <row r="932">
      <c r="A932" t="inlineStr">
        <is>
          <t>AU23226</t>
        </is>
      </c>
      <c r="C932" t="inlineStr">
        <is>
          <t>NSW-QLD</t>
        </is>
      </c>
      <c r="D932" t="inlineStr">
        <is>
          <t>Virtus Health</t>
        </is>
      </c>
      <c r="E932" t="inlineStr">
        <is>
          <t>Chief Marketing &amp; Experience Officer</t>
        </is>
      </c>
      <c r="F932" t="inlineStr">
        <is>
          <t>5/20/2024</t>
        </is>
      </c>
      <c r="H932" t="inlineStr">
        <is>
          <t>NSW</t>
        </is>
      </c>
      <c r="I932" t="inlineStr">
        <is>
          <t>NSW</t>
        </is>
      </c>
      <c r="J932" t="inlineStr">
        <is>
          <t>Full Time</t>
        </is>
      </c>
      <c r="K932" s="23" t="inlineStr">
        <is>
          <t>5/20/2024</t>
        </is>
      </c>
      <c r="L932" s="23" t="inlineStr">
        <is>
          <t>5/20/2024</t>
        </is>
      </c>
      <c r="O932" t="n">
        <v>38</v>
      </c>
    </row>
    <row r="933">
      <c r="A933" t="inlineStr">
        <is>
          <t>AU23228</t>
        </is>
      </c>
      <c r="C933" t="inlineStr">
        <is>
          <t>NSW-QLD</t>
        </is>
      </c>
      <c r="D933" t="inlineStr">
        <is>
          <t>Virtus Health</t>
        </is>
      </c>
      <c r="E933" t="inlineStr">
        <is>
          <t>Patient Liaison Coordinator</t>
        </is>
      </c>
      <c r="F933" t="inlineStr">
        <is>
          <t>5/27/2024</t>
        </is>
      </c>
      <c r="H933" t="inlineStr">
        <is>
          <t>IVFS2023</t>
        </is>
      </c>
      <c r="I933" t="inlineStr">
        <is>
          <t>NSW</t>
        </is>
      </c>
      <c r="J933" t="inlineStr">
        <is>
          <t>Full Time</t>
        </is>
      </c>
      <c r="K933" s="23" t="inlineStr">
        <is>
          <t>5/27/2024</t>
        </is>
      </c>
      <c r="L933" s="23" t="inlineStr">
        <is>
          <t>5/27/2024</t>
        </is>
      </c>
      <c r="O933" t="n">
        <v>21</v>
      </c>
    </row>
    <row r="934">
      <c r="A934" t="inlineStr">
        <is>
          <t>AU23229</t>
        </is>
      </c>
      <c r="C934" t="inlineStr">
        <is>
          <t>NSW-QLD</t>
        </is>
      </c>
      <c r="D934" t="inlineStr">
        <is>
          <t>Virtus Health</t>
        </is>
      </c>
      <c r="E934" t="inlineStr">
        <is>
          <t>Assistant in Nursing</t>
        </is>
      </c>
      <c r="F934" t="inlineStr">
        <is>
          <t>5/27/2024</t>
        </is>
      </c>
      <c r="H934" t="inlineStr">
        <is>
          <t>IVFN2021</t>
        </is>
      </c>
      <c r="I934" t="inlineStr">
        <is>
          <t>NSW</t>
        </is>
      </c>
      <c r="J934" t="inlineStr">
        <is>
          <t>Casual</t>
        </is>
      </c>
      <c r="K934" s="23" t="inlineStr">
        <is>
          <t>5/27/2024</t>
        </is>
      </c>
      <c r="L934" s="23" t="inlineStr">
        <is>
          <t>5/27/2024</t>
        </is>
      </c>
      <c r="O934" t="n">
        <v>38</v>
      </c>
    </row>
    <row r="935">
      <c r="A935" t="inlineStr">
        <is>
          <t>AU23230</t>
        </is>
      </c>
      <c r="C935" t="inlineStr">
        <is>
          <t>NSW-QLD</t>
        </is>
      </c>
      <c r="D935" t="inlineStr">
        <is>
          <t>Virtus Health</t>
        </is>
      </c>
      <c r="E935" t="inlineStr">
        <is>
          <t>Clinic Coordinator</t>
        </is>
      </c>
      <c r="F935" t="inlineStr">
        <is>
          <t>5/22/2024</t>
        </is>
      </c>
      <c r="H935" t="inlineStr">
        <is>
          <t>IVFS2023</t>
        </is>
      </c>
      <c r="I935" t="inlineStr">
        <is>
          <t>QLD</t>
        </is>
      </c>
      <c r="J935" t="inlineStr">
        <is>
          <t>Full Time</t>
        </is>
      </c>
      <c r="K935" s="23" t="inlineStr">
        <is>
          <t>5/22/2024</t>
        </is>
      </c>
      <c r="L935" s="23" t="inlineStr">
        <is>
          <t>5/22/2024</t>
        </is>
      </c>
      <c r="O935" t="n">
        <v>24</v>
      </c>
    </row>
    <row r="936">
      <c r="A936" t="inlineStr">
        <is>
          <t>AU23232</t>
        </is>
      </c>
      <c r="B936" s="1" t="n"/>
      <c r="C936" t="inlineStr">
        <is>
          <t>NSW-QLD</t>
        </is>
      </c>
      <c r="D936" t="inlineStr">
        <is>
          <t>Virtus Health</t>
        </is>
      </c>
      <c r="E936" t="inlineStr">
        <is>
          <t>Registered Nurse</t>
        </is>
      </c>
      <c r="F936" s="1" t="n">
        <v>45357</v>
      </c>
      <c r="H936" t="inlineStr">
        <is>
          <t>IVFN2021</t>
        </is>
      </c>
      <c r="I936" t="inlineStr">
        <is>
          <t>NSW</t>
        </is>
      </c>
      <c r="J936" t="inlineStr">
        <is>
          <t>Part Time</t>
        </is>
      </c>
      <c r="K936" s="23" t="n">
        <v>45357</v>
      </c>
      <c r="L936" s="23" t="n">
        <v>45357</v>
      </c>
      <c r="O936" t="n">
        <v>30.4</v>
      </c>
    </row>
    <row r="937">
      <c r="A937" t="inlineStr">
        <is>
          <t>AU23233</t>
        </is>
      </c>
      <c r="B937" s="1" t="n"/>
      <c r="C937" t="inlineStr">
        <is>
          <t>NSW-QLD</t>
        </is>
      </c>
      <c r="D937" t="inlineStr">
        <is>
          <t>Virtus Health</t>
        </is>
      </c>
      <c r="E937" t="inlineStr">
        <is>
          <t>Administration Manager</t>
        </is>
      </c>
      <c r="F937" s="1" t="n">
        <v>45602</v>
      </c>
      <c r="H937" t="inlineStr">
        <is>
          <t>IVFS2023</t>
        </is>
      </c>
      <c r="I937" t="inlineStr">
        <is>
          <t>NSW</t>
        </is>
      </c>
      <c r="J937" t="inlineStr">
        <is>
          <t>Full Time</t>
        </is>
      </c>
      <c r="K937" s="23" t="n">
        <v>45602</v>
      </c>
      <c r="L937" s="23" t="n">
        <v>45602</v>
      </c>
      <c r="O937" t="n">
        <v>38</v>
      </c>
    </row>
    <row r="938">
      <c r="A938" t="inlineStr">
        <is>
          <t>AU23235</t>
        </is>
      </c>
      <c r="C938" t="inlineStr">
        <is>
          <t>NSW-QLD</t>
        </is>
      </c>
      <c r="D938" t="inlineStr">
        <is>
          <t>Virtus Health</t>
        </is>
      </c>
      <c r="E938" t="inlineStr">
        <is>
          <t>Administration Clerk</t>
        </is>
      </c>
      <c r="F938" t="inlineStr">
        <is>
          <t>5/27/2024</t>
        </is>
      </c>
      <c r="H938" t="inlineStr">
        <is>
          <t>IVFS2023</t>
        </is>
      </c>
      <c r="I938" t="inlineStr">
        <is>
          <t>NSW</t>
        </is>
      </c>
      <c r="J938" t="inlineStr">
        <is>
          <t>Casual</t>
        </is>
      </c>
      <c r="K938" s="23" t="inlineStr">
        <is>
          <t>5/27/2024</t>
        </is>
      </c>
      <c r="L938" s="23" t="inlineStr">
        <is>
          <t>5/27/2024</t>
        </is>
      </c>
      <c r="O938" t="n">
        <v>38</v>
      </c>
    </row>
    <row r="939">
      <c r="A939" t="inlineStr">
        <is>
          <t>AU23239</t>
        </is>
      </c>
      <c r="B939" s="1" t="n"/>
      <c r="C939" t="inlineStr">
        <is>
          <t>NSW-QLD</t>
        </is>
      </c>
      <c r="D939" t="inlineStr">
        <is>
          <t>Virtus Health</t>
        </is>
      </c>
      <c r="E939" t="inlineStr">
        <is>
          <t>Donor Co-Ordinator</t>
        </is>
      </c>
      <c r="F939" s="1" t="n">
        <v>45357</v>
      </c>
      <c r="H939" t="inlineStr">
        <is>
          <t>IVFS2023</t>
        </is>
      </c>
      <c r="I939" t="inlineStr">
        <is>
          <t>NSW</t>
        </is>
      </c>
      <c r="J939" t="inlineStr">
        <is>
          <t>Part Time</t>
        </is>
      </c>
      <c r="K939" s="23" t="n">
        <v>45357</v>
      </c>
      <c r="L939" s="23" t="n">
        <v>45357</v>
      </c>
      <c r="O939" t="n">
        <v>40</v>
      </c>
    </row>
    <row r="940">
      <c r="A940" t="inlineStr">
        <is>
          <t>AU23240</t>
        </is>
      </c>
      <c r="C940" t="inlineStr">
        <is>
          <t>NSW-QLD</t>
        </is>
      </c>
      <c r="D940" t="inlineStr">
        <is>
          <t>Virtus Health</t>
        </is>
      </c>
      <c r="E940" t="inlineStr">
        <is>
          <t>New Patient Care Team Leader</t>
        </is>
      </c>
      <c r="F940" t="inlineStr">
        <is>
          <t>5/29/2024</t>
        </is>
      </c>
      <c r="H940" t="inlineStr">
        <is>
          <t>NSW</t>
        </is>
      </c>
      <c r="I940" t="inlineStr">
        <is>
          <t>NSW</t>
        </is>
      </c>
      <c r="J940" t="inlineStr">
        <is>
          <t>Full Time</t>
        </is>
      </c>
      <c r="K940" s="23" t="inlineStr">
        <is>
          <t>5/29/2024</t>
        </is>
      </c>
      <c r="L940" s="23" t="inlineStr">
        <is>
          <t>5/29/2024</t>
        </is>
      </c>
      <c r="O940" t="n">
        <v>38</v>
      </c>
    </row>
    <row r="941">
      <c r="A941" t="inlineStr">
        <is>
          <t>AU23243</t>
        </is>
      </c>
      <c r="B941" s="1" t="n"/>
      <c r="C941" t="inlineStr">
        <is>
          <t>NSW-QLD</t>
        </is>
      </c>
      <c r="D941" t="inlineStr">
        <is>
          <t>Virtus Health</t>
        </is>
      </c>
      <c r="E941" t="inlineStr">
        <is>
          <t>Registered Nurse</t>
        </is>
      </c>
      <c r="F941" s="1" t="n">
        <v>45602</v>
      </c>
      <c r="H941" t="inlineStr">
        <is>
          <t>IVFN2021</t>
        </is>
      </c>
      <c r="I941" t="inlineStr">
        <is>
          <t>NSW</t>
        </is>
      </c>
      <c r="J941" t="inlineStr">
        <is>
          <t>Full Time</t>
        </is>
      </c>
      <c r="K941" s="23" t="n">
        <v>45602</v>
      </c>
      <c r="L941" s="23" t="n">
        <v>45602</v>
      </c>
      <c r="O941" t="n">
        <v>38</v>
      </c>
    </row>
    <row r="942">
      <c r="A942" t="inlineStr">
        <is>
          <t>AU23244</t>
        </is>
      </c>
      <c r="B942" s="1" t="n"/>
      <c r="C942" t="inlineStr">
        <is>
          <t>VIC-TAS</t>
        </is>
      </c>
      <c r="D942" t="inlineStr">
        <is>
          <t>Virtus Health</t>
        </is>
      </c>
      <c r="E942" t="inlineStr">
        <is>
          <t>Medical Secretary</t>
        </is>
      </c>
      <c r="F942" s="1" t="n">
        <v>45298</v>
      </c>
      <c r="H942" t="inlineStr">
        <is>
          <t>MIVFS2022</t>
        </is>
      </c>
      <c r="I942" t="inlineStr">
        <is>
          <t>VIC</t>
        </is>
      </c>
      <c r="J942" t="inlineStr">
        <is>
          <t>Full Time</t>
        </is>
      </c>
      <c r="K942" s="23" t="n">
        <v>45298</v>
      </c>
      <c r="L942" s="23" t="n">
        <v>45298</v>
      </c>
      <c r="O942" t="n">
        <v>38</v>
      </c>
    </row>
    <row r="943">
      <c r="A943" t="inlineStr">
        <is>
          <t>AU23245</t>
        </is>
      </c>
      <c r="B943" s="1" t="n"/>
      <c r="C943" t="inlineStr">
        <is>
          <t>NSW-QLD</t>
        </is>
      </c>
      <c r="D943" t="inlineStr">
        <is>
          <t>Virtus Health</t>
        </is>
      </c>
      <c r="E943" t="inlineStr">
        <is>
          <t>Administration</t>
        </is>
      </c>
      <c r="F943" s="1" t="n">
        <v>45357</v>
      </c>
      <c r="H943" t="inlineStr">
        <is>
          <t>IVFS2023</t>
        </is>
      </c>
      <c r="I943" t="inlineStr">
        <is>
          <t>NSW</t>
        </is>
      </c>
      <c r="J943" t="inlineStr">
        <is>
          <t>Part Time</t>
        </is>
      </c>
      <c r="K943" s="23" t="n">
        <v>45357</v>
      </c>
      <c r="L943" s="23" t="n">
        <v>45357</v>
      </c>
      <c r="O943" t="n">
        <v>38</v>
      </c>
    </row>
    <row r="944">
      <c r="A944" t="inlineStr">
        <is>
          <t>AU23246</t>
        </is>
      </c>
      <c r="B944" s="1" t="n"/>
      <c r="C944" t="inlineStr">
        <is>
          <t>NSW-QLD</t>
        </is>
      </c>
      <c r="D944" t="inlineStr">
        <is>
          <t>Virtus Health</t>
        </is>
      </c>
      <c r="E944" t="inlineStr">
        <is>
          <t>Assistant in Nursing</t>
        </is>
      </c>
      <c r="F944" s="1" t="n">
        <v>45632</v>
      </c>
      <c r="H944" t="inlineStr">
        <is>
          <t>IVFN2021</t>
        </is>
      </c>
      <c r="I944" t="inlineStr">
        <is>
          <t>NSW</t>
        </is>
      </c>
      <c r="J944" t="inlineStr">
        <is>
          <t>Casual</t>
        </is>
      </c>
      <c r="K944" s="23" t="n">
        <v>45632</v>
      </c>
      <c r="L944" s="23" t="n">
        <v>45632</v>
      </c>
      <c r="O944" t="n">
        <v>25</v>
      </c>
    </row>
    <row r="945">
      <c r="A945" t="inlineStr">
        <is>
          <t>AU23247</t>
        </is>
      </c>
      <c r="B945" s="1" t="n"/>
      <c r="C945" t="inlineStr">
        <is>
          <t>VIC-TAS</t>
        </is>
      </c>
      <c r="D945" t="inlineStr">
        <is>
          <t>Virtus Health</t>
        </is>
      </c>
      <c r="E945" t="inlineStr">
        <is>
          <t>Donor And Surrogacy Program Administrator</t>
        </is>
      </c>
      <c r="F945" s="1" t="n">
        <v>45602</v>
      </c>
      <c r="H945" t="inlineStr">
        <is>
          <t>MIVFS2022</t>
        </is>
      </c>
      <c r="I945" t="inlineStr">
        <is>
          <t>VIC</t>
        </is>
      </c>
      <c r="J945" t="inlineStr">
        <is>
          <t>Full Time</t>
        </is>
      </c>
      <c r="K945" s="23" t="n">
        <v>45602</v>
      </c>
      <c r="L945" s="23" t="n">
        <v>45602</v>
      </c>
      <c r="O945" t="n">
        <v>38</v>
      </c>
    </row>
    <row r="946">
      <c r="A946" t="inlineStr">
        <is>
          <t>AU23249</t>
        </is>
      </c>
      <c r="B946" s="1" t="n"/>
      <c r="C946" t="inlineStr">
        <is>
          <t>NSW-QLD</t>
        </is>
      </c>
      <c r="D946" t="inlineStr">
        <is>
          <t>Virtus Health</t>
        </is>
      </c>
      <c r="E946" t="inlineStr">
        <is>
          <t>Registered Nurse</t>
        </is>
      </c>
      <c r="F946" s="1" t="n">
        <v>45571</v>
      </c>
      <c r="H946" t="inlineStr">
        <is>
          <t>IVFN2021</t>
        </is>
      </c>
      <c r="I946" t="inlineStr">
        <is>
          <t>NSW</t>
        </is>
      </c>
      <c r="J946" t="inlineStr">
        <is>
          <t>Full Time</t>
        </is>
      </c>
      <c r="K946" s="23" t="n">
        <v>45571</v>
      </c>
      <c r="L946" s="23" t="n">
        <v>45571</v>
      </c>
      <c r="O946" t="n">
        <v>38</v>
      </c>
    </row>
    <row r="947">
      <c r="A947" t="inlineStr">
        <is>
          <t>AU23250</t>
        </is>
      </c>
      <c r="C947" t="inlineStr">
        <is>
          <t>NSW-QLD</t>
        </is>
      </c>
      <c r="D947" t="inlineStr">
        <is>
          <t>Virtus Health</t>
        </is>
      </c>
      <c r="E947" t="inlineStr">
        <is>
          <t>Registered Nurse</t>
        </is>
      </c>
      <c r="F947" t="inlineStr">
        <is>
          <t>5/27/2024</t>
        </is>
      </c>
      <c r="H947" t="inlineStr">
        <is>
          <t>IVFN2021</t>
        </is>
      </c>
      <c r="I947" t="inlineStr">
        <is>
          <t>NSW</t>
        </is>
      </c>
      <c r="J947" t="inlineStr">
        <is>
          <t>Casual</t>
        </is>
      </c>
      <c r="K947" s="23" t="inlineStr">
        <is>
          <t>5/27/2024</t>
        </is>
      </c>
      <c r="L947" s="23" t="inlineStr">
        <is>
          <t>5/27/2024</t>
        </is>
      </c>
      <c r="O947" t="n">
        <v>38</v>
      </c>
    </row>
    <row r="948">
      <c r="A948" t="inlineStr">
        <is>
          <t>AU23251</t>
        </is>
      </c>
      <c r="B948" s="1" t="n"/>
      <c r="C948" t="inlineStr">
        <is>
          <t>NSW-QLD</t>
        </is>
      </c>
      <c r="D948" t="inlineStr">
        <is>
          <t>Virtus Health</t>
        </is>
      </c>
      <c r="E948" t="inlineStr">
        <is>
          <t xml:space="preserve"> Embryologist</t>
        </is>
      </c>
      <c r="F948" s="1" t="n">
        <v>45449</v>
      </c>
      <c r="H948" t="inlineStr">
        <is>
          <t>QS2024</t>
        </is>
      </c>
      <c r="I948" t="inlineStr">
        <is>
          <t>QLD</t>
        </is>
      </c>
      <c r="J948" t="inlineStr">
        <is>
          <t>Full Time</t>
        </is>
      </c>
      <c r="K948" s="23" t="n">
        <v>45449</v>
      </c>
      <c r="L948" s="23" t="n">
        <v>45449</v>
      </c>
      <c r="O948" t="n">
        <v>38</v>
      </c>
    </row>
    <row r="949">
      <c r="A949" t="inlineStr">
        <is>
          <t>AU23253</t>
        </is>
      </c>
      <c r="B949" s="1" t="n"/>
      <c r="C949" t="inlineStr">
        <is>
          <t>NSW-QLD</t>
        </is>
      </c>
      <c r="D949" t="inlineStr">
        <is>
          <t>Virtus Health</t>
        </is>
      </c>
      <c r="E949" t="inlineStr">
        <is>
          <t>Senior Group Accountant</t>
        </is>
      </c>
      <c r="F949" s="1" t="n">
        <v>45511</v>
      </c>
      <c r="H949" t="inlineStr">
        <is>
          <t>NSW</t>
        </is>
      </c>
      <c r="I949" t="inlineStr">
        <is>
          <t>NSW</t>
        </is>
      </c>
      <c r="J949" t="inlineStr">
        <is>
          <t>Full Time</t>
        </is>
      </c>
      <c r="K949" s="23" t="n">
        <v>45511</v>
      </c>
      <c r="L949" s="23" t="n">
        <v>45511</v>
      </c>
      <c r="O949" t="n">
        <v>38</v>
      </c>
    </row>
    <row r="950">
      <c r="A950" t="inlineStr">
        <is>
          <t>AU23254</t>
        </is>
      </c>
      <c r="C950" t="inlineStr">
        <is>
          <t>NSW-QLD</t>
        </is>
      </c>
      <c r="D950" t="inlineStr">
        <is>
          <t>Virtus Health</t>
        </is>
      </c>
      <c r="E950" t="inlineStr">
        <is>
          <t>Medical Receptionist</t>
        </is>
      </c>
      <c r="F950" t="inlineStr">
        <is>
          <t>6/24/2024</t>
        </is>
      </c>
      <c r="H950" t="inlineStr">
        <is>
          <t>IVFS2023</t>
        </is>
      </c>
      <c r="I950" t="inlineStr">
        <is>
          <t>QLD</t>
        </is>
      </c>
      <c r="J950" t="inlineStr">
        <is>
          <t>Part Time</t>
        </is>
      </c>
      <c r="K950" s="23" t="inlineStr">
        <is>
          <t>6/24/2024</t>
        </is>
      </c>
      <c r="L950" s="23" t="inlineStr">
        <is>
          <t>6/24/2024</t>
        </is>
      </c>
      <c r="O950" t="n">
        <v>38</v>
      </c>
    </row>
    <row r="951">
      <c r="A951" t="inlineStr">
        <is>
          <t>AU23255</t>
        </is>
      </c>
      <c r="B951" s="1" t="n"/>
      <c r="C951" t="inlineStr">
        <is>
          <t>VIC-TAS</t>
        </is>
      </c>
      <c r="D951" t="inlineStr">
        <is>
          <t>Virtus Health</t>
        </is>
      </c>
      <c r="E951" t="inlineStr">
        <is>
          <t>Fertility Registered Nurse</t>
        </is>
      </c>
      <c r="F951" s="1" t="n">
        <v>45298</v>
      </c>
      <c r="H951" t="inlineStr">
        <is>
          <t>MIVFN2023</t>
        </is>
      </c>
      <c r="I951" t="inlineStr">
        <is>
          <t>VIC</t>
        </is>
      </c>
      <c r="J951" t="inlineStr">
        <is>
          <t>Full Time</t>
        </is>
      </c>
      <c r="K951" s="23" t="n">
        <v>45298</v>
      </c>
      <c r="L951" s="23" t="n">
        <v>45298</v>
      </c>
      <c r="O951" t="n">
        <v>38</v>
      </c>
    </row>
    <row r="952">
      <c r="A952" t="inlineStr">
        <is>
          <t>AU23257</t>
        </is>
      </c>
      <c r="B952" s="1" t="n"/>
      <c r="C952" t="inlineStr">
        <is>
          <t>NSW-QLD</t>
        </is>
      </c>
      <c r="D952" t="inlineStr">
        <is>
          <t>Virtus Health</t>
        </is>
      </c>
      <c r="E952" t="inlineStr">
        <is>
          <t>Administration</t>
        </is>
      </c>
      <c r="F952" s="1" t="n">
        <v>45602</v>
      </c>
      <c r="H952" t="inlineStr">
        <is>
          <t>IVFS2023</t>
        </is>
      </c>
      <c r="I952" t="inlineStr">
        <is>
          <t>NSW</t>
        </is>
      </c>
      <c r="J952" t="inlineStr">
        <is>
          <t>Casual</t>
        </is>
      </c>
      <c r="K952" s="23" t="n">
        <v>45602</v>
      </c>
      <c r="L952" s="23" t="n">
        <v>45602</v>
      </c>
      <c r="O952" t="n">
        <v>24</v>
      </c>
    </row>
    <row r="953">
      <c r="A953" t="inlineStr">
        <is>
          <t>AU23258</t>
        </is>
      </c>
      <c r="B953" s="1" t="n"/>
      <c r="C953" t="inlineStr">
        <is>
          <t>NSW-QLD</t>
        </is>
      </c>
      <c r="D953" t="inlineStr">
        <is>
          <t>Virtus Health</t>
        </is>
      </c>
      <c r="E953" t="inlineStr">
        <is>
          <t>Chief Financial Officer</t>
        </is>
      </c>
      <c r="F953" s="1" t="n">
        <v>45331</v>
      </c>
      <c r="H953" t="inlineStr">
        <is>
          <t>NSW</t>
        </is>
      </c>
      <c r="I953" t="inlineStr">
        <is>
          <t>NSW</t>
        </is>
      </c>
      <c r="J953" t="inlineStr">
        <is>
          <t>Full Time</t>
        </is>
      </c>
      <c r="K953" s="23" t="n">
        <v>45331</v>
      </c>
      <c r="L953" s="23" t="n">
        <v>45331</v>
      </c>
      <c r="O953" t="n">
        <v>38</v>
      </c>
    </row>
    <row r="954">
      <c r="A954" t="inlineStr">
        <is>
          <t>AU23260</t>
        </is>
      </c>
      <c r="B954" s="1" t="n"/>
      <c r="C954" t="inlineStr">
        <is>
          <t>VIC-TAS</t>
        </is>
      </c>
      <c r="D954" t="inlineStr">
        <is>
          <t>Virtus Health</t>
        </is>
      </c>
      <c r="E954" t="inlineStr">
        <is>
          <t>Receptionist</t>
        </is>
      </c>
      <c r="F954" s="1" t="n">
        <v>45602</v>
      </c>
      <c r="H954" t="inlineStr">
        <is>
          <t>MIVFS2022</t>
        </is>
      </c>
      <c r="I954" t="inlineStr">
        <is>
          <t>VIC</t>
        </is>
      </c>
      <c r="J954" t="inlineStr">
        <is>
          <t>Part Time</t>
        </is>
      </c>
      <c r="K954" s="23" t="n">
        <v>45602</v>
      </c>
      <c r="L954" s="23" t="n">
        <v>45602</v>
      </c>
      <c r="O954" t="n">
        <v>22.8</v>
      </c>
    </row>
    <row r="955">
      <c r="A955" t="inlineStr">
        <is>
          <t>AU23261</t>
        </is>
      </c>
      <c r="C955" t="inlineStr">
        <is>
          <t>NSW-QLD</t>
        </is>
      </c>
      <c r="D955" t="inlineStr">
        <is>
          <t>Virtus Health</t>
        </is>
      </c>
      <c r="E955" t="inlineStr">
        <is>
          <t>Communications Manager</t>
        </is>
      </c>
      <c r="F955" t="inlineStr">
        <is>
          <t>6/19/2024</t>
        </is>
      </c>
      <c r="H955" t="inlineStr">
        <is>
          <t>NSW</t>
        </is>
      </c>
      <c r="I955" t="inlineStr">
        <is>
          <t>NSW</t>
        </is>
      </c>
      <c r="J955" t="inlineStr">
        <is>
          <t>Part Time</t>
        </is>
      </c>
      <c r="K955" s="23" t="inlineStr">
        <is>
          <t>6/19/2024</t>
        </is>
      </c>
      <c r="L955" s="23" t="inlineStr">
        <is>
          <t>6/19/2024</t>
        </is>
      </c>
      <c r="O955" t="n">
        <v>24</v>
      </c>
    </row>
    <row r="956">
      <c r="A956" t="inlineStr">
        <is>
          <t>AU23262</t>
        </is>
      </c>
      <c r="B956" s="1" t="n"/>
      <c r="C956" t="inlineStr">
        <is>
          <t>VIC-TAS</t>
        </is>
      </c>
      <c r="D956" t="inlineStr">
        <is>
          <t>Virtus Health</t>
        </is>
      </c>
      <c r="E956" t="inlineStr">
        <is>
          <t>Clinical Nurse Specialist</t>
        </is>
      </c>
      <c r="F956" s="1" t="n">
        <v>45298</v>
      </c>
      <c r="H956" t="inlineStr">
        <is>
          <t>MIVFN2023</t>
        </is>
      </c>
      <c r="I956" t="inlineStr">
        <is>
          <t>VIC</t>
        </is>
      </c>
      <c r="J956" t="inlineStr">
        <is>
          <t>Full Time</t>
        </is>
      </c>
      <c r="K956" s="23" t="n">
        <v>45298</v>
      </c>
      <c r="L956" s="23" t="n">
        <v>45298</v>
      </c>
      <c r="O956" t="n">
        <v>38</v>
      </c>
    </row>
    <row r="957">
      <c r="A957" t="inlineStr">
        <is>
          <t>AU23267</t>
        </is>
      </c>
      <c r="B957" s="1" t="n"/>
      <c r="C957" t="inlineStr">
        <is>
          <t>VIC-TAS</t>
        </is>
      </c>
      <c r="D957" t="inlineStr">
        <is>
          <t>Virtus Health</t>
        </is>
      </c>
      <c r="E957" t="inlineStr">
        <is>
          <t>Operations Coordinator</t>
        </is>
      </c>
      <c r="F957" s="1" t="n">
        <v>45298</v>
      </c>
      <c r="H957" t="inlineStr">
        <is>
          <t>VIC</t>
        </is>
      </c>
      <c r="I957" t="inlineStr">
        <is>
          <t>VIC</t>
        </is>
      </c>
      <c r="J957" t="inlineStr">
        <is>
          <t>Part Time</t>
        </is>
      </c>
      <c r="K957" s="23" t="n">
        <v>45298</v>
      </c>
      <c r="L957" s="23" t="n">
        <v>45298</v>
      </c>
      <c r="O957" t="n">
        <v>34.2</v>
      </c>
    </row>
    <row r="958">
      <c r="A958" t="inlineStr">
        <is>
          <t>AU23269</t>
        </is>
      </c>
      <c r="C958" t="inlineStr">
        <is>
          <t>NSW-QLD</t>
        </is>
      </c>
      <c r="D958" t="inlineStr">
        <is>
          <t>Virtus Health</t>
        </is>
      </c>
      <c r="E958" t="inlineStr">
        <is>
          <t>Pracrtice Manager</t>
        </is>
      </c>
      <c r="F958" t="inlineStr">
        <is>
          <t>6/24/2024</t>
        </is>
      </c>
      <c r="H958" t="inlineStr">
        <is>
          <t>IVFS2023</t>
        </is>
      </c>
      <c r="I958" t="inlineStr">
        <is>
          <t>NSW</t>
        </is>
      </c>
      <c r="J958" t="inlineStr">
        <is>
          <t>Full Time</t>
        </is>
      </c>
      <c r="K958" s="23" t="inlineStr">
        <is>
          <t>6/24/2024</t>
        </is>
      </c>
      <c r="L958" s="23" t="inlineStr">
        <is>
          <t>6/24/2024</t>
        </is>
      </c>
      <c r="O958" t="n">
        <v>32</v>
      </c>
    </row>
    <row r="959">
      <c r="A959" t="inlineStr">
        <is>
          <t>AU23270</t>
        </is>
      </c>
      <c r="B959" s="1" t="n"/>
      <c r="C959" t="inlineStr">
        <is>
          <t>NSW-QLD</t>
        </is>
      </c>
      <c r="D959" t="inlineStr">
        <is>
          <t>Virtus Health</t>
        </is>
      </c>
      <c r="E959" t="inlineStr">
        <is>
          <t>Courier</t>
        </is>
      </c>
      <c r="F959" s="1" t="n">
        <v>45298</v>
      </c>
      <c r="H959" t="inlineStr">
        <is>
          <t>IVFS2023</t>
        </is>
      </c>
      <c r="I959" t="inlineStr">
        <is>
          <t>NSW</t>
        </is>
      </c>
      <c r="J959" t="inlineStr">
        <is>
          <t>Casual</t>
        </is>
      </c>
      <c r="K959" s="23" t="n">
        <v>45298</v>
      </c>
      <c r="L959" s="23" t="n">
        <v>45298</v>
      </c>
      <c r="O959" t="n">
        <v>38</v>
      </c>
    </row>
    <row r="960">
      <c r="A960" t="inlineStr">
        <is>
          <t>AU23271</t>
        </is>
      </c>
      <c r="B960" s="1" t="n"/>
      <c r="C960" t="inlineStr">
        <is>
          <t>NSW-QLD</t>
        </is>
      </c>
      <c r="D960" t="inlineStr">
        <is>
          <t>Virtus Health</t>
        </is>
      </c>
      <c r="E960" t="inlineStr">
        <is>
          <t>Courier</t>
        </is>
      </c>
      <c r="F960" s="1" t="n">
        <v>45298</v>
      </c>
      <c r="H960" t="inlineStr">
        <is>
          <t>IVFS2023</t>
        </is>
      </c>
      <c r="I960" t="inlineStr">
        <is>
          <t>NSW</t>
        </is>
      </c>
      <c r="J960" t="inlineStr">
        <is>
          <t>Casual</t>
        </is>
      </c>
      <c r="K960" s="23" t="n">
        <v>45298</v>
      </c>
      <c r="L960" s="23" t="n">
        <v>45298</v>
      </c>
      <c r="O960" t="n">
        <v>38</v>
      </c>
    </row>
    <row r="961">
      <c r="A961" t="inlineStr">
        <is>
          <t>AU23274</t>
        </is>
      </c>
      <c r="B961" s="1" t="n"/>
      <c r="C961" t="inlineStr">
        <is>
          <t>VIC-TAS</t>
        </is>
      </c>
      <c r="D961" t="inlineStr">
        <is>
          <t>Virtus Health</t>
        </is>
      </c>
      <c r="E961" t="inlineStr">
        <is>
          <t>Associate Nurse Unit Manager</t>
        </is>
      </c>
      <c r="F961" s="1" t="n">
        <v>45298</v>
      </c>
      <c r="H961" t="inlineStr">
        <is>
          <t>MIVFN2023</t>
        </is>
      </c>
      <c r="I961" t="inlineStr">
        <is>
          <t>VIC</t>
        </is>
      </c>
      <c r="J961" t="inlineStr">
        <is>
          <t>Full Time</t>
        </is>
      </c>
      <c r="K961" s="23" t="n">
        <v>45298</v>
      </c>
      <c r="L961" s="23" t="n">
        <v>45298</v>
      </c>
      <c r="O961" t="n">
        <v>38</v>
      </c>
    </row>
    <row r="962">
      <c r="A962" t="inlineStr">
        <is>
          <t>AU23278</t>
        </is>
      </c>
      <c r="C962" t="inlineStr">
        <is>
          <t>VIC-TAS</t>
        </is>
      </c>
      <c r="D962" t="inlineStr">
        <is>
          <t>Virtus Health</t>
        </is>
      </c>
      <c r="E962" t="inlineStr">
        <is>
          <t>Registered Nurse</t>
        </is>
      </c>
      <c r="F962" t="inlineStr">
        <is>
          <t>7/15/2024</t>
        </is>
      </c>
      <c r="H962" t="inlineStr">
        <is>
          <t>MIVFN2023</t>
        </is>
      </c>
      <c r="I962" t="inlineStr">
        <is>
          <t>VIC</t>
        </is>
      </c>
      <c r="J962" t="inlineStr">
        <is>
          <t>Full Time</t>
        </is>
      </c>
      <c r="K962" s="23" t="inlineStr">
        <is>
          <t>7/15/2024</t>
        </is>
      </c>
      <c r="L962" s="23" t="inlineStr">
        <is>
          <t>7/15/2024</t>
        </is>
      </c>
      <c r="O962" t="n">
        <v>38</v>
      </c>
    </row>
    <row r="963">
      <c r="A963" t="inlineStr">
        <is>
          <t>AU23279</t>
        </is>
      </c>
      <c r="B963" s="1" t="n"/>
      <c r="C963" t="inlineStr">
        <is>
          <t>NSW-QLD</t>
        </is>
      </c>
      <c r="D963" t="inlineStr">
        <is>
          <t>Virtus Health</t>
        </is>
      </c>
      <c r="E963" t="inlineStr">
        <is>
          <t xml:space="preserve"> Embryologist</t>
        </is>
      </c>
      <c r="F963" s="1" t="n">
        <v>45299</v>
      </c>
      <c r="H963" t="inlineStr">
        <is>
          <t>IVFT2024</t>
        </is>
      </c>
      <c r="I963" t="inlineStr">
        <is>
          <t>NSW</t>
        </is>
      </c>
      <c r="J963" t="inlineStr">
        <is>
          <t>Full Time</t>
        </is>
      </c>
      <c r="K963" s="23" t="n">
        <v>45299</v>
      </c>
      <c r="L963" s="23" t="n">
        <v>45299</v>
      </c>
      <c r="O963" t="n">
        <v>30.4</v>
      </c>
    </row>
    <row r="964">
      <c r="A964" t="inlineStr">
        <is>
          <t>AU23280</t>
        </is>
      </c>
      <c r="B964" s="1" t="n"/>
      <c r="C964" t="inlineStr">
        <is>
          <t>NSW-QLD</t>
        </is>
      </c>
      <c r="D964" t="inlineStr">
        <is>
          <t>Virtus Health</t>
        </is>
      </c>
      <c r="E964" t="inlineStr">
        <is>
          <t xml:space="preserve"> Embryologist</t>
        </is>
      </c>
      <c r="F964" s="1" t="n">
        <v>45481</v>
      </c>
      <c r="H964" t="inlineStr">
        <is>
          <t>IVFT2024</t>
        </is>
      </c>
      <c r="I964" t="inlineStr">
        <is>
          <t>NSW</t>
        </is>
      </c>
      <c r="J964" t="inlineStr">
        <is>
          <t>Part Time</t>
        </is>
      </c>
      <c r="K964" s="23" t="n">
        <v>45481</v>
      </c>
      <c r="L964" s="23" t="n">
        <v>45481</v>
      </c>
      <c r="O964" t="n">
        <v>15.2</v>
      </c>
    </row>
    <row r="965">
      <c r="A965" t="inlineStr">
        <is>
          <t>AU23281</t>
        </is>
      </c>
      <c r="B965" s="1" t="n"/>
      <c r="C965" t="inlineStr">
        <is>
          <t>NSW-QLD</t>
        </is>
      </c>
      <c r="D965" t="inlineStr">
        <is>
          <t>Virtus Health</t>
        </is>
      </c>
      <c r="E965" t="inlineStr">
        <is>
          <t>Patient Experience Specialist</t>
        </is>
      </c>
      <c r="F965" s="1" t="n">
        <v>45603</v>
      </c>
      <c r="H965" t="inlineStr">
        <is>
          <t>QLD</t>
        </is>
      </c>
      <c r="I965" t="inlineStr">
        <is>
          <t>QLD</t>
        </is>
      </c>
      <c r="J965" t="inlineStr">
        <is>
          <t>Part Time</t>
        </is>
      </c>
      <c r="K965" s="23" t="n">
        <v>45603</v>
      </c>
      <c r="L965" s="23" t="n">
        <v>45603</v>
      </c>
      <c r="O965" t="n">
        <v>19</v>
      </c>
    </row>
    <row r="966">
      <c r="A966" t="inlineStr">
        <is>
          <t>AU23282</t>
        </is>
      </c>
      <c r="B966" s="1" t="n"/>
      <c r="C966" t="inlineStr">
        <is>
          <t>NSW-QLD</t>
        </is>
      </c>
      <c r="D966" t="inlineStr">
        <is>
          <t>Virtus Health</t>
        </is>
      </c>
      <c r="E966" t="inlineStr">
        <is>
          <t>Senior Administration Assistant</t>
        </is>
      </c>
      <c r="F966" s="1" t="n">
        <v>45511</v>
      </c>
      <c r="H966" t="inlineStr">
        <is>
          <t>IVFS2023</t>
        </is>
      </c>
      <c r="I966" t="inlineStr">
        <is>
          <t>QLD</t>
        </is>
      </c>
      <c r="J966" t="inlineStr">
        <is>
          <t>Full Time</t>
        </is>
      </c>
      <c r="K966" s="23" t="n">
        <v>45511</v>
      </c>
      <c r="L966" s="23" t="n">
        <v>45511</v>
      </c>
      <c r="O966" t="n">
        <v>38</v>
      </c>
    </row>
    <row r="967">
      <c r="A967" t="inlineStr">
        <is>
          <t>AU23284</t>
        </is>
      </c>
      <c r="B967" s="1" t="n"/>
      <c r="C967" t="inlineStr">
        <is>
          <t>VIC-TAS</t>
        </is>
      </c>
      <c r="D967" t="inlineStr">
        <is>
          <t>Virtus Health</t>
        </is>
      </c>
      <c r="E967" t="inlineStr">
        <is>
          <t>IVF Laboratory Administrator</t>
        </is>
      </c>
      <c r="F967" s="1" t="n">
        <v>45511</v>
      </c>
      <c r="H967" t="inlineStr">
        <is>
          <t>MIVFS2022</t>
        </is>
      </c>
      <c r="I967" t="inlineStr">
        <is>
          <t>VIC</t>
        </is>
      </c>
      <c r="J967" t="inlineStr">
        <is>
          <t>Part Time</t>
        </is>
      </c>
      <c r="K967" s="23" t="n">
        <v>45511</v>
      </c>
      <c r="L967" s="23" t="n">
        <v>45511</v>
      </c>
      <c r="O967" t="n">
        <v>30.4</v>
      </c>
    </row>
    <row r="968">
      <c r="A968" t="inlineStr">
        <is>
          <t>AU23286</t>
        </is>
      </c>
      <c r="C968" t="inlineStr">
        <is>
          <t>NSW-QLD</t>
        </is>
      </c>
      <c r="D968" t="inlineStr">
        <is>
          <t>Virtus Health</t>
        </is>
      </c>
      <c r="E968" t="inlineStr">
        <is>
          <t>Registered Nurse</t>
        </is>
      </c>
      <c r="F968" t="inlineStr">
        <is>
          <t>7/15/2024</t>
        </is>
      </c>
      <c r="H968" t="inlineStr">
        <is>
          <t>QN2025</t>
        </is>
      </c>
      <c r="I968" t="inlineStr">
        <is>
          <t>QLD</t>
        </is>
      </c>
      <c r="J968" t="inlineStr">
        <is>
          <t>Casual</t>
        </is>
      </c>
      <c r="K968" s="23" t="inlineStr">
        <is>
          <t>7/15/2024</t>
        </is>
      </c>
      <c r="L968" s="23" t="inlineStr">
        <is>
          <t>7/15/2024</t>
        </is>
      </c>
      <c r="O968" t="n">
        <v>38</v>
      </c>
    </row>
    <row r="969">
      <c r="A969" t="inlineStr">
        <is>
          <t>AU23288</t>
        </is>
      </c>
      <c r="C969" t="inlineStr">
        <is>
          <t>NSW-QLD</t>
        </is>
      </c>
      <c r="D969" t="inlineStr">
        <is>
          <t>Virtus Health</t>
        </is>
      </c>
      <c r="E969" t="inlineStr">
        <is>
          <t>Registered Nurse</t>
        </is>
      </c>
      <c r="F969" t="inlineStr">
        <is>
          <t>7/29/2024</t>
        </is>
      </c>
      <c r="H969" t="inlineStr">
        <is>
          <t>QN2025</t>
        </is>
      </c>
      <c r="I969" t="inlineStr">
        <is>
          <t>QLD</t>
        </is>
      </c>
      <c r="J969" t="inlineStr">
        <is>
          <t>Casual</t>
        </is>
      </c>
      <c r="K969" s="23" t="inlineStr">
        <is>
          <t>7/29/2024</t>
        </is>
      </c>
      <c r="L969" s="23" t="inlineStr">
        <is>
          <t>7/29/2024</t>
        </is>
      </c>
      <c r="O969" t="n">
        <v>38</v>
      </c>
    </row>
    <row r="970">
      <c r="A970" t="inlineStr">
        <is>
          <t>AU23289</t>
        </is>
      </c>
      <c r="B970" s="1" t="n"/>
      <c r="C970" t="inlineStr">
        <is>
          <t>VIC-TAS</t>
        </is>
      </c>
      <c r="D970" t="inlineStr">
        <is>
          <t>Virtus Health</t>
        </is>
      </c>
      <c r="E970" t="inlineStr">
        <is>
          <t>Registered Nurse</t>
        </is>
      </c>
      <c r="F970" s="1" t="n">
        <v>45420</v>
      </c>
      <c r="H970" t="inlineStr">
        <is>
          <t>TIVF2024</t>
        </is>
      </c>
      <c r="I970" t="inlineStr">
        <is>
          <t>TAS</t>
        </is>
      </c>
      <c r="J970" t="inlineStr">
        <is>
          <t>Casual</t>
        </is>
      </c>
      <c r="K970" s="23" t="n">
        <v>45420</v>
      </c>
      <c r="L970" s="23" t="n">
        <v>45420</v>
      </c>
      <c r="O970" t="n">
        <v>38</v>
      </c>
    </row>
    <row r="971">
      <c r="A971" t="inlineStr">
        <is>
          <t>AU23294</t>
        </is>
      </c>
      <c r="C971" t="inlineStr">
        <is>
          <t>VIC-TAS</t>
        </is>
      </c>
      <c r="D971" t="inlineStr">
        <is>
          <t>Virtus Health</t>
        </is>
      </c>
      <c r="E971" t="inlineStr">
        <is>
          <t>Patient Liaison Administrator</t>
        </is>
      </c>
      <c r="F971" t="inlineStr">
        <is>
          <t>7/22/2024</t>
        </is>
      </c>
      <c r="H971" t="inlineStr">
        <is>
          <t>TIVF2024</t>
        </is>
      </c>
      <c r="I971" t="inlineStr">
        <is>
          <t>TAS</t>
        </is>
      </c>
      <c r="J971" t="inlineStr">
        <is>
          <t>Full Time</t>
        </is>
      </c>
      <c r="K971" s="23" t="inlineStr">
        <is>
          <t>7/22/2024</t>
        </is>
      </c>
      <c r="L971" s="23" t="inlineStr">
        <is>
          <t>7/22/2024</t>
        </is>
      </c>
      <c r="O971" t="n">
        <v>37.5</v>
      </c>
    </row>
    <row r="972">
      <c r="A972" t="inlineStr">
        <is>
          <t>AU23295</t>
        </is>
      </c>
      <c r="B972" s="1" t="n"/>
      <c r="C972" t="inlineStr">
        <is>
          <t>NSW-QLD</t>
        </is>
      </c>
      <c r="D972" t="inlineStr">
        <is>
          <t>Virtus Health</t>
        </is>
      </c>
      <c r="E972" t="inlineStr">
        <is>
          <t>Administration Clerk</t>
        </is>
      </c>
      <c r="F972" s="1" t="n">
        <v>45298</v>
      </c>
      <c r="H972" t="inlineStr">
        <is>
          <t>IVFS2023</t>
        </is>
      </c>
      <c r="I972" t="inlineStr">
        <is>
          <t>NSW</t>
        </is>
      </c>
      <c r="J972" t="inlineStr">
        <is>
          <t>Part Time</t>
        </is>
      </c>
      <c r="K972" s="23" t="n">
        <v>45298</v>
      </c>
      <c r="L972" s="23" t="n">
        <v>45298</v>
      </c>
      <c r="O972" t="n">
        <v>38</v>
      </c>
    </row>
    <row r="973">
      <c r="A973" t="inlineStr">
        <is>
          <t>AU23296</t>
        </is>
      </c>
      <c r="C973" t="inlineStr">
        <is>
          <t>NSW-QLD</t>
        </is>
      </c>
      <c r="D973" t="inlineStr">
        <is>
          <t>Virtus Health</t>
        </is>
      </c>
      <c r="E973" t="inlineStr">
        <is>
          <t>Registered Nurse</t>
        </is>
      </c>
      <c r="F973" t="inlineStr">
        <is>
          <t>7/17/2024</t>
        </is>
      </c>
      <c r="H973" t="inlineStr">
        <is>
          <t>IVFN2021</t>
        </is>
      </c>
      <c r="I973" t="inlineStr">
        <is>
          <t>NSW</t>
        </is>
      </c>
      <c r="J973" t="inlineStr">
        <is>
          <t>Casual</t>
        </is>
      </c>
      <c r="K973" s="23" t="inlineStr">
        <is>
          <t>7/17/2024</t>
        </is>
      </c>
      <c r="L973" s="23" t="inlineStr">
        <is>
          <t>7/17/2024</t>
        </is>
      </c>
      <c r="O973" t="n">
        <v>38</v>
      </c>
    </row>
    <row r="974">
      <c r="A974" t="inlineStr">
        <is>
          <t>AU23297</t>
        </is>
      </c>
      <c r="C974" t="inlineStr">
        <is>
          <t>NSW-QLD</t>
        </is>
      </c>
      <c r="D974" t="inlineStr">
        <is>
          <t>Virtus Health</t>
        </is>
      </c>
      <c r="E974" t="inlineStr">
        <is>
          <t>Enrolled Nurse</t>
        </is>
      </c>
      <c r="F974" t="inlineStr">
        <is>
          <t>7/29/2024</t>
        </is>
      </c>
      <c r="H974" t="inlineStr">
        <is>
          <t>IVFN2021</t>
        </is>
      </c>
      <c r="I974" t="inlineStr">
        <is>
          <t>NSW</t>
        </is>
      </c>
      <c r="J974" t="inlineStr">
        <is>
          <t>Casual</t>
        </is>
      </c>
      <c r="K974" s="23" t="inlineStr">
        <is>
          <t>7/29/2024</t>
        </is>
      </c>
      <c r="L974" s="23" t="inlineStr">
        <is>
          <t>7/29/2024</t>
        </is>
      </c>
      <c r="O974" t="n">
        <v>38</v>
      </c>
    </row>
    <row r="975">
      <c r="A975" t="inlineStr">
        <is>
          <t>AU23298</t>
        </is>
      </c>
      <c r="C975" t="inlineStr">
        <is>
          <t>NSW-QLD</t>
        </is>
      </c>
      <c r="D975" t="inlineStr">
        <is>
          <t>Virtus Health</t>
        </is>
      </c>
      <c r="E975" t="inlineStr">
        <is>
          <t>Registered Nurse</t>
        </is>
      </c>
      <c r="F975" t="inlineStr">
        <is>
          <t>7/29/2024</t>
        </is>
      </c>
      <c r="H975" t="inlineStr">
        <is>
          <t>QN2025</t>
        </is>
      </c>
      <c r="I975" t="inlineStr">
        <is>
          <t>QLD</t>
        </is>
      </c>
      <c r="J975" t="inlineStr">
        <is>
          <t>Part Time</t>
        </is>
      </c>
      <c r="K975" s="23" t="inlineStr">
        <is>
          <t>7/29/2024</t>
        </is>
      </c>
      <c r="L975" s="23" t="inlineStr">
        <is>
          <t>7/29/2024</t>
        </is>
      </c>
      <c r="O975" t="n">
        <v>30</v>
      </c>
    </row>
    <row r="976">
      <c r="A976" t="inlineStr">
        <is>
          <t>AU23299</t>
        </is>
      </c>
      <c r="B976" s="1" t="n"/>
      <c r="C976" t="inlineStr">
        <is>
          <t>VIC-TAS</t>
        </is>
      </c>
      <c r="D976" t="inlineStr">
        <is>
          <t>Virtus Health</t>
        </is>
      </c>
      <c r="E976" t="inlineStr">
        <is>
          <t>Embryologist/Andrologist</t>
        </is>
      </c>
      <c r="F976" s="1" t="n">
        <v>45330</v>
      </c>
      <c r="H976" t="inlineStr">
        <is>
          <t>TIVF2024</t>
        </is>
      </c>
      <c r="I976" t="inlineStr">
        <is>
          <t>TAS</t>
        </is>
      </c>
      <c r="J976" t="inlineStr">
        <is>
          <t>Part Time</t>
        </is>
      </c>
      <c r="K976" s="23" t="n">
        <v>45330</v>
      </c>
      <c r="L976" s="23" t="n">
        <v>45330</v>
      </c>
      <c r="O976" t="n">
        <v>30</v>
      </c>
    </row>
    <row r="977">
      <c r="A977" t="inlineStr">
        <is>
          <t>AU23300</t>
        </is>
      </c>
      <c r="C977" t="inlineStr">
        <is>
          <t>NSW-QLD</t>
        </is>
      </c>
      <c r="D977" t="inlineStr">
        <is>
          <t>Virtus Health</t>
        </is>
      </c>
      <c r="E977" t="inlineStr">
        <is>
          <t>Administration Clerk</t>
        </is>
      </c>
      <c r="F977" t="inlineStr">
        <is>
          <t>7/29/2024</t>
        </is>
      </c>
      <c r="H977" t="inlineStr">
        <is>
          <t>IVFS2023</t>
        </is>
      </c>
      <c r="I977" t="inlineStr">
        <is>
          <t>NSW</t>
        </is>
      </c>
      <c r="J977" t="inlineStr">
        <is>
          <t>Casual</t>
        </is>
      </c>
      <c r="K977" s="23" t="inlineStr">
        <is>
          <t>7/29/2024</t>
        </is>
      </c>
      <c r="L977" s="23" t="inlineStr">
        <is>
          <t>7/29/2024</t>
        </is>
      </c>
      <c r="O977" t="n">
        <v>38</v>
      </c>
    </row>
    <row r="978">
      <c r="A978" t="inlineStr">
        <is>
          <t>AU23301</t>
        </is>
      </c>
      <c r="B978" s="1" t="n"/>
      <c r="C978" t="inlineStr">
        <is>
          <t>NSW-QLD</t>
        </is>
      </c>
      <c r="D978" t="inlineStr">
        <is>
          <t>Virtus Health</t>
        </is>
      </c>
      <c r="E978" t="inlineStr">
        <is>
          <t>Technology Business Partner</t>
        </is>
      </c>
      <c r="F978" s="1" t="n">
        <v>45298</v>
      </c>
      <c r="H978" t="inlineStr">
        <is>
          <t>VIC</t>
        </is>
      </c>
      <c r="I978" t="inlineStr">
        <is>
          <t>VIC</t>
        </is>
      </c>
      <c r="J978" t="inlineStr">
        <is>
          <t>Full Time</t>
        </is>
      </c>
      <c r="K978" s="23" t="n">
        <v>45298</v>
      </c>
      <c r="L978" s="23" t="n">
        <v>45298</v>
      </c>
      <c r="O978" t="n">
        <v>30.4</v>
      </c>
    </row>
    <row r="979">
      <c r="A979" t="inlineStr">
        <is>
          <t>AU23309</t>
        </is>
      </c>
      <c r="C979" t="inlineStr">
        <is>
          <t>NSW-QLD</t>
        </is>
      </c>
      <c r="D979" t="inlineStr">
        <is>
          <t>Virtus Health</t>
        </is>
      </c>
      <c r="E979" t="inlineStr">
        <is>
          <t>Supervising Scientist</t>
        </is>
      </c>
      <c r="F979" t="inlineStr">
        <is>
          <t>8/26/2024</t>
        </is>
      </c>
      <c r="H979" t="inlineStr">
        <is>
          <t>IVFS2023</t>
        </is>
      </c>
      <c r="I979" t="inlineStr">
        <is>
          <t>NSW</t>
        </is>
      </c>
      <c r="J979" t="inlineStr">
        <is>
          <t>Full Time</t>
        </is>
      </c>
      <c r="K979" s="23" t="inlineStr">
        <is>
          <t>8/26/2024</t>
        </is>
      </c>
      <c r="L979" s="23" t="inlineStr">
        <is>
          <t>8/26/2024</t>
        </is>
      </c>
      <c r="O979" t="n">
        <v>30.4</v>
      </c>
    </row>
    <row r="980">
      <c r="A980" t="inlineStr">
        <is>
          <t>AU23313</t>
        </is>
      </c>
      <c r="B980" s="1" t="n"/>
      <c r="C980" t="inlineStr">
        <is>
          <t>NSW-QLD</t>
        </is>
      </c>
      <c r="D980" t="inlineStr">
        <is>
          <t>Virtus Health</t>
        </is>
      </c>
      <c r="E980" t="inlineStr">
        <is>
          <t>Assistant Accountant</t>
        </is>
      </c>
      <c r="F980" s="1" t="n">
        <v>45481</v>
      </c>
      <c r="H980" t="inlineStr">
        <is>
          <t>NSW</t>
        </is>
      </c>
      <c r="I980" t="inlineStr">
        <is>
          <t>NSW</t>
        </is>
      </c>
      <c r="J980" t="inlineStr">
        <is>
          <t>Full Time</t>
        </is>
      </c>
      <c r="K980" s="23" t="n">
        <v>45481</v>
      </c>
      <c r="L980" s="23" t="n">
        <v>45481</v>
      </c>
      <c r="O980" t="n">
        <v>25</v>
      </c>
    </row>
    <row r="981">
      <c r="A981" t="inlineStr">
        <is>
          <t>AU23315</t>
        </is>
      </c>
      <c r="C981" t="inlineStr">
        <is>
          <t>NSW-QLD</t>
        </is>
      </c>
      <c r="D981" t="inlineStr">
        <is>
          <t>Virtus Health</t>
        </is>
      </c>
      <c r="E981" t="inlineStr">
        <is>
          <t>Registered Nurse</t>
        </is>
      </c>
      <c r="F981" t="inlineStr">
        <is>
          <t>7/29/2024</t>
        </is>
      </c>
      <c r="H981" t="inlineStr">
        <is>
          <t>IVFN2021</t>
        </is>
      </c>
      <c r="I981" t="inlineStr">
        <is>
          <t>NSW</t>
        </is>
      </c>
      <c r="J981" t="inlineStr">
        <is>
          <t>Casual</t>
        </is>
      </c>
      <c r="K981" s="23" t="inlineStr">
        <is>
          <t>7/29/2024</t>
        </is>
      </c>
      <c r="L981" s="23" t="inlineStr">
        <is>
          <t>7/29/2024</t>
        </is>
      </c>
      <c r="O981" t="n">
        <v>38</v>
      </c>
    </row>
    <row r="982">
      <c r="A982" t="inlineStr">
        <is>
          <t>AU23318</t>
        </is>
      </c>
      <c r="B982" s="1" t="n"/>
      <c r="C982" t="inlineStr">
        <is>
          <t>NSW-QLD</t>
        </is>
      </c>
      <c r="D982" t="inlineStr">
        <is>
          <t>Virtus Health</t>
        </is>
      </c>
      <c r="E982" t="inlineStr">
        <is>
          <t>Head Of Department - Endocrinology Labs</t>
        </is>
      </c>
      <c r="F982" s="1" t="n">
        <v>45634</v>
      </c>
      <c r="H982" t="inlineStr">
        <is>
          <t>VIC</t>
        </is>
      </c>
      <c r="I982" t="inlineStr">
        <is>
          <t>VIC</t>
        </is>
      </c>
      <c r="J982" t="inlineStr">
        <is>
          <t>Full Time</t>
        </is>
      </c>
      <c r="K982" s="23" t="n">
        <v>45634</v>
      </c>
      <c r="L982" s="23" t="n">
        <v>45634</v>
      </c>
      <c r="O982" t="n">
        <v>38</v>
      </c>
    </row>
    <row r="983">
      <c r="A983" t="inlineStr">
        <is>
          <t>AU23319</t>
        </is>
      </c>
      <c r="C983" t="inlineStr">
        <is>
          <t>NSW-QLD</t>
        </is>
      </c>
      <c r="D983" t="inlineStr">
        <is>
          <t>Virtus Health</t>
        </is>
      </c>
      <c r="E983" t="inlineStr">
        <is>
          <t>Phlebotomist</t>
        </is>
      </c>
      <c r="F983" t="inlineStr">
        <is>
          <t>8/19/2024</t>
        </is>
      </c>
      <c r="H983" t="inlineStr">
        <is>
          <t>IVFS2023</t>
        </is>
      </c>
      <c r="I983" t="inlineStr">
        <is>
          <t>QLD</t>
        </is>
      </c>
      <c r="J983" t="inlineStr">
        <is>
          <t>Casual</t>
        </is>
      </c>
      <c r="K983" s="23" t="inlineStr">
        <is>
          <t>8/19/2024</t>
        </is>
      </c>
      <c r="L983" s="23" t="inlineStr">
        <is>
          <t>8/19/2024</t>
        </is>
      </c>
      <c r="O983" t="n">
        <v>38</v>
      </c>
    </row>
    <row r="984">
      <c r="A984" t="inlineStr">
        <is>
          <t>AU23322</t>
        </is>
      </c>
      <c r="C984" t="inlineStr">
        <is>
          <t>NSW-QLD</t>
        </is>
      </c>
      <c r="D984" t="inlineStr">
        <is>
          <t>Virtus Health</t>
        </is>
      </c>
      <c r="E984" t="inlineStr">
        <is>
          <t xml:space="preserve"> Embryologist</t>
        </is>
      </c>
      <c r="F984" t="inlineStr">
        <is>
          <t>9/23/2024</t>
        </is>
      </c>
      <c r="H984" t="inlineStr">
        <is>
          <t>QS2024</t>
        </is>
      </c>
      <c r="I984" t="inlineStr">
        <is>
          <t>QLD</t>
        </is>
      </c>
      <c r="J984" t="inlineStr">
        <is>
          <t>Part Time</t>
        </is>
      </c>
      <c r="K984" s="23" t="inlineStr">
        <is>
          <t>9/23/2024</t>
        </is>
      </c>
      <c r="L984" s="23" t="inlineStr">
        <is>
          <t>9/23/2024</t>
        </is>
      </c>
      <c r="O984" t="n">
        <v>30.4</v>
      </c>
    </row>
    <row r="985">
      <c r="A985" t="inlineStr">
        <is>
          <t>AU23323</t>
        </is>
      </c>
      <c r="C985" t="inlineStr">
        <is>
          <t>NSW-QLD</t>
        </is>
      </c>
      <c r="D985" t="inlineStr">
        <is>
          <t>Virtus Health</t>
        </is>
      </c>
      <c r="E985" t="inlineStr">
        <is>
          <t>Nurse Coordinator</t>
        </is>
      </c>
      <c r="F985" t="inlineStr">
        <is>
          <t>8/26/2024</t>
        </is>
      </c>
      <c r="H985" t="inlineStr">
        <is>
          <t>IVFN2021</t>
        </is>
      </c>
      <c r="I985" t="inlineStr">
        <is>
          <t>NSW</t>
        </is>
      </c>
      <c r="J985" t="inlineStr">
        <is>
          <t>Full Time</t>
        </is>
      </c>
      <c r="K985" s="23" t="inlineStr">
        <is>
          <t>8/26/2024</t>
        </is>
      </c>
      <c r="L985" s="23" t="inlineStr">
        <is>
          <t>8/26/2024</t>
        </is>
      </c>
      <c r="O985" t="n">
        <v>30.5</v>
      </c>
    </row>
    <row r="986">
      <c r="A986" t="inlineStr">
        <is>
          <t>AU23324</t>
        </is>
      </c>
      <c r="C986" t="inlineStr">
        <is>
          <t>NSW-QLD</t>
        </is>
      </c>
      <c r="D986" t="inlineStr">
        <is>
          <t>Virtus Health</t>
        </is>
      </c>
      <c r="E986" t="inlineStr">
        <is>
          <t>Registered Nurse</t>
        </is>
      </c>
      <c r="F986" t="inlineStr">
        <is>
          <t>8/26/2024</t>
        </is>
      </c>
      <c r="H986" t="inlineStr">
        <is>
          <t>IVFN2021</t>
        </is>
      </c>
      <c r="I986" t="inlineStr">
        <is>
          <t>NSW</t>
        </is>
      </c>
      <c r="J986" t="inlineStr">
        <is>
          <t>Part Time</t>
        </is>
      </c>
      <c r="K986" s="23" t="inlineStr">
        <is>
          <t>8/26/2024</t>
        </is>
      </c>
      <c r="L986" s="23" t="inlineStr">
        <is>
          <t>8/26/2024</t>
        </is>
      </c>
      <c r="O986" t="n">
        <v>32</v>
      </c>
    </row>
    <row r="987">
      <c r="A987" t="inlineStr">
        <is>
          <t>AU23325</t>
        </is>
      </c>
      <c r="C987" t="inlineStr">
        <is>
          <t>VIC-TAS</t>
        </is>
      </c>
      <c r="D987" t="inlineStr">
        <is>
          <t>Virtus Health</t>
        </is>
      </c>
      <c r="E987" t="inlineStr">
        <is>
          <t>Executive Assistant</t>
        </is>
      </c>
      <c r="F987" t="inlineStr">
        <is>
          <t>8/26/2024</t>
        </is>
      </c>
      <c r="H987" t="inlineStr">
        <is>
          <t>VIC</t>
        </is>
      </c>
      <c r="I987" t="inlineStr">
        <is>
          <t>VIC</t>
        </is>
      </c>
      <c r="J987" t="inlineStr">
        <is>
          <t>Full Time</t>
        </is>
      </c>
      <c r="K987" s="23" t="inlineStr">
        <is>
          <t>8/26/2024</t>
        </is>
      </c>
      <c r="L987" s="23" t="inlineStr">
        <is>
          <t>8/26/2024</t>
        </is>
      </c>
      <c r="O987" t="n">
        <v>38</v>
      </c>
    </row>
    <row r="988">
      <c r="A988" t="inlineStr">
        <is>
          <t>AU23327</t>
        </is>
      </c>
      <c r="C988" t="inlineStr">
        <is>
          <t>NSW-QLD</t>
        </is>
      </c>
      <c r="D988" t="inlineStr">
        <is>
          <t>Virtus Health</t>
        </is>
      </c>
      <c r="E988" t="inlineStr">
        <is>
          <t>Assistant in Nursing</t>
        </is>
      </c>
      <c r="F988" t="inlineStr">
        <is>
          <t>8/26/2024</t>
        </is>
      </c>
      <c r="H988" t="inlineStr">
        <is>
          <t>IVFN2021</t>
        </is>
      </c>
      <c r="I988" t="inlineStr">
        <is>
          <t>NSW</t>
        </is>
      </c>
      <c r="J988" t="inlineStr">
        <is>
          <t>Part Time</t>
        </is>
      </c>
      <c r="K988" s="23" t="inlineStr">
        <is>
          <t>8/26/2024</t>
        </is>
      </c>
      <c r="L988" s="23" t="inlineStr">
        <is>
          <t>8/26/2024</t>
        </is>
      </c>
      <c r="O988" t="n">
        <v>33.75</v>
      </c>
    </row>
    <row r="989">
      <c r="A989" t="inlineStr">
        <is>
          <t>AU23328</t>
        </is>
      </c>
      <c r="C989" t="inlineStr">
        <is>
          <t>NSW-QLD</t>
        </is>
      </c>
      <c r="D989" t="inlineStr">
        <is>
          <t>Virtus Health</t>
        </is>
      </c>
      <c r="E989" t="inlineStr">
        <is>
          <t>Patient Support Officer</t>
        </is>
      </c>
      <c r="F989" t="inlineStr">
        <is>
          <t>8/26/2024</t>
        </is>
      </c>
      <c r="H989" t="inlineStr">
        <is>
          <t>IVFS2023</t>
        </is>
      </c>
      <c r="I989" t="inlineStr">
        <is>
          <t>NSW</t>
        </is>
      </c>
      <c r="J989" t="inlineStr">
        <is>
          <t>Full Time</t>
        </is>
      </c>
      <c r="K989" s="23" t="inlineStr">
        <is>
          <t>8/26/2024</t>
        </is>
      </c>
      <c r="L989" s="23" t="inlineStr">
        <is>
          <t>8/26/2024</t>
        </is>
      </c>
      <c r="O989" t="n">
        <v>38</v>
      </c>
    </row>
    <row r="990">
      <c r="A990" t="inlineStr">
        <is>
          <t>AU23330</t>
        </is>
      </c>
      <c r="C990" t="inlineStr">
        <is>
          <t>NSW-QLD</t>
        </is>
      </c>
      <c r="D990" t="inlineStr">
        <is>
          <t>Virtus Health</t>
        </is>
      </c>
      <c r="E990" t="inlineStr">
        <is>
          <t>Registered Nurse</t>
        </is>
      </c>
      <c r="F990" t="inlineStr">
        <is>
          <t>8/20/2024</t>
        </is>
      </c>
      <c r="H990" t="inlineStr">
        <is>
          <t>IVFN2021</t>
        </is>
      </c>
      <c r="I990" t="inlineStr">
        <is>
          <t>NSW</t>
        </is>
      </c>
      <c r="J990" t="inlineStr">
        <is>
          <t>Casual</t>
        </is>
      </c>
      <c r="K990" s="23" t="inlineStr">
        <is>
          <t>8/20/2024</t>
        </is>
      </c>
      <c r="L990" s="23" t="inlineStr">
        <is>
          <t>8/20/2024</t>
        </is>
      </c>
      <c r="O990" t="n">
        <v>38</v>
      </c>
    </row>
    <row r="991">
      <c r="A991" t="inlineStr">
        <is>
          <t>AU23332</t>
        </is>
      </c>
      <c r="B991" s="1" t="n"/>
      <c r="C991" t="inlineStr">
        <is>
          <t>NSW-QLD</t>
        </is>
      </c>
      <c r="D991" t="inlineStr">
        <is>
          <t>Virtus Health</t>
        </is>
      </c>
      <c r="E991" t="inlineStr">
        <is>
          <t>Chief Commercial Officer</t>
        </is>
      </c>
      <c r="F991" s="1" t="n">
        <v>45544</v>
      </c>
      <c r="H991" t="inlineStr">
        <is>
          <t>NSW</t>
        </is>
      </c>
      <c r="I991" t="inlineStr">
        <is>
          <t>NSW</t>
        </is>
      </c>
      <c r="J991" t="inlineStr">
        <is>
          <t>Full Time</t>
        </is>
      </c>
      <c r="K991" s="23" t="n">
        <v>45544</v>
      </c>
      <c r="L991" s="23" t="n">
        <v>45544</v>
      </c>
      <c r="O991" t="n">
        <v>38</v>
      </c>
    </row>
    <row r="992">
      <c r="A992" t="inlineStr">
        <is>
          <t>AU23333</t>
        </is>
      </c>
      <c r="B992" s="1" t="n"/>
      <c r="C992" t="inlineStr">
        <is>
          <t>NSW-QLD</t>
        </is>
      </c>
      <c r="D992" t="inlineStr">
        <is>
          <t>Virtus Health</t>
        </is>
      </c>
      <c r="E992" t="inlineStr">
        <is>
          <t>Donor Lead Specialist</t>
        </is>
      </c>
      <c r="F992" s="1" t="n">
        <v>45331</v>
      </c>
      <c r="H992" t="inlineStr">
        <is>
          <t>NSW</t>
        </is>
      </c>
      <c r="I992" t="inlineStr">
        <is>
          <t>NSW</t>
        </is>
      </c>
      <c r="J992" t="inlineStr">
        <is>
          <t>Full Time</t>
        </is>
      </c>
      <c r="K992" s="23" t="n">
        <v>45331</v>
      </c>
      <c r="L992" s="23" t="n">
        <v>45331</v>
      </c>
      <c r="O992" t="n">
        <v>38</v>
      </c>
    </row>
    <row r="993">
      <c r="A993" t="inlineStr">
        <is>
          <t>AU23335</t>
        </is>
      </c>
      <c r="C993" t="inlineStr">
        <is>
          <t>NSW-QLD</t>
        </is>
      </c>
      <c r="D993" t="inlineStr">
        <is>
          <t>Virtus Health</t>
        </is>
      </c>
      <c r="E993" t="inlineStr">
        <is>
          <t>Executive Assistant</t>
        </is>
      </c>
      <c r="F993" t="inlineStr">
        <is>
          <t>9/23/2024</t>
        </is>
      </c>
      <c r="H993" t="inlineStr">
        <is>
          <t>NSW</t>
        </is>
      </c>
      <c r="I993" t="inlineStr">
        <is>
          <t>NSW</t>
        </is>
      </c>
      <c r="J993" t="inlineStr">
        <is>
          <t>Full Time</t>
        </is>
      </c>
      <c r="K993" s="23" t="inlineStr">
        <is>
          <t>9/23/2024</t>
        </is>
      </c>
      <c r="L993" s="23" t="inlineStr">
        <is>
          <t>9/23/2024</t>
        </is>
      </c>
      <c r="O993" t="n">
        <v>38</v>
      </c>
    </row>
    <row r="994">
      <c r="A994" t="inlineStr">
        <is>
          <t>AU23336</t>
        </is>
      </c>
      <c r="C994" t="inlineStr">
        <is>
          <t>VIC-TAS</t>
        </is>
      </c>
      <c r="D994" t="inlineStr">
        <is>
          <t>Virtus Health</t>
        </is>
      </c>
      <c r="E994" t="inlineStr">
        <is>
          <t>Fertility Registered Nurse</t>
        </is>
      </c>
      <c r="F994" t="inlineStr">
        <is>
          <t>9/16/2024</t>
        </is>
      </c>
      <c r="H994" t="inlineStr">
        <is>
          <t>MIVFN2023</t>
        </is>
      </c>
      <c r="I994" t="inlineStr">
        <is>
          <t>VIC</t>
        </is>
      </c>
      <c r="J994" t="inlineStr">
        <is>
          <t>Part Time</t>
        </is>
      </c>
      <c r="K994" s="23" t="inlineStr">
        <is>
          <t>9/16/2024</t>
        </is>
      </c>
      <c r="L994" s="23" t="inlineStr">
        <is>
          <t>9/16/2024</t>
        </is>
      </c>
      <c r="O994" t="n">
        <v>30.4</v>
      </c>
    </row>
    <row r="995">
      <c r="A995" t="inlineStr">
        <is>
          <t>AU23343</t>
        </is>
      </c>
      <c r="B995" s="1" t="n"/>
      <c r="C995" t="inlineStr">
        <is>
          <t>NSW-QLD</t>
        </is>
      </c>
      <c r="D995" t="inlineStr">
        <is>
          <t>Virtus Health</t>
        </is>
      </c>
      <c r="E995" t="inlineStr">
        <is>
          <t>Registered Nurse</t>
        </is>
      </c>
      <c r="F995" s="1" t="n">
        <v>45544</v>
      </c>
      <c r="H995" t="inlineStr">
        <is>
          <t>QN2025</t>
        </is>
      </c>
      <c r="I995" t="inlineStr">
        <is>
          <t>QLD</t>
        </is>
      </c>
      <c r="J995" t="inlineStr">
        <is>
          <t>Part Time</t>
        </is>
      </c>
      <c r="K995" s="23" t="n">
        <v>45544</v>
      </c>
      <c r="L995" s="23" t="n">
        <v>45544</v>
      </c>
      <c r="O995" t="n">
        <v>24</v>
      </c>
    </row>
    <row r="996">
      <c r="A996" t="inlineStr">
        <is>
          <t>AU23344</t>
        </is>
      </c>
      <c r="B996" s="1" t="n"/>
      <c r="C996" t="inlineStr">
        <is>
          <t>VIC-TAS</t>
        </is>
      </c>
      <c r="D996" t="inlineStr">
        <is>
          <t>Virtus Health</t>
        </is>
      </c>
      <c r="E996" t="inlineStr">
        <is>
          <t>Project Operation</t>
        </is>
      </c>
      <c r="F996" s="1" t="n">
        <v>45360</v>
      </c>
      <c r="H996" t="inlineStr">
        <is>
          <t>VIC</t>
        </is>
      </c>
      <c r="I996" t="inlineStr">
        <is>
          <t>VIC</t>
        </is>
      </c>
      <c r="J996" t="inlineStr">
        <is>
          <t>Casual</t>
        </is>
      </c>
      <c r="K996" s="23" t="n">
        <v>45360</v>
      </c>
      <c r="L996" s="23" t="n">
        <v>45360</v>
      </c>
      <c r="O996" t="n">
        <v>38</v>
      </c>
    </row>
    <row r="997">
      <c r="A997" t="inlineStr">
        <is>
          <t>AU23345</t>
        </is>
      </c>
      <c r="C997" t="inlineStr">
        <is>
          <t>NSW-QLD</t>
        </is>
      </c>
      <c r="D997" t="inlineStr">
        <is>
          <t>Virtus Health</t>
        </is>
      </c>
      <c r="E997" t="inlineStr">
        <is>
          <t>Senior Data Analyst</t>
        </is>
      </c>
      <c r="F997" t="inlineStr">
        <is>
          <t>9/23/2024</t>
        </is>
      </c>
      <c r="H997" t="inlineStr">
        <is>
          <t>VIC</t>
        </is>
      </c>
      <c r="I997" t="inlineStr">
        <is>
          <t>VIC</t>
        </is>
      </c>
      <c r="J997" t="inlineStr">
        <is>
          <t>Full Time</t>
        </is>
      </c>
      <c r="K997" s="23" t="inlineStr">
        <is>
          <t>9/23/2024</t>
        </is>
      </c>
      <c r="L997" s="23" t="inlineStr">
        <is>
          <t>9/23/2024</t>
        </is>
      </c>
      <c r="O997" t="n">
        <v>38</v>
      </c>
    </row>
    <row r="998">
      <c r="A998" t="inlineStr">
        <is>
          <t>AU23346</t>
        </is>
      </c>
      <c r="C998" t="inlineStr">
        <is>
          <t>NSW-QLD</t>
        </is>
      </c>
      <c r="D998" t="inlineStr">
        <is>
          <t>Virtus Health</t>
        </is>
      </c>
      <c r="E998" t="inlineStr">
        <is>
          <t>Enrolled Nurse</t>
        </is>
      </c>
      <c r="F998" t="inlineStr">
        <is>
          <t>8/26/2024</t>
        </is>
      </c>
      <c r="H998" t="inlineStr">
        <is>
          <t>IVFN2021</t>
        </is>
      </c>
      <c r="I998" t="inlineStr">
        <is>
          <t>NSW</t>
        </is>
      </c>
      <c r="J998" t="inlineStr">
        <is>
          <t>Casual</t>
        </is>
      </c>
      <c r="K998" s="23" t="inlineStr">
        <is>
          <t>8/26/2024</t>
        </is>
      </c>
      <c r="L998" s="23" t="inlineStr">
        <is>
          <t>8/26/2024</t>
        </is>
      </c>
      <c r="O998" t="n">
        <v>38</v>
      </c>
    </row>
    <row r="999">
      <c r="A999" t="inlineStr">
        <is>
          <t>AU23348</t>
        </is>
      </c>
      <c r="C999" t="inlineStr">
        <is>
          <t>NSW-QLD</t>
        </is>
      </c>
      <c r="D999" t="inlineStr">
        <is>
          <t>Virtus Health</t>
        </is>
      </c>
      <c r="E999" t="inlineStr">
        <is>
          <t>Registered Nurse</t>
        </is>
      </c>
      <c r="F999" t="inlineStr">
        <is>
          <t>8/26/2024</t>
        </is>
      </c>
      <c r="H999" t="inlineStr">
        <is>
          <t>QN2025</t>
        </is>
      </c>
      <c r="I999" t="inlineStr">
        <is>
          <t>QLD</t>
        </is>
      </c>
      <c r="J999" t="inlineStr">
        <is>
          <t>Part Time</t>
        </is>
      </c>
      <c r="K999" s="23" t="inlineStr">
        <is>
          <t>8/26/2024</t>
        </is>
      </c>
      <c r="L999" s="23" t="inlineStr">
        <is>
          <t>8/26/2024</t>
        </is>
      </c>
      <c r="O999" t="n">
        <v>38</v>
      </c>
    </row>
    <row r="1000">
      <c r="A1000" t="inlineStr">
        <is>
          <t>AU23350</t>
        </is>
      </c>
      <c r="C1000" t="inlineStr">
        <is>
          <t>NSW-QLD</t>
        </is>
      </c>
      <c r="D1000" t="inlineStr">
        <is>
          <t>Virtus Health</t>
        </is>
      </c>
      <c r="E1000" t="inlineStr">
        <is>
          <t>Digital Analyst</t>
        </is>
      </c>
      <c r="F1000" t="inlineStr">
        <is>
          <t>10/21/2024</t>
        </is>
      </c>
      <c r="H1000" t="inlineStr">
        <is>
          <t>NSW</t>
        </is>
      </c>
      <c r="I1000" t="inlineStr">
        <is>
          <t>NSW</t>
        </is>
      </c>
      <c r="J1000" t="inlineStr">
        <is>
          <t>Full Time</t>
        </is>
      </c>
      <c r="K1000" s="23" t="inlineStr">
        <is>
          <t>10/21/2024</t>
        </is>
      </c>
      <c r="L1000" s="23" t="inlineStr">
        <is>
          <t>10/21/2024</t>
        </is>
      </c>
      <c r="O1000" t="n">
        <v>38</v>
      </c>
    </row>
    <row r="1001">
      <c r="A1001" t="inlineStr">
        <is>
          <t>AU23353</t>
        </is>
      </c>
      <c r="B1001" s="1" t="n"/>
      <c r="C1001" t="inlineStr">
        <is>
          <t>VIC-TAS</t>
        </is>
      </c>
      <c r="D1001" t="inlineStr">
        <is>
          <t>Virtus Health</t>
        </is>
      </c>
      <c r="E1001" t="inlineStr">
        <is>
          <t>Phlebotomist</t>
        </is>
      </c>
      <c r="F1001" s="1" t="n">
        <v>45544</v>
      </c>
      <c r="H1001" t="inlineStr">
        <is>
          <t>IVFS2023</t>
        </is>
      </c>
      <c r="I1001" t="inlineStr">
        <is>
          <t>VIC</t>
        </is>
      </c>
      <c r="J1001" t="inlineStr">
        <is>
          <t>Casual</t>
        </is>
      </c>
      <c r="K1001" s="23" t="n">
        <v>45544</v>
      </c>
      <c r="L1001" s="23" t="n">
        <v>45544</v>
      </c>
      <c r="O1001" t="n">
        <v>38</v>
      </c>
    </row>
    <row r="1002">
      <c r="A1002" t="inlineStr">
        <is>
          <t>AU23354</t>
        </is>
      </c>
      <c r="C1002" t="inlineStr">
        <is>
          <t>NSW-QLD</t>
        </is>
      </c>
      <c r="D1002" t="inlineStr">
        <is>
          <t>Virtus Health</t>
        </is>
      </c>
      <c r="E1002" t="inlineStr">
        <is>
          <t>Registered Nurse</t>
        </is>
      </c>
      <c r="F1002" t="inlineStr">
        <is>
          <t>9/17/2024</t>
        </is>
      </c>
      <c r="H1002" t="inlineStr">
        <is>
          <t>IVFN2021</t>
        </is>
      </c>
      <c r="I1002" t="inlineStr">
        <is>
          <t>NSW</t>
        </is>
      </c>
      <c r="J1002" t="inlineStr">
        <is>
          <t>Full Time</t>
        </is>
      </c>
      <c r="K1002" s="23" t="inlineStr">
        <is>
          <t>9/17/2024</t>
        </is>
      </c>
      <c r="L1002" s="23" t="inlineStr">
        <is>
          <t>9/17/2024</t>
        </is>
      </c>
      <c r="O1002" t="n">
        <v>38</v>
      </c>
    </row>
    <row r="1003">
      <c r="A1003" t="inlineStr">
        <is>
          <t>AU23355</t>
        </is>
      </c>
      <c r="B1003" s="1" t="n"/>
      <c r="C1003" t="inlineStr">
        <is>
          <t>NSW-QLD</t>
        </is>
      </c>
      <c r="D1003" t="inlineStr">
        <is>
          <t>Virtus Health</t>
        </is>
      </c>
      <c r="E1003" t="inlineStr">
        <is>
          <t>Administration</t>
        </is>
      </c>
      <c r="F1003" s="1" t="n">
        <v>45544</v>
      </c>
      <c r="H1003" t="inlineStr">
        <is>
          <t>IVFS2023</t>
        </is>
      </c>
      <c r="I1003" t="inlineStr">
        <is>
          <t>NSW</t>
        </is>
      </c>
      <c r="J1003" t="inlineStr">
        <is>
          <t>Part Time</t>
        </is>
      </c>
      <c r="K1003" s="23" t="n">
        <v>45544</v>
      </c>
      <c r="L1003" s="23" t="n">
        <v>45544</v>
      </c>
      <c r="O1003" t="n">
        <v>31</v>
      </c>
    </row>
    <row r="1004">
      <c r="A1004" t="inlineStr">
        <is>
          <t>AU23359</t>
        </is>
      </c>
      <c r="C1004" t="inlineStr">
        <is>
          <t>NSW-QLD</t>
        </is>
      </c>
      <c r="D1004" t="inlineStr">
        <is>
          <t>Virtus Health</t>
        </is>
      </c>
      <c r="E1004" t="inlineStr">
        <is>
          <t>Registered Nurse</t>
        </is>
      </c>
      <c r="F1004" t="inlineStr">
        <is>
          <t>9/16/2024</t>
        </is>
      </c>
      <c r="H1004" t="inlineStr">
        <is>
          <t>IVFN2021</t>
        </is>
      </c>
      <c r="I1004" t="inlineStr">
        <is>
          <t>ACT</t>
        </is>
      </c>
      <c r="J1004" t="inlineStr">
        <is>
          <t>Part Time</t>
        </is>
      </c>
      <c r="K1004" s="23" t="inlineStr">
        <is>
          <t>9/16/2024</t>
        </is>
      </c>
      <c r="L1004" s="23" t="inlineStr">
        <is>
          <t>9/16/2024</t>
        </is>
      </c>
      <c r="O1004" t="n">
        <v>38</v>
      </c>
    </row>
    <row r="1005">
      <c r="A1005" t="inlineStr">
        <is>
          <t>AU23360</t>
        </is>
      </c>
      <c r="C1005" t="inlineStr">
        <is>
          <t>NSW-QLD</t>
        </is>
      </c>
      <c r="D1005" t="inlineStr">
        <is>
          <t>Virtus Health</t>
        </is>
      </c>
      <c r="E1005" t="inlineStr">
        <is>
          <t>New Patient Care Consultant</t>
        </is>
      </c>
      <c r="F1005" t="inlineStr">
        <is>
          <t>9/16/2024</t>
        </is>
      </c>
      <c r="H1005" t="inlineStr">
        <is>
          <t>IVFS2023</t>
        </is>
      </c>
      <c r="I1005" t="inlineStr">
        <is>
          <t>QLD</t>
        </is>
      </c>
      <c r="J1005" t="inlineStr">
        <is>
          <t>Part Time</t>
        </is>
      </c>
      <c r="K1005" s="23" t="inlineStr">
        <is>
          <t>9/16/2024</t>
        </is>
      </c>
      <c r="L1005" s="23" t="inlineStr">
        <is>
          <t>9/16/2024</t>
        </is>
      </c>
      <c r="O1005" t="n">
        <v>38</v>
      </c>
    </row>
    <row r="1006">
      <c r="A1006" t="inlineStr">
        <is>
          <t>AU23361</t>
        </is>
      </c>
      <c r="B1006" s="1" t="n"/>
      <c r="C1006" t="inlineStr">
        <is>
          <t>NSW-QLD</t>
        </is>
      </c>
      <c r="D1006" t="inlineStr">
        <is>
          <t>Virtus Health</t>
        </is>
      </c>
      <c r="E1006" t="inlineStr">
        <is>
          <t>Registered Nurse</t>
        </is>
      </c>
      <c r="F1006" s="1" t="n">
        <v>45607</v>
      </c>
      <c r="H1006" t="inlineStr">
        <is>
          <t>IVFN2021</t>
        </is>
      </c>
      <c r="I1006" t="inlineStr">
        <is>
          <t>NSW</t>
        </is>
      </c>
      <c r="J1006" t="inlineStr">
        <is>
          <t>Casual</t>
        </is>
      </c>
      <c r="K1006" s="23" t="n">
        <v>45607</v>
      </c>
      <c r="L1006" s="23" t="n">
        <v>45607</v>
      </c>
      <c r="O1006" t="n">
        <v>19</v>
      </c>
    </row>
    <row r="1007">
      <c r="A1007" t="inlineStr">
        <is>
          <t>AU23363</t>
        </is>
      </c>
      <c r="C1007" t="inlineStr">
        <is>
          <t>NSW-QLD</t>
        </is>
      </c>
      <c r="D1007" t="inlineStr">
        <is>
          <t>Virtus Health</t>
        </is>
      </c>
      <c r="E1007" t="inlineStr">
        <is>
          <t>Registered Nurse</t>
        </is>
      </c>
      <c r="F1007" t="inlineStr">
        <is>
          <t>9/17/2024</t>
        </is>
      </c>
      <c r="H1007" t="inlineStr">
        <is>
          <t>IVFN2021</t>
        </is>
      </c>
      <c r="I1007" t="inlineStr">
        <is>
          <t>NSW</t>
        </is>
      </c>
      <c r="J1007" t="inlineStr">
        <is>
          <t>Full Time</t>
        </is>
      </c>
      <c r="K1007" s="23" t="inlineStr">
        <is>
          <t>9/17/2024</t>
        </is>
      </c>
      <c r="L1007" s="23" t="inlineStr">
        <is>
          <t>9/17/2024</t>
        </is>
      </c>
      <c r="O1007" t="n">
        <v>38</v>
      </c>
    </row>
    <row r="1008">
      <c r="A1008" t="inlineStr">
        <is>
          <t>AU23366</t>
        </is>
      </c>
      <c r="C1008" t="inlineStr">
        <is>
          <t>NSW-QLD</t>
        </is>
      </c>
      <c r="D1008" t="inlineStr">
        <is>
          <t>Virtus Health</t>
        </is>
      </c>
      <c r="E1008" t="inlineStr">
        <is>
          <t>Registered Nurse</t>
        </is>
      </c>
      <c r="F1008" t="inlineStr">
        <is>
          <t>9/23/2024</t>
        </is>
      </c>
      <c r="H1008" t="inlineStr">
        <is>
          <t>QN2025</t>
        </is>
      </c>
      <c r="I1008" t="inlineStr">
        <is>
          <t>QLD</t>
        </is>
      </c>
      <c r="J1008" t="inlineStr">
        <is>
          <t>Casual</t>
        </is>
      </c>
      <c r="K1008" s="23" t="inlineStr">
        <is>
          <t>9/23/2024</t>
        </is>
      </c>
      <c r="L1008" s="23" t="inlineStr">
        <is>
          <t>9/23/2024</t>
        </is>
      </c>
      <c r="O1008" t="n">
        <v>38</v>
      </c>
    </row>
    <row r="1009">
      <c r="A1009" t="inlineStr">
        <is>
          <t>AU23367</t>
        </is>
      </c>
      <c r="B1009" s="1" t="n"/>
      <c r="C1009" t="inlineStr">
        <is>
          <t>NSW-QLD</t>
        </is>
      </c>
      <c r="D1009" t="inlineStr">
        <is>
          <t>Virtus Health</t>
        </is>
      </c>
      <c r="E1009" t="inlineStr">
        <is>
          <t>Registered Nurse</t>
        </is>
      </c>
      <c r="F1009" s="1" t="n">
        <v>45514</v>
      </c>
      <c r="H1009" t="inlineStr">
        <is>
          <t>IVFN2021</t>
        </is>
      </c>
      <c r="I1009" t="inlineStr">
        <is>
          <t>NSW</t>
        </is>
      </c>
      <c r="J1009" t="inlineStr">
        <is>
          <t>Full Time</t>
        </is>
      </c>
      <c r="K1009" s="23" t="n">
        <v>45514</v>
      </c>
      <c r="L1009" s="23" t="n">
        <v>45514</v>
      </c>
      <c r="O1009" t="n">
        <v>32</v>
      </c>
    </row>
    <row r="1010">
      <c r="A1010" t="inlineStr">
        <is>
          <t>AU23368</t>
        </is>
      </c>
      <c r="C1010" t="inlineStr">
        <is>
          <t>NSW-QLD</t>
        </is>
      </c>
      <c r="D1010" t="inlineStr">
        <is>
          <t>Virtus Health</t>
        </is>
      </c>
      <c r="E1010" t="inlineStr">
        <is>
          <t>Registered Nurse</t>
        </is>
      </c>
      <c r="F1010" t="inlineStr">
        <is>
          <t>9/16/2024</t>
        </is>
      </c>
      <c r="H1010" t="inlineStr">
        <is>
          <t>IVFN2021</t>
        </is>
      </c>
      <c r="I1010" t="inlineStr">
        <is>
          <t>NSW</t>
        </is>
      </c>
      <c r="J1010" t="inlineStr">
        <is>
          <t>Casual</t>
        </is>
      </c>
      <c r="K1010" s="23" t="inlineStr">
        <is>
          <t>9/16/2024</t>
        </is>
      </c>
      <c r="L1010" s="23" t="inlineStr">
        <is>
          <t>9/16/2024</t>
        </is>
      </c>
      <c r="O1010" t="n">
        <v>38</v>
      </c>
    </row>
    <row r="1011">
      <c r="A1011" t="inlineStr">
        <is>
          <t>AU23372</t>
        </is>
      </c>
      <c r="C1011" t="inlineStr">
        <is>
          <t>NSW-QLD</t>
        </is>
      </c>
      <c r="D1011" t="inlineStr">
        <is>
          <t>Virtus Health</t>
        </is>
      </c>
      <c r="E1011" t="inlineStr">
        <is>
          <t>Registered Nurse</t>
        </is>
      </c>
      <c r="F1011" t="inlineStr">
        <is>
          <t>9/23/2024</t>
        </is>
      </c>
      <c r="H1011" t="inlineStr">
        <is>
          <t>QN2025</t>
        </is>
      </c>
      <c r="I1011" t="inlineStr">
        <is>
          <t>QLD</t>
        </is>
      </c>
      <c r="J1011" t="inlineStr">
        <is>
          <t>Casual</t>
        </is>
      </c>
      <c r="K1011" s="23" t="inlineStr">
        <is>
          <t>9/23/2024</t>
        </is>
      </c>
      <c r="L1011" s="23" t="inlineStr">
        <is>
          <t>9/23/2024</t>
        </is>
      </c>
      <c r="O1011" t="n">
        <v>24</v>
      </c>
    </row>
    <row r="1012">
      <c r="A1012" t="inlineStr">
        <is>
          <t>AU23375</t>
        </is>
      </c>
      <c r="B1012" s="1" t="n"/>
      <c r="C1012" t="inlineStr">
        <is>
          <t>VIC-TAS</t>
        </is>
      </c>
      <c r="D1012" t="inlineStr">
        <is>
          <t>Virtus Health</t>
        </is>
      </c>
      <c r="E1012" t="inlineStr">
        <is>
          <t>Registered Nurse</t>
        </is>
      </c>
      <c r="F1012" s="1" t="n">
        <v>45544</v>
      </c>
      <c r="H1012" t="inlineStr">
        <is>
          <t>MIVFN2023</t>
        </is>
      </c>
      <c r="I1012" t="inlineStr">
        <is>
          <t>VIC</t>
        </is>
      </c>
      <c r="J1012" t="inlineStr">
        <is>
          <t>Part Time</t>
        </is>
      </c>
      <c r="K1012" s="23" t="n">
        <v>45544</v>
      </c>
      <c r="L1012" s="23" t="n">
        <v>45544</v>
      </c>
      <c r="O1012" t="n">
        <v>22.8</v>
      </c>
    </row>
    <row r="1013">
      <c r="A1013" t="inlineStr">
        <is>
          <t>AU23377</t>
        </is>
      </c>
      <c r="C1013" t="inlineStr">
        <is>
          <t>NSW-QLD</t>
        </is>
      </c>
      <c r="D1013" t="inlineStr">
        <is>
          <t>Virtus Health</t>
        </is>
      </c>
      <c r="E1013" t="inlineStr">
        <is>
          <t>Registered Nurse</t>
        </is>
      </c>
      <c r="F1013" t="inlineStr">
        <is>
          <t>9/23/2024</t>
        </is>
      </c>
      <c r="H1013" t="inlineStr">
        <is>
          <t>IVFN2021</t>
        </is>
      </c>
      <c r="I1013" t="inlineStr">
        <is>
          <t>NSW</t>
        </is>
      </c>
      <c r="J1013" t="inlineStr">
        <is>
          <t>Casual</t>
        </is>
      </c>
      <c r="K1013" s="23" t="inlineStr">
        <is>
          <t>9/23/2024</t>
        </is>
      </c>
      <c r="L1013" s="23" t="inlineStr">
        <is>
          <t>9/23/2024</t>
        </is>
      </c>
      <c r="O1013" t="n">
        <v>38</v>
      </c>
    </row>
    <row r="1014">
      <c r="A1014" t="inlineStr">
        <is>
          <t>AU23382</t>
        </is>
      </c>
      <c r="B1014" s="1" t="n"/>
      <c r="C1014" t="inlineStr">
        <is>
          <t>NSW-QLD</t>
        </is>
      </c>
      <c r="D1014" t="inlineStr">
        <is>
          <t>Virtus Health</t>
        </is>
      </c>
      <c r="E1014" t="inlineStr">
        <is>
          <t>Genetic Counsellor</t>
        </is>
      </c>
      <c r="F1014" s="1" t="n">
        <v>45483</v>
      </c>
      <c r="H1014" t="inlineStr">
        <is>
          <t>IVFS2023</t>
        </is>
      </c>
      <c r="I1014" t="inlineStr">
        <is>
          <t>NSW</t>
        </is>
      </c>
      <c r="J1014" t="inlineStr">
        <is>
          <t>Full Time</t>
        </is>
      </c>
      <c r="K1014" s="23" t="n">
        <v>45483</v>
      </c>
      <c r="L1014" s="23" t="n">
        <v>45483</v>
      </c>
      <c r="O1014" t="n">
        <v>38</v>
      </c>
    </row>
    <row r="1015">
      <c r="A1015" t="inlineStr">
        <is>
          <t>AU23384</t>
        </is>
      </c>
      <c r="B1015" s="1" t="n"/>
      <c r="C1015" t="inlineStr">
        <is>
          <t>NSW-QLD</t>
        </is>
      </c>
      <c r="D1015" t="inlineStr">
        <is>
          <t>Virtus Health</t>
        </is>
      </c>
      <c r="E1015" t="inlineStr">
        <is>
          <t>Patient Support Officer</t>
        </is>
      </c>
      <c r="F1015" s="1" t="n">
        <v>45514</v>
      </c>
      <c r="H1015" t="inlineStr">
        <is>
          <t>IVFS2023</t>
        </is>
      </c>
      <c r="I1015" t="inlineStr">
        <is>
          <t>NSW</t>
        </is>
      </c>
      <c r="J1015" t="inlineStr">
        <is>
          <t>Full Time</t>
        </is>
      </c>
      <c r="K1015" s="23" t="n">
        <v>45514</v>
      </c>
      <c r="L1015" s="23" t="n">
        <v>45514</v>
      </c>
      <c r="O1015" t="n">
        <v>38</v>
      </c>
    </row>
    <row r="1016">
      <c r="A1016" t="inlineStr">
        <is>
          <t>AU23385</t>
        </is>
      </c>
      <c r="C1016" t="inlineStr">
        <is>
          <t>NSW-QLD</t>
        </is>
      </c>
      <c r="D1016" t="inlineStr">
        <is>
          <t>Virtus Health</t>
        </is>
      </c>
      <c r="E1016" t="inlineStr">
        <is>
          <t>Registered Nurse</t>
        </is>
      </c>
      <c r="F1016" t="inlineStr">
        <is>
          <t>9/23/2024</t>
        </is>
      </c>
      <c r="H1016" t="inlineStr">
        <is>
          <t>QN2025</t>
        </is>
      </c>
      <c r="I1016" t="inlineStr">
        <is>
          <t>QLD</t>
        </is>
      </c>
      <c r="J1016" t="inlineStr">
        <is>
          <t>Part Time</t>
        </is>
      </c>
      <c r="K1016" s="23" t="inlineStr">
        <is>
          <t>9/23/2024</t>
        </is>
      </c>
      <c r="L1016" s="23" t="inlineStr">
        <is>
          <t>9/23/2024</t>
        </is>
      </c>
      <c r="O1016" t="n">
        <v>38</v>
      </c>
    </row>
    <row r="1017">
      <c r="A1017" t="inlineStr">
        <is>
          <t>AU23386</t>
        </is>
      </c>
      <c r="C1017" t="inlineStr">
        <is>
          <t>NSW-QLD</t>
        </is>
      </c>
      <c r="D1017" t="inlineStr">
        <is>
          <t>Virtus Health</t>
        </is>
      </c>
      <c r="E1017" t="inlineStr">
        <is>
          <t>Enrolled Nurse</t>
        </is>
      </c>
      <c r="F1017" t="inlineStr">
        <is>
          <t>9/23/2024</t>
        </is>
      </c>
      <c r="H1017" t="inlineStr">
        <is>
          <t>QN2025</t>
        </is>
      </c>
      <c r="I1017" t="inlineStr">
        <is>
          <t>QLD</t>
        </is>
      </c>
      <c r="J1017" t="inlineStr">
        <is>
          <t>Casual</t>
        </is>
      </c>
      <c r="K1017" s="23" t="inlineStr">
        <is>
          <t>9/23/2024</t>
        </is>
      </c>
      <c r="L1017" s="23" t="inlineStr">
        <is>
          <t>9/23/2024</t>
        </is>
      </c>
      <c r="O1017" t="n">
        <v>38</v>
      </c>
    </row>
    <row r="1018">
      <c r="A1018" t="inlineStr">
        <is>
          <t>AU23388</t>
        </is>
      </c>
      <c r="C1018" t="inlineStr">
        <is>
          <t>NSW-QLD</t>
        </is>
      </c>
      <c r="D1018" t="inlineStr">
        <is>
          <t>Virtus Health</t>
        </is>
      </c>
      <c r="E1018" t="inlineStr">
        <is>
          <t>Enrolled Nurse</t>
        </is>
      </c>
      <c r="F1018" t="inlineStr">
        <is>
          <t>9/30/2024</t>
        </is>
      </c>
      <c r="H1018" t="inlineStr">
        <is>
          <t>IVFN2021</t>
        </is>
      </c>
      <c r="I1018" t="inlineStr">
        <is>
          <t>NSW</t>
        </is>
      </c>
      <c r="J1018" t="inlineStr">
        <is>
          <t>Casual</t>
        </is>
      </c>
      <c r="K1018" s="23" t="inlineStr">
        <is>
          <t>9/30/2024</t>
        </is>
      </c>
      <c r="L1018" s="23" t="inlineStr">
        <is>
          <t>9/30/2024</t>
        </is>
      </c>
      <c r="O1018" t="n">
        <v>38</v>
      </c>
    </row>
    <row r="1019">
      <c r="A1019" t="inlineStr">
        <is>
          <t>AU23389</t>
        </is>
      </c>
      <c r="C1019" t="inlineStr">
        <is>
          <t>NSW-QLD</t>
        </is>
      </c>
      <c r="D1019" t="inlineStr">
        <is>
          <t>Virtus Health</t>
        </is>
      </c>
      <c r="E1019" t="inlineStr">
        <is>
          <t>National Quality Manager (Virtus Diagnostics)</t>
        </is>
      </c>
      <c r="F1019" t="inlineStr">
        <is>
          <t>1/13/2025</t>
        </is>
      </c>
      <c r="H1019" t="inlineStr">
        <is>
          <t>NSW</t>
        </is>
      </c>
      <c r="I1019" t="inlineStr">
        <is>
          <t>NSW</t>
        </is>
      </c>
      <c r="J1019" t="inlineStr">
        <is>
          <t>Full Time</t>
        </is>
      </c>
      <c r="K1019" s="23" t="inlineStr">
        <is>
          <t>1/13/2025</t>
        </is>
      </c>
      <c r="L1019" s="23" t="inlineStr">
        <is>
          <t>1/13/2025</t>
        </is>
      </c>
      <c r="O1019" t="n">
        <v>28.5</v>
      </c>
    </row>
    <row r="1020">
      <c r="A1020" t="inlineStr">
        <is>
          <t>AU23391</t>
        </is>
      </c>
      <c r="B1020" s="1" t="n"/>
      <c r="C1020" t="inlineStr">
        <is>
          <t>NSW-QLD</t>
        </is>
      </c>
      <c r="D1020" t="inlineStr">
        <is>
          <t>Virtus Health</t>
        </is>
      </c>
      <c r="E1020" t="inlineStr">
        <is>
          <t>Group Procurement Officer</t>
        </is>
      </c>
      <c r="F1020" s="1" t="n">
        <v>45514</v>
      </c>
      <c r="H1020" t="inlineStr">
        <is>
          <t>NSW</t>
        </is>
      </c>
      <c r="I1020" t="inlineStr">
        <is>
          <t>NSW</t>
        </is>
      </c>
      <c r="J1020" t="inlineStr">
        <is>
          <t>Full Time</t>
        </is>
      </c>
      <c r="K1020" s="23" t="n">
        <v>45514</v>
      </c>
      <c r="L1020" s="23" t="n">
        <v>45514</v>
      </c>
      <c r="O1020" t="n">
        <v>38</v>
      </c>
    </row>
    <row r="1021">
      <c r="A1021" t="inlineStr">
        <is>
          <t>AU23392</t>
        </is>
      </c>
      <c r="B1021" s="1" t="n"/>
      <c r="C1021" t="inlineStr">
        <is>
          <t>NSW-QLD</t>
        </is>
      </c>
      <c r="D1021" t="inlineStr">
        <is>
          <t>Virtus Health</t>
        </is>
      </c>
      <c r="E1021" t="inlineStr">
        <is>
          <t>Administration Officer</t>
        </is>
      </c>
      <c r="F1021" s="1" t="n">
        <v>45514</v>
      </c>
      <c r="H1021" t="inlineStr">
        <is>
          <t>IVFS2023</t>
        </is>
      </c>
      <c r="I1021" t="inlineStr">
        <is>
          <t>NSW</t>
        </is>
      </c>
      <c r="J1021" t="inlineStr">
        <is>
          <t>Full Time</t>
        </is>
      </c>
      <c r="K1021" s="23" t="n">
        <v>45514</v>
      </c>
      <c r="L1021" s="23" t="n">
        <v>45514</v>
      </c>
      <c r="O1021" t="n">
        <v>24</v>
      </c>
    </row>
    <row r="1022">
      <c r="A1022" t="inlineStr">
        <is>
          <t>AU23393</t>
        </is>
      </c>
      <c r="C1022" t="inlineStr">
        <is>
          <t>NSW-QLD</t>
        </is>
      </c>
      <c r="D1022" t="inlineStr">
        <is>
          <t>Virtus Health</t>
        </is>
      </c>
      <c r="E1022" t="inlineStr">
        <is>
          <t>Registered Nurse</t>
        </is>
      </c>
      <c r="F1022" t="inlineStr">
        <is>
          <t>9/30/2024</t>
        </is>
      </c>
      <c r="H1022" t="inlineStr">
        <is>
          <t>IVFN2021</t>
        </is>
      </c>
      <c r="I1022" t="inlineStr">
        <is>
          <t>NSW</t>
        </is>
      </c>
      <c r="J1022" t="inlineStr">
        <is>
          <t>Casual</t>
        </is>
      </c>
      <c r="K1022" s="23" t="inlineStr">
        <is>
          <t>9/30/2024</t>
        </is>
      </c>
      <c r="L1022" s="23" t="inlineStr">
        <is>
          <t>9/30/2024</t>
        </is>
      </c>
      <c r="O1022" t="n">
        <v>38</v>
      </c>
    </row>
    <row r="1023">
      <c r="A1023" t="inlineStr">
        <is>
          <t>AU23395</t>
        </is>
      </c>
      <c r="C1023" t="inlineStr">
        <is>
          <t>NSW-QLD</t>
        </is>
      </c>
      <c r="D1023" t="inlineStr">
        <is>
          <t>Virtus Health</t>
        </is>
      </c>
      <c r="E1023" t="inlineStr">
        <is>
          <t>Head of Information Technology</t>
        </is>
      </c>
      <c r="F1023" t="inlineStr">
        <is>
          <t>10/14/2024</t>
        </is>
      </c>
      <c r="H1023" t="inlineStr">
        <is>
          <t>VIC</t>
        </is>
      </c>
      <c r="I1023" t="inlineStr">
        <is>
          <t>VIC</t>
        </is>
      </c>
      <c r="J1023" t="inlineStr">
        <is>
          <t>Full Time</t>
        </is>
      </c>
      <c r="K1023" s="23" t="inlineStr">
        <is>
          <t>10/14/2024</t>
        </is>
      </c>
      <c r="L1023" s="23" t="inlineStr">
        <is>
          <t>10/14/2024</t>
        </is>
      </c>
      <c r="O1023" t="n">
        <v>38</v>
      </c>
    </row>
    <row r="1024">
      <c r="A1024" t="inlineStr">
        <is>
          <t>AU23397</t>
        </is>
      </c>
      <c r="B1024" s="1" t="n"/>
      <c r="C1024" t="inlineStr">
        <is>
          <t>VIC-TAS</t>
        </is>
      </c>
      <c r="D1024" t="inlineStr">
        <is>
          <t>Virtus Health</t>
        </is>
      </c>
      <c r="E1024" t="inlineStr">
        <is>
          <t>Administration Clerk</t>
        </is>
      </c>
      <c r="F1024" s="1" t="n">
        <v>45545</v>
      </c>
      <c r="H1024" t="inlineStr">
        <is>
          <t>MIVFS2022</t>
        </is>
      </c>
      <c r="I1024" t="inlineStr">
        <is>
          <t>VIC</t>
        </is>
      </c>
      <c r="J1024" t="inlineStr">
        <is>
          <t>Casual</t>
        </is>
      </c>
      <c r="K1024" s="23" t="n">
        <v>45545</v>
      </c>
      <c r="L1024" s="23" t="n">
        <v>45545</v>
      </c>
      <c r="O1024" t="n">
        <v>38</v>
      </c>
    </row>
    <row r="1025">
      <c r="A1025" t="inlineStr">
        <is>
          <t>AU23398</t>
        </is>
      </c>
      <c r="C1025" t="inlineStr">
        <is>
          <t>NSW-QLD</t>
        </is>
      </c>
      <c r="D1025" t="inlineStr">
        <is>
          <t>Virtus Health</t>
        </is>
      </c>
      <c r="E1025" t="inlineStr">
        <is>
          <t>Pathologist - Immunology &amp; Genetics</t>
        </is>
      </c>
      <c r="F1025" t="inlineStr">
        <is>
          <t>11/18/2024</t>
        </is>
      </c>
      <c r="H1025" t="inlineStr">
        <is>
          <t>NSW</t>
        </is>
      </c>
      <c r="I1025" t="inlineStr">
        <is>
          <t>NSW</t>
        </is>
      </c>
      <c r="J1025" t="inlineStr">
        <is>
          <t>Part Time</t>
        </is>
      </c>
      <c r="K1025" s="23" t="inlineStr">
        <is>
          <t>11/18/2024</t>
        </is>
      </c>
      <c r="L1025" s="23" t="inlineStr">
        <is>
          <t>11/18/2024</t>
        </is>
      </c>
      <c r="O1025" t="n">
        <v>22.8</v>
      </c>
    </row>
    <row r="1026">
      <c r="A1026" t="inlineStr">
        <is>
          <t>AU23399</t>
        </is>
      </c>
      <c r="B1026" s="1" t="n"/>
      <c r="C1026" t="inlineStr">
        <is>
          <t>NSW-QLD</t>
        </is>
      </c>
      <c r="D1026" t="inlineStr">
        <is>
          <t>Virtus Health</t>
        </is>
      </c>
      <c r="E1026" t="inlineStr">
        <is>
          <t>Head of Growth</t>
        </is>
      </c>
      <c r="F1026" s="1" t="n">
        <v>45514</v>
      </c>
      <c r="H1026" t="inlineStr">
        <is>
          <t>VIC</t>
        </is>
      </c>
      <c r="I1026" t="inlineStr">
        <is>
          <t>VIC</t>
        </is>
      </c>
      <c r="J1026" t="inlineStr">
        <is>
          <t>Full Time</t>
        </is>
      </c>
      <c r="K1026" s="23" t="n">
        <v>45514</v>
      </c>
      <c r="L1026" s="23" t="n">
        <v>45514</v>
      </c>
      <c r="O1026" t="n">
        <v>36</v>
      </c>
    </row>
    <row r="1027">
      <c r="A1027" t="inlineStr">
        <is>
          <t>AU23400</t>
        </is>
      </c>
      <c r="C1027" t="inlineStr">
        <is>
          <t>NSW-QLD</t>
        </is>
      </c>
      <c r="D1027" t="inlineStr">
        <is>
          <t>Virtus Health</t>
        </is>
      </c>
      <c r="E1027" t="inlineStr">
        <is>
          <t>Registered Nurse</t>
        </is>
      </c>
      <c r="F1027" t="inlineStr">
        <is>
          <t>11/30/2020</t>
        </is>
      </c>
      <c r="H1027" t="inlineStr">
        <is>
          <t>IVFN2021</t>
        </is>
      </c>
      <c r="I1027" t="inlineStr">
        <is>
          <t>NSW</t>
        </is>
      </c>
      <c r="J1027" t="inlineStr">
        <is>
          <t>Casual</t>
        </is>
      </c>
      <c r="K1027" s="23" t="inlineStr">
        <is>
          <t>11/30/2020</t>
        </is>
      </c>
      <c r="L1027" s="23" t="inlineStr">
        <is>
          <t>11/30/2020</t>
        </is>
      </c>
      <c r="O1027" t="n">
        <v>38</v>
      </c>
    </row>
    <row r="1028">
      <c r="A1028" t="inlineStr">
        <is>
          <t>AU23401</t>
        </is>
      </c>
      <c r="B1028" s="1" t="n"/>
      <c r="C1028" t="inlineStr">
        <is>
          <t>NSW-QLD</t>
        </is>
      </c>
      <c r="D1028" t="inlineStr">
        <is>
          <t>Virtus Health</t>
        </is>
      </c>
      <c r="E1028" t="inlineStr">
        <is>
          <t>Nurse Coordinator</t>
        </is>
      </c>
      <c r="F1028" s="1" t="n">
        <v>45607</v>
      </c>
      <c r="H1028" t="inlineStr">
        <is>
          <t>QN2025</t>
        </is>
      </c>
      <c r="I1028" t="inlineStr">
        <is>
          <t>QLD</t>
        </is>
      </c>
      <c r="J1028" t="inlineStr">
        <is>
          <t>Part Time</t>
        </is>
      </c>
      <c r="K1028" s="23" t="n">
        <v>45607</v>
      </c>
      <c r="L1028" s="23" t="n">
        <v>45607</v>
      </c>
      <c r="O1028" t="n">
        <v>38</v>
      </c>
    </row>
    <row r="1029">
      <c r="A1029" t="inlineStr">
        <is>
          <t>AU23403</t>
        </is>
      </c>
      <c r="C1029" t="inlineStr">
        <is>
          <t>NSW-QLD</t>
        </is>
      </c>
      <c r="D1029" t="inlineStr">
        <is>
          <t>Virtus Health</t>
        </is>
      </c>
      <c r="E1029" t="inlineStr">
        <is>
          <t>Nurse Coordinator</t>
        </is>
      </c>
      <c r="F1029" t="inlineStr">
        <is>
          <t>10/28/2024</t>
        </is>
      </c>
      <c r="H1029" t="inlineStr">
        <is>
          <t>IVFN2021</t>
        </is>
      </c>
      <c r="I1029" t="inlineStr">
        <is>
          <t>NSW</t>
        </is>
      </c>
      <c r="J1029" t="inlineStr">
        <is>
          <t>Part Time</t>
        </is>
      </c>
      <c r="K1029" s="23" t="inlineStr">
        <is>
          <t>10/28/2024</t>
        </is>
      </c>
      <c r="L1029" s="23" t="inlineStr">
        <is>
          <t>10/28/2024</t>
        </is>
      </c>
      <c r="O1029" t="n">
        <v>22.8</v>
      </c>
    </row>
    <row r="1030">
      <c r="A1030" t="inlineStr">
        <is>
          <t>AU23404</t>
        </is>
      </c>
      <c r="C1030" t="inlineStr">
        <is>
          <t>NSW-QLD</t>
        </is>
      </c>
      <c r="D1030" t="inlineStr">
        <is>
          <t>Virtus Health</t>
        </is>
      </c>
      <c r="E1030" t="inlineStr">
        <is>
          <t>Administration</t>
        </is>
      </c>
      <c r="F1030" t="inlineStr">
        <is>
          <t>10/14/2024</t>
        </is>
      </c>
      <c r="H1030" t="inlineStr">
        <is>
          <t>IVFS2023</t>
        </is>
      </c>
      <c r="I1030" t="inlineStr">
        <is>
          <t>QLD</t>
        </is>
      </c>
      <c r="J1030" t="inlineStr">
        <is>
          <t>Part Time</t>
        </is>
      </c>
      <c r="K1030" s="23" t="inlineStr">
        <is>
          <t>10/14/2024</t>
        </is>
      </c>
      <c r="L1030" s="23" t="inlineStr">
        <is>
          <t>10/14/2024</t>
        </is>
      </c>
      <c r="O1030" t="n">
        <v>38</v>
      </c>
    </row>
    <row r="1031">
      <c r="A1031" t="inlineStr">
        <is>
          <t>AU23405</t>
        </is>
      </c>
      <c r="C1031" t="inlineStr">
        <is>
          <t>NSW-QLD</t>
        </is>
      </c>
      <c r="D1031" t="inlineStr">
        <is>
          <t>Virtus Health</t>
        </is>
      </c>
      <c r="E1031" t="inlineStr">
        <is>
          <t>Nurse Coordinator</t>
        </is>
      </c>
      <c r="F1031" t="inlineStr">
        <is>
          <t>10/28/2024</t>
        </is>
      </c>
      <c r="H1031" t="inlineStr">
        <is>
          <t>QN2025</t>
        </is>
      </c>
      <c r="I1031" t="inlineStr">
        <is>
          <t>QLD</t>
        </is>
      </c>
      <c r="J1031" t="inlineStr">
        <is>
          <t>Part Time</t>
        </is>
      </c>
      <c r="K1031" s="23" t="inlineStr">
        <is>
          <t>10/28/2024</t>
        </is>
      </c>
      <c r="L1031" s="23" t="inlineStr">
        <is>
          <t>10/28/2024</t>
        </is>
      </c>
      <c r="O1031" t="n">
        <v>38</v>
      </c>
    </row>
    <row r="1032">
      <c r="A1032" t="inlineStr">
        <is>
          <t>AU23406</t>
        </is>
      </c>
      <c r="C1032" t="inlineStr">
        <is>
          <t>NSW-QLD</t>
        </is>
      </c>
      <c r="D1032" t="inlineStr">
        <is>
          <t>Virtus Health</t>
        </is>
      </c>
      <c r="E1032" t="inlineStr">
        <is>
          <t>Laboratory Assistant</t>
        </is>
      </c>
      <c r="F1032" t="inlineStr">
        <is>
          <t>10/21/2024</t>
        </is>
      </c>
      <c r="H1032" t="inlineStr">
        <is>
          <t>QS2024</t>
        </is>
      </c>
      <c r="I1032" t="inlineStr">
        <is>
          <t>QLD</t>
        </is>
      </c>
      <c r="J1032" t="inlineStr">
        <is>
          <t>Full Time</t>
        </is>
      </c>
      <c r="K1032" s="23" t="inlineStr">
        <is>
          <t>10/21/2024</t>
        </is>
      </c>
      <c r="L1032" s="23" t="inlineStr">
        <is>
          <t>10/21/2024</t>
        </is>
      </c>
      <c r="O1032" t="n">
        <v>38</v>
      </c>
    </row>
    <row r="1033">
      <c r="A1033" t="inlineStr">
        <is>
          <t>AU23407</t>
        </is>
      </c>
      <c r="B1033" s="1" t="n"/>
      <c r="C1033" t="inlineStr">
        <is>
          <t>NSW-QLD</t>
        </is>
      </c>
      <c r="D1033" t="inlineStr">
        <is>
          <t>Virtus Health</t>
        </is>
      </c>
      <c r="E1033" t="inlineStr">
        <is>
          <t>Chief Legal and Risk Officer</t>
        </is>
      </c>
      <c r="F1033" s="1" t="n">
        <v>45302</v>
      </c>
      <c r="H1033" t="inlineStr">
        <is>
          <t>VIC</t>
        </is>
      </c>
      <c r="I1033" t="inlineStr">
        <is>
          <t>VIC</t>
        </is>
      </c>
      <c r="J1033" t="inlineStr">
        <is>
          <t>Full Time</t>
        </is>
      </c>
      <c r="K1033" s="23" t="n">
        <v>45302</v>
      </c>
      <c r="L1033" s="23" t="n">
        <v>45302</v>
      </c>
      <c r="O1033" t="n">
        <v>38</v>
      </c>
    </row>
    <row r="1034">
      <c r="A1034" t="inlineStr">
        <is>
          <t>AU23408</t>
        </is>
      </c>
      <c r="C1034" t="inlineStr">
        <is>
          <t>VIC-TAS</t>
        </is>
      </c>
      <c r="D1034" t="inlineStr">
        <is>
          <t>Virtus Health</t>
        </is>
      </c>
      <c r="E1034" t="inlineStr">
        <is>
          <t>Patient Care Co-ordinator</t>
        </is>
      </c>
      <c r="F1034" t="inlineStr">
        <is>
          <t>10/21/2024</t>
        </is>
      </c>
      <c r="H1034" t="inlineStr">
        <is>
          <t>MIVFS2022</t>
        </is>
      </c>
      <c r="I1034" t="inlineStr">
        <is>
          <t>VIC</t>
        </is>
      </c>
      <c r="J1034" t="inlineStr">
        <is>
          <t>Full Time</t>
        </is>
      </c>
      <c r="K1034" s="23" t="inlineStr">
        <is>
          <t>10/21/2024</t>
        </is>
      </c>
      <c r="L1034" s="23" t="inlineStr">
        <is>
          <t>10/21/2024</t>
        </is>
      </c>
      <c r="O1034" t="n">
        <v>38</v>
      </c>
    </row>
    <row r="1035">
      <c r="A1035" t="inlineStr">
        <is>
          <t>AU23409</t>
        </is>
      </c>
      <c r="C1035" t="inlineStr">
        <is>
          <t>VIC-TAS</t>
        </is>
      </c>
      <c r="D1035" t="inlineStr">
        <is>
          <t>Virtus Health</t>
        </is>
      </c>
      <c r="E1035" t="inlineStr">
        <is>
          <t>Registered Nurse</t>
        </is>
      </c>
      <c r="F1035" t="inlineStr">
        <is>
          <t>10/30/2024</t>
        </is>
      </c>
      <c r="H1035" t="inlineStr">
        <is>
          <t>TIVF2024</t>
        </is>
      </c>
      <c r="I1035" t="inlineStr">
        <is>
          <t>TAS</t>
        </is>
      </c>
      <c r="J1035" t="inlineStr">
        <is>
          <t>Casual</t>
        </is>
      </c>
      <c r="K1035" s="23" t="inlineStr">
        <is>
          <t>10/30/2024</t>
        </is>
      </c>
      <c r="L1035" s="23" t="inlineStr">
        <is>
          <t>10/30/2024</t>
        </is>
      </c>
      <c r="O1035" t="n">
        <v>38</v>
      </c>
    </row>
    <row r="1036">
      <c r="A1036" t="inlineStr">
        <is>
          <t>AU23411</t>
        </is>
      </c>
      <c r="C1036" t="inlineStr">
        <is>
          <t>NSW-QLD</t>
        </is>
      </c>
      <c r="D1036" t="inlineStr">
        <is>
          <t>Virtus Health</t>
        </is>
      </c>
      <c r="E1036" t="inlineStr">
        <is>
          <t>Registered Nurse</t>
        </is>
      </c>
      <c r="F1036" t="inlineStr">
        <is>
          <t>10/21/2024</t>
        </is>
      </c>
      <c r="H1036" t="inlineStr">
        <is>
          <t>IVFN2021</t>
        </is>
      </c>
      <c r="I1036" t="inlineStr">
        <is>
          <t>NSW</t>
        </is>
      </c>
      <c r="J1036" t="inlineStr">
        <is>
          <t>Part Time</t>
        </is>
      </c>
      <c r="K1036" s="23" t="inlineStr">
        <is>
          <t>10/21/2024</t>
        </is>
      </c>
      <c r="L1036" s="23" t="inlineStr">
        <is>
          <t>10/21/2024</t>
        </is>
      </c>
      <c r="O1036" t="n">
        <v>30.4</v>
      </c>
    </row>
    <row r="1037">
      <c r="A1037" t="inlineStr">
        <is>
          <t>AU23412</t>
        </is>
      </c>
      <c r="C1037" t="inlineStr">
        <is>
          <t>NSW-QLD</t>
        </is>
      </c>
      <c r="D1037" t="inlineStr">
        <is>
          <t>Virtus Health</t>
        </is>
      </c>
      <c r="E1037" t="inlineStr">
        <is>
          <t>Theatre Orderly</t>
        </is>
      </c>
      <c r="F1037" t="inlineStr">
        <is>
          <t>10/21/2024</t>
        </is>
      </c>
      <c r="H1037" t="inlineStr">
        <is>
          <t>IVFS2023</t>
        </is>
      </c>
      <c r="I1037" t="inlineStr">
        <is>
          <t>NSW</t>
        </is>
      </c>
      <c r="J1037" t="inlineStr">
        <is>
          <t>Casual</t>
        </is>
      </c>
      <c r="K1037" s="23" t="inlineStr">
        <is>
          <t>10/21/2024</t>
        </is>
      </c>
      <c r="L1037" s="23" t="inlineStr">
        <is>
          <t>10/21/2024</t>
        </is>
      </c>
      <c r="O1037" t="n">
        <v>19</v>
      </c>
    </row>
    <row r="1038">
      <c r="A1038" t="inlineStr">
        <is>
          <t>AU23413</t>
        </is>
      </c>
      <c r="C1038" t="inlineStr">
        <is>
          <t>NSW-QLD</t>
        </is>
      </c>
      <c r="D1038" t="inlineStr">
        <is>
          <t>Virtus Health</t>
        </is>
      </c>
      <c r="E1038" t="inlineStr">
        <is>
          <t xml:space="preserve"> Embryologist</t>
        </is>
      </c>
      <c r="F1038" t="inlineStr">
        <is>
          <t>10/28/2024</t>
        </is>
      </c>
      <c r="H1038" t="inlineStr">
        <is>
          <t>IVFT2024</t>
        </is>
      </c>
      <c r="I1038" t="inlineStr">
        <is>
          <t>NSW</t>
        </is>
      </c>
      <c r="J1038" t="inlineStr">
        <is>
          <t>Full Time</t>
        </is>
      </c>
      <c r="K1038" s="23" t="inlineStr">
        <is>
          <t>10/28/2024</t>
        </is>
      </c>
      <c r="L1038" s="23" t="inlineStr">
        <is>
          <t>10/28/2024</t>
        </is>
      </c>
      <c r="O1038" t="n">
        <v>23.75</v>
      </c>
    </row>
    <row r="1039">
      <c r="A1039" t="inlineStr">
        <is>
          <t>AU23414</t>
        </is>
      </c>
      <c r="B1039" s="1" t="n"/>
      <c r="C1039" t="inlineStr">
        <is>
          <t>VIC-TAS</t>
        </is>
      </c>
      <c r="D1039" t="inlineStr">
        <is>
          <t>Virtus Health</t>
        </is>
      </c>
      <c r="E1039" t="inlineStr">
        <is>
          <t>IVF Laboratory Administrator</t>
        </is>
      </c>
      <c r="F1039" s="1" t="n">
        <v>45393</v>
      </c>
      <c r="H1039" t="inlineStr">
        <is>
          <t>MIVFS2022</t>
        </is>
      </c>
      <c r="I1039" t="inlineStr">
        <is>
          <t>VIC</t>
        </is>
      </c>
      <c r="J1039" t="inlineStr">
        <is>
          <t>Full Time</t>
        </is>
      </c>
      <c r="K1039" s="23" t="n">
        <v>45393</v>
      </c>
      <c r="L1039" s="23" t="n">
        <v>45393</v>
      </c>
      <c r="O1039" t="n">
        <v>38</v>
      </c>
    </row>
    <row r="1040">
      <c r="A1040" t="inlineStr">
        <is>
          <t>AU23415</t>
        </is>
      </c>
      <c r="B1040" s="1" t="n"/>
      <c r="C1040" t="inlineStr">
        <is>
          <t>NSW-QLD</t>
        </is>
      </c>
      <c r="D1040" t="inlineStr">
        <is>
          <t>Virtus Health</t>
        </is>
      </c>
      <c r="E1040" t="inlineStr">
        <is>
          <t>Registered Nurse</t>
        </is>
      </c>
      <c r="F1040" s="1" t="n">
        <v>45393</v>
      </c>
      <c r="H1040" t="inlineStr">
        <is>
          <t>QN2025</t>
        </is>
      </c>
      <c r="I1040" t="inlineStr">
        <is>
          <t>QLD</t>
        </is>
      </c>
      <c r="J1040" t="inlineStr">
        <is>
          <t>Part Time</t>
        </is>
      </c>
      <c r="K1040" s="23" t="n">
        <v>45393</v>
      </c>
      <c r="L1040" s="23" t="n">
        <v>45393</v>
      </c>
      <c r="O1040" t="n">
        <v>38</v>
      </c>
    </row>
    <row r="1041">
      <c r="A1041" t="inlineStr">
        <is>
          <t>AU23416</t>
        </is>
      </c>
      <c r="B1041" s="1" t="n"/>
      <c r="C1041" t="inlineStr">
        <is>
          <t>VIC-TAS</t>
        </is>
      </c>
      <c r="D1041" t="inlineStr">
        <is>
          <t>Virtus Health</t>
        </is>
      </c>
      <c r="E1041" t="inlineStr">
        <is>
          <t>Administration Clerk</t>
        </is>
      </c>
      <c r="F1041" s="1" t="n">
        <v>45423</v>
      </c>
      <c r="H1041" t="inlineStr">
        <is>
          <t>MIVFS2022</t>
        </is>
      </c>
      <c r="I1041" t="inlineStr">
        <is>
          <t>VIC</t>
        </is>
      </c>
      <c r="J1041" t="inlineStr">
        <is>
          <t>Casual</t>
        </is>
      </c>
      <c r="K1041" s="23" t="n">
        <v>45423</v>
      </c>
      <c r="L1041" s="23" t="n">
        <v>45423</v>
      </c>
      <c r="O1041" t="n">
        <v>38</v>
      </c>
    </row>
    <row r="1042">
      <c r="A1042" t="inlineStr">
        <is>
          <t>AU23417</t>
        </is>
      </c>
      <c r="C1042" t="inlineStr">
        <is>
          <t>VIC-TAS</t>
        </is>
      </c>
      <c r="D1042" t="inlineStr">
        <is>
          <t>Virtus Health</t>
        </is>
      </c>
      <c r="E1042" t="inlineStr">
        <is>
          <t>Donor Registered Nurse</t>
        </is>
      </c>
      <c r="F1042" t="inlineStr">
        <is>
          <t>11/18/2024</t>
        </is>
      </c>
      <c r="H1042" t="inlineStr">
        <is>
          <t>MIVFN2023</t>
        </is>
      </c>
      <c r="I1042" t="inlineStr">
        <is>
          <t>VIC</t>
        </is>
      </c>
      <c r="J1042" t="inlineStr">
        <is>
          <t>Part Time</t>
        </is>
      </c>
      <c r="K1042" s="23" t="inlineStr">
        <is>
          <t>11/18/2024</t>
        </is>
      </c>
      <c r="L1042" s="23" t="inlineStr">
        <is>
          <t>11/18/2024</t>
        </is>
      </c>
      <c r="O1042" t="n">
        <v>34.2</v>
      </c>
    </row>
    <row r="1043">
      <c r="A1043" t="inlineStr">
        <is>
          <t>AU23418</t>
        </is>
      </c>
      <c r="C1043" t="inlineStr">
        <is>
          <t>NSW-QLD</t>
        </is>
      </c>
      <c r="D1043" t="inlineStr">
        <is>
          <t>Virtus Health</t>
        </is>
      </c>
      <c r="E1043" t="inlineStr">
        <is>
          <t>Registered Nurse</t>
        </is>
      </c>
      <c r="F1043" t="inlineStr">
        <is>
          <t>10/28/2024</t>
        </is>
      </c>
      <c r="H1043" t="inlineStr">
        <is>
          <t>IVFN2021</t>
        </is>
      </c>
      <c r="I1043" t="inlineStr">
        <is>
          <t>NSW</t>
        </is>
      </c>
      <c r="J1043" t="inlineStr">
        <is>
          <t>Part Time</t>
        </is>
      </c>
      <c r="K1043" s="23" t="inlineStr">
        <is>
          <t>10/28/2024</t>
        </is>
      </c>
      <c r="L1043" s="23" t="inlineStr">
        <is>
          <t>10/28/2024</t>
        </is>
      </c>
      <c r="O1043" t="n">
        <v>34</v>
      </c>
    </row>
    <row r="1044">
      <c r="A1044" t="inlineStr">
        <is>
          <t>AU23419</t>
        </is>
      </c>
      <c r="B1044" s="1" t="n"/>
      <c r="C1044" t="inlineStr">
        <is>
          <t>NSW-QLD</t>
        </is>
      </c>
      <c r="D1044" t="inlineStr">
        <is>
          <t>Virtus Health</t>
        </is>
      </c>
      <c r="E1044" t="inlineStr">
        <is>
          <t>Nurse Coordinator</t>
        </is>
      </c>
      <c r="F1044" s="1" t="n">
        <v>45334</v>
      </c>
      <c r="H1044" t="inlineStr">
        <is>
          <t>IVFN2021</t>
        </is>
      </c>
      <c r="I1044" t="inlineStr">
        <is>
          <t>NSW</t>
        </is>
      </c>
      <c r="J1044" t="inlineStr">
        <is>
          <t>Part Time</t>
        </is>
      </c>
      <c r="K1044" s="23" t="n">
        <v>45334</v>
      </c>
      <c r="L1044" s="23" t="n">
        <v>45334</v>
      </c>
      <c r="O1044" t="n">
        <v>34</v>
      </c>
    </row>
    <row r="1045">
      <c r="A1045" t="inlineStr">
        <is>
          <t>AU23420</t>
        </is>
      </c>
      <c r="B1045" s="1" t="n"/>
      <c r="C1045" t="inlineStr">
        <is>
          <t>NSW-QLD</t>
        </is>
      </c>
      <c r="D1045" t="inlineStr">
        <is>
          <t>Virtus Health</t>
        </is>
      </c>
      <c r="E1045" t="inlineStr">
        <is>
          <t>Accredited CREI Trainee</t>
        </is>
      </c>
      <c r="F1045" s="1" t="n">
        <v>45659</v>
      </c>
      <c r="H1045" t="inlineStr">
        <is>
          <t>NSW</t>
        </is>
      </c>
      <c r="I1045" t="inlineStr">
        <is>
          <t>NSW</t>
        </is>
      </c>
      <c r="J1045" t="inlineStr">
        <is>
          <t>Full Time</t>
        </is>
      </c>
      <c r="K1045" s="23" t="n">
        <v>45659</v>
      </c>
      <c r="L1045" s="23" t="n">
        <v>45659</v>
      </c>
      <c r="O1045" t="n">
        <v>38</v>
      </c>
    </row>
    <row r="1046">
      <c r="A1046" t="inlineStr">
        <is>
          <t>AU23421</t>
        </is>
      </c>
      <c r="B1046" s="1" t="n"/>
      <c r="C1046" t="inlineStr">
        <is>
          <t>NSW-QLD</t>
        </is>
      </c>
      <c r="D1046" t="inlineStr">
        <is>
          <t>Virtus Health</t>
        </is>
      </c>
      <c r="E1046" t="inlineStr">
        <is>
          <t>Administration</t>
        </is>
      </c>
      <c r="F1046" s="1" t="n">
        <v>45393</v>
      </c>
      <c r="H1046" t="inlineStr">
        <is>
          <t>IVFS2023</t>
        </is>
      </c>
      <c r="I1046" t="inlineStr">
        <is>
          <t>QLD</t>
        </is>
      </c>
      <c r="J1046" t="inlineStr">
        <is>
          <t>Part Time</t>
        </is>
      </c>
      <c r="K1046" s="23" t="n">
        <v>45393</v>
      </c>
      <c r="L1046" s="23" t="n">
        <v>45393</v>
      </c>
      <c r="O1046" t="n">
        <v>28.5</v>
      </c>
    </row>
    <row r="1047">
      <c r="A1047" t="inlineStr">
        <is>
          <t>AU23422</t>
        </is>
      </c>
      <c r="B1047" s="1" t="n"/>
      <c r="C1047" t="inlineStr">
        <is>
          <t>NSW-QLD</t>
        </is>
      </c>
      <c r="D1047" t="inlineStr">
        <is>
          <t>Virtus Health</t>
        </is>
      </c>
      <c r="E1047" t="inlineStr">
        <is>
          <t>Manager Fertility Preservation, Performance &amp; Anal</t>
        </is>
      </c>
      <c r="F1047" s="1" t="n">
        <v>45607</v>
      </c>
      <c r="H1047" t="inlineStr">
        <is>
          <t>NSW</t>
        </is>
      </c>
      <c r="I1047" t="inlineStr">
        <is>
          <t>NSW</t>
        </is>
      </c>
      <c r="J1047" t="inlineStr">
        <is>
          <t>Full Time</t>
        </is>
      </c>
      <c r="K1047" s="23" t="n">
        <v>45607</v>
      </c>
      <c r="L1047" s="23" t="n">
        <v>45607</v>
      </c>
      <c r="O1047" t="n">
        <v>38</v>
      </c>
    </row>
    <row r="1048">
      <c r="A1048" t="inlineStr">
        <is>
          <t>AU23423</t>
        </is>
      </c>
      <c r="B1048" s="1" t="n"/>
      <c r="C1048" t="inlineStr">
        <is>
          <t>VIC-TAS</t>
        </is>
      </c>
      <c r="D1048" t="inlineStr">
        <is>
          <t>Virtus Health</t>
        </is>
      </c>
      <c r="E1048" t="inlineStr">
        <is>
          <t>Clinical Embryologist</t>
        </is>
      </c>
      <c r="F1048" s="1" t="n">
        <v>45393</v>
      </c>
      <c r="H1048" t="inlineStr">
        <is>
          <t>MIVFS2022</t>
        </is>
      </c>
      <c r="I1048" t="inlineStr">
        <is>
          <t>TAS</t>
        </is>
      </c>
      <c r="J1048" t="inlineStr">
        <is>
          <t>Full Time</t>
        </is>
      </c>
      <c r="K1048" s="23" t="n">
        <v>45393</v>
      </c>
      <c r="L1048" s="23" t="n">
        <v>45393</v>
      </c>
      <c r="O1048" t="n">
        <v>38</v>
      </c>
    </row>
    <row r="1049">
      <c r="A1049" t="inlineStr">
        <is>
          <t>AU23425</t>
        </is>
      </c>
      <c r="C1049" t="inlineStr">
        <is>
          <t>NSW-QLD</t>
        </is>
      </c>
      <c r="D1049" t="inlineStr">
        <is>
          <t>Virtus Health</t>
        </is>
      </c>
      <c r="E1049" t="inlineStr">
        <is>
          <t>Donor Administrator</t>
        </is>
      </c>
      <c r="F1049" t="inlineStr">
        <is>
          <t>11/18/2024</t>
        </is>
      </c>
      <c r="H1049" t="inlineStr">
        <is>
          <t>IVFS2023</t>
        </is>
      </c>
      <c r="I1049" t="inlineStr">
        <is>
          <t>QLD</t>
        </is>
      </c>
      <c r="J1049" t="inlineStr">
        <is>
          <t>Full Time</t>
        </is>
      </c>
      <c r="K1049" s="23" t="inlineStr">
        <is>
          <t>11/18/2024</t>
        </is>
      </c>
      <c r="L1049" s="23" t="inlineStr">
        <is>
          <t>11/18/2024</t>
        </is>
      </c>
      <c r="O1049" t="n">
        <v>38</v>
      </c>
    </row>
    <row r="1050">
      <c r="A1050" t="inlineStr">
        <is>
          <t>AU23426</t>
        </is>
      </c>
      <c r="B1050" s="1" t="n"/>
      <c r="C1050" t="inlineStr">
        <is>
          <t>VIC-TAS</t>
        </is>
      </c>
      <c r="D1050" t="inlineStr">
        <is>
          <t>Virtus Health</t>
        </is>
      </c>
      <c r="E1050" t="inlineStr">
        <is>
          <t>Andrology Scientist</t>
        </is>
      </c>
      <c r="F1050" s="1" t="n">
        <v>45334</v>
      </c>
      <c r="H1050" t="inlineStr">
        <is>
          <t>MIVFS2022</t>
        </is>
      </c>
      <c r="I1050" t="inlineStr">
        <is>
          <t>VIC</t>
        </is>
      </c>
      <c r="J1050" t="inlineStr">
        <is>
          <t>Full Time</t>
        </is>
      </c>
      <c r="K1050" s="23" t="n">
        <v>45334</v>
      </c>
      <c r="L1050" s="23" t="n">
        <v>45334</v>
      </c>
      <c r="O1050" t="n">
        <v>38</v>
      </c>
    </row>
    <row r="1051">
      <c r="A1051" t="inlineStr">
        <is>
          <t>AU23427</t>
        </is>
      </c>
      <c r="C1051" t="inlineStr">
        <is>
          <t>NSW-QLD</t>
        </is>
      </c>
      <c r="D1051" t="inlineStr">
        <is>
          <t>Virtus Health</t>
        </is>
      </c>
      <c r="E1051" t="inlineStr">
        <is>
          <t>Registered Nurse</t>
        </is>
      </c>
      <c r="F1051" t="inlineStr">
        <is>
          <t>10/30/2024</t>
        </is>
      </c>
      <c r="H1051" t="inlineStr">
        <is>
          <t>QN2025</t>
        </is>
      </c>
      <c r="I1051" t="inlineStr">
        <is>
          <t>QLD</t>
        </is>
      </c>
      <c r="J1051" t="inlineStr">
        <is>
          <t>Full Time</t>
        </is>
      </c>
      <c r="K1051" s="23" t="inlineStr">
        <is>
          <t>10/30/2024</t>
        </is>
      </c>
      <c r="L1051" s="23" t="inlineStr">
        <is>
          <t>10/30/2024</t>
        </is>
      </c>
      <c r="O1051" t="n">
        <v>38</v>
      </c>
    </row>
    <row r="1052">
      <c r="A1052" t="inlineStr">
        <is>
          <t>AU23429</t>
        </is>
      </c>
      <c r="C1052" t="inlineStr">
        <is>
          <t>NSW-QLD</t>
        </is>
      </c>
      <c r="D1052" t="inlineStr">
        <is>
          <t>Virtus Health</t>
        </is>
      </c>
      <c r="E1052" t="inlineStr">
        <is>
          <t>Registered Nurse</t>
        </is>
      </c>
      <c r="F1052" t="inlineStr">
        <is>
          <t>10/21/2024</t>
        </is>
      </c>
      <c r="H1052" t="inlineStr">
        <is>
          <t>IVFN2021</t>
        </is>
      </c>
      <c r="I1052" t="inlineStr">
        <is>
          <t>NSW</t>
        </is>
      </c>
      <c r="J1052" t="inlineStr">
        <is>
          <t>Full Time</t>
        </is>
      </c>
      <c r="K1052" s="23" t="inlineStr">
        <is>
          <t>10/21/2024</t>
        </is>
      </c>
      <c r="L1052" s="23" t="inlineStr">
        <is>
          <t>10/21/2024</t>
        </is>
      </c>
      <c r="O1052" t="n">
        <v>38</v>
      </c>
    </row>
    <row r="1053">
      <c r="A1053" t="inlineStr">
        <is>
          <t>AU23430</t>
        </is>
      </c>
      <c r="B1053" s="1" t="n"/>
      <c r="C1053" t="inlineStr">
        <is>
          <t>VIC-TAS</t>
        </is>
      </c>
      <c r="D1053" t="inlineStr">
        <is>
          <t>Virtus Health</t>
        </is>
      </c>
      <c r="E1053" t="inlineStr">
        <is>
          <t>Patient Care Co-ordinator</t>
        </is>
      </c>
      <c r="F1053" s="1" t="n">
        <v>45454</v>
      </c>
      <c r="H1053" t="inlineStr">
        <is>
          <t>MIVFS2022</t>
        </is>
      </c>
      <c r="I1053" t="inlineStr">
        <is>
          <t>VIC</t>
        </is>
      </c>
      <c r="J1053" t="inlineStr">
        <is>
          <t>Part Time</t>
        </is>
      </c>
      <c r="K1053" s="23" t="n">
        <v>45454</v>
      </c>
      <c r="L1053" s="23" t="n">
        <v>45454</v>
      </c>
      <c r="O1053" t="n">
        <v>15.2</v>
      </c>
    </row>
    <row r="1054">
      <c r="A1054" t="inlineStr">
        <is>
          <t>AU23431</t>
        </is>
      </c>
      <c r="C1054" t="inlineStr">
        <is>
          <t>NSW-QLD</t>
        </is>
      </c>
      <c r="D1054" t="inlineStr">
        <is>
          <t>Virtus Health</t>
        </is>
      </c>
      <c r="E1054" t="inlineStr">
        <is>
          <t>Registered Nurse</t>
        </is>
      </c>
      <c r="F1054" t="inlineStr">
        <is>
          <t>10/23/2024</t>
        </is>
      </c>
      <c r="H1054" t="inlineStr">
        <is>
          <t>IVFN2021</t>
        </is>
      </c>
      <c r="I1054" t="inlineStr">
        <is>
          <t>NSW</t>
        </is>
      </c>
      <c r="J1054" t="inlineStr">
        <is>
          <t>Casual</t>
        </is>
      </c>
      <c r="K1054" s="23" t="inlineStr">
        <is>
          <t>10/23/2024</t>
        </is>
      </c>
      <c r="L1054" s="23" t="inlineStr">
        <is>
          <t>10/23/2024</t>
        </is>
      </c>
      <c r="O1054" t="n">
        <v>38</v>
      </c>
    </row>
    <row r="1055">
      <c r="A1055" t="inlineStr">
        <is>
          <t>AU23432</t>
        </is>
      </c>
      <c r="B1055" s="1" t="n"/>
      <c r="C1055" t="inlineStr">
        <is>
          <t>NSW-QLD</t>
        </is>
      </c>
      <c r="D1055" t="inlineStr">
        <is>
          <t>Virtus Health</t>
        </is>
      </c>
      <c r="E1055" t="inlineStr">
        <is>
          <t>Registered Nurse</t>
        </is>
      </c>
      <c r="F1055" s="1" t="n">
        <v>42525</v>
      </c>
      <c r="H1055" t="inlineStr">
        <is>
          <t>IVFN2021</t>
        </is>
      </c>
      <c r="I1055" t="inlineStr">
        <is>
          <t>NSW</t>
        </is>
      </c>
      <c r="J1055" t="inlineStr">
        <is>
          <t>Part Time</t>
        </is>
      </c>
      <c r="K1055" s="23" t="n">
        <v>42525</v>
      </c>
      <c r="L1055" s="23" t="n">
        <v>42525</v>
      </c>
      <c r="O1055" t="n">
        <v>32</v>
      </c>
    </row>
    <row r="1056">
      <c r="A1056" t="inlineStr">
        <is>
          <t>AU23433</t>
        </is>
      </c>
      <c r="B1056" s="1" t="n"/>
      <c r="C1056" t="inlineStr">
        <is>
          <t>NSW-QLD</t>
        </is>
      </c>
      <c r="D1056" t="inlineStr">
        <is>
          <t>Virtus Health</t>
        </is>
      </c>
      <c r="E1056" t="inlineStr">
        <is>
          <t>Nurse Coordinator</t>
        </is>
      </c>
      <c r="F1056" s="1" t="n">
        <v>45607</v>
      </c>
      <c r="H1056" t="inlineStr">
        <is>
          <t>QN2025</t>
        </is>
      </c>
      <c r="I1056" t="inlineStr">
        <is>
          <t>QLD</t>
        </is>
      </c>
      <c r="J1056" t="inlineStr">
        <is>
          <t>Part Time</t>
        </is>
      </c>
      <c r="K1056" s="23" t="n">
        <v>45607</v>
      </c>
      <c r="L1056" s="23" t="n">
        <v>45607</v>
      </c>
      <c r="O1056" t="n">
        <v>38</v>
      </c>
    </row>
    <row r="1057">
      <c r="A1057" t="inlineStr">
        <is>
          <t>AU23435</t>
        </is>
      </c>
      <c r="B1057" s="1" t="n"/>
      <c r="C1057" t="inlineStr">
        <is>
          <t>NSW-QLD</t>
        </is>
      </c>
      <c r="D1057" t="inlineStr">
        <is>
          <t>Virtus Health</t>
        </is>
      </c>
      <c r="E1057" t="inlineStr">
        <is>
          <t xml:space="preserve">Senior Scientists Team Leader </t>
        </is>
      </c>
      <c r="F1057" s="1" t="n">
        <v>45809</v>
      </c>
      <c r="H1057" t="inlineStr">
        <is>
          <t>QS2024</t>
        </is>
      </c>
      <c r="I1057" t="inlineStr">
        <is>
          <t>QLD</t>
        </is>
      </c>
      <c r="J1057" t="inlineStr">
        <is>
          <t>Full Time</t>
        </is>
      </c>
      <c r="K1057" s="23" t="n">
        <v>45809</v>
      </c>
      <c r="L1057" s="23" t="n">
        <v>45809</v>
      </c>
      <c r="O1057" t="n">
        <v>38</v>
      </c>
    </row>
    <row r="1058">
      <c r="A1058" t="inlineStr">
        <is>
          <t>AU23438</t>
        </is>
      </c>
      <c r="C1058" t="inlineStr">
        <is>
          <t>NSW-QLD</t>
        </is>
      </c>
      <c r="D1058" t="inlineStr">
        <is>
          <t>Virtus Health</t>
        </is>
      </c>
      <c r="E1058" t="inlineStr">
        <is>
          <t>Marketing Optimisation Specialist</t>
        </is>
      </c>
      <c r="F1058" t="inlineStr">
        <is>
          <t>11/14/2024</t>
        </is>
      </c>
      <c r="H1058" t="inlineStr">
        <is>
          <t>NSW</t>
        </is>
      </c>
      <c r="I1058" t="inlineStr">
        <is>
          <t>NSW</t>
        </is>
      </c>
      <c r="J1058" t="inlineStr">
        <is>
          <t>Full Time</t>
        </is>
      </c>
      <c r="K1058" s="23" t="inlineStr">
        <is>
          <t>11/14/2024</t>
        </is>
      </c>
      <c r="L1058" s="23" t="inlineStr">
        <is>
          <t>11/14/2024</t>
        </is>
      </c>
      <c r="O1058" t="n">
        <v>38</v>
      </c>
    </row>
    <row r="1059">
      <c r="A1059" t="inlineStr">
        <is>
          <t>AU23440</t>
        </is>
      </c>
      <c r="C1059" t="inlineStr">
        <is>
          <t>VIC-TAS</t>
        </is>
      </c>
      <c r="D1059" t="inlineStr">
        <is>
          <t>Virtus Health</t>
        </is>
      </c>
      <c r="E1059" t="inlineStr">
        <is>
          <t>Clinical Administrator</t>
        </is>
      </c>
      <c r="F1059" t="inlineStr">
        <is>
          <t>11/25/2024</t>
        </is>
      </c>
      <c r="H1059" t="inlineStr">
        <is>
          <t>MIVFS2022</t>
        </is>
      </c>
      <c r="I1059" t="inlineStr">
        <is>
          <t>VIC</t>
        </is>
      </c>
      <c r="J1059" t="inlineStr">
        <is>
          <t>Full Time</t>
        </is>
      </c>
      <c r="K1059" s="23" t="inlineStr">
        <is>
          <t>11/25/2024</t>
        </is>
      </c>
      <c r="L1059" s="23" t="inlineStr">
        <is>
          <t>11/25/2024</t>
        </is>
      </c>
      <c r="O1059" t="n">
        <v>38</v>
      </c>
    </row>
    <row r="1060">
      <c r="A1060" t="inlineStr">
        <is>
          <t>AU23444</t>
        </is>
      </c>
      <c r="C1060" t="inlineStr">
        <is>
          <t>NSW-QLD</t>
        </is>
      </c>
      <c r="D1060" t="inlineStr">
        <is>
          <t>Virtus Health</t>
        </is>
      </c>
      <c r="E1060" t="inlineStr">
        <is>
          <t>Carpark Concierge</t>
        </is>
      </c>
      <c r="F1060" t="inlineStr">
        <is>
          <t>11/25/2024</t>
        </is>
      </c>
      <c r="H1060" t="inlineStr">
        <is>
          <t>IVFS2023</t>
        </is>
      </c>
      <c r="I1060" t="inlineStr">
        <is>
          <t>NSW</t>
        </is>
      </c>
      <c r="J1060" t="inlineStr">
        <is>
          <t>Casual</t>
        </is>
      </c>
      <c r="K1060" s="23" t="inlineStr">
        <is>
          <t>11/25/2024</t>
        </is>
      </c>
      <c r="L1060" s="23" t="inlineStr">
        <is>
          <t>11/25/2024</t>
        </is>
      </c>
      <c r="O1060" t="n">
        <v>38</v>
      </c>
    </row>
    <row r="1061">
      <c r="A1061" t="inlineStr">
        <is>
          <t>AU23445</t>
        </is>
      </c>
      <c r="C1061" t="inlineStr">
        <is>
          <t>NSW-QLD</t>
        </is>
      </c>
      <c r="D1061" t="inlineStr">
        <is>
          <t>Virtus Health</t>
        </is>
      </c>
      <c r="E1061" t="inlineStr">
        <is>
          <t>Customer Call Operator</t>
        </is>
      </c>
      <c r="F1061" t="inlineStr">
        <is>
          <t>11/21/2024</t>
        </is>
      </c>
      <c r="H1061" t="inlineStr">
        <is>
          <t>IVFS2023</t>
        </is>
      </c>
      <c r="I1061" t="inlineStr">
        <is>
          <t>NSW</t>
        </is>
      </c>
      <c r="J1061" t="inlineStr">
        <is>
          <t>Casual</t>
        </is>
      </c>
      <c r="K1061" s="23" t="inlineStr">
        <is>
          <t>11/21/2024</t>
        </is>
      </c>
      <c r="L1061" s="23" t="inlineStr">
        <is>
          <t>11/21/2024</t>
        </is>
      </c>
      <c r="O1061" t="n">
        <v>30</v>
      </c>
    </row>
    <row r="1062">
      <c r="A1062" t="inlineStr">
        <is>
          <t>AU23448</t>
        </is>
      </c>
      <c r="B1062" s="1" t="n"/>
      <c r="C1062" t="inlineStr">
        <is>
          <t>NSW-QLD</t>
        </is>
      </c>
      <c r="D1062" t="inlineStr">
        <is>
          <t>Virtus Health</t>
        </is>
      </c>
      <c r="E1062" t="inlineStr">
        <is>
          <t>Enrolled Nurse</t>
        </is>
      </c>
      <c r="F1062" s="1" t="n">
        <v>45334</v>
      </c>
      <c r="H1062" t="inlineStr">
        <is>
          <t>QN2025</t>
        </is>
      </c>
      <c r="I1062" t="inlineStr">
        <is>
          <t>QLD</t>
        </is>
      </c>
      <c r="J1062" t="inlineStr">
        <is>
          <t>Casual</t>
        </is>
      </c>
      <c r="K1062" s="23" t="n">
        <v>45334</v>
      </c>
      <c r="L1062" s="23" t="n">
        <v>45334</v>
      </c>
      <c r="O1062" t="n">
        <v>28.5</v>
      </c>
    </row>
    <row r="1063">
      <c r="A1063" t="inlineStr">
        <is>
          <t>AU23449</t>
        </is>
      </c>
      <c r="B1063" s="1" t="n"/>
      <c r="C1063" t="inlineStr">
        <is>
          <t>NSW-QLD</t>
        </is>
      </c>
      <c r="D1063" t="inlineStr">
        <is>
          <t>Virtus Health</t>
        </is>
      </c>
      <c r="E1063" t="inlineStr">
        <is>
          <t>Administration Clerk</t>
        </is>
      </c>
      <c r="F1063" s="1" t="n">
        <v>45393</v>
      </c>
      <c r="H1063" t="inlineStr">
        <is>
          <t>IVFS2023</t>
        </is>
      </c>
      <c r="I1063" t="inlineStr">
        <is>
          <t>NSW</t>
        </is>
      </c>
      <c r="J1063" t="inlineStr">
        <is>
          <t>Casual</t>
        </is>
      </c>
      <c r="K1063" s="23" t="n">
        <v>45393</v>
      </c>
      <c r="L1063" s="23" t="n">
        <v>45393</v>
      </c>
      <c r="O1063" t="n">
        <v>23.5</v>
      </c>
    </row>
    <row r="1064">
      <c r="A1064" t="inlineStr">
        <is>
          <t>AU23452</t>
        </is>
      </c>
      <c r="C1064" t="inlineStr">
        <is>
          <t>NSW-QLD</t>
        </is>
      </c>
      <c r="D1064" t="inlineStr">
        <is>
          <t>Virtus Health</t>
        </is>
      </c>
      <c r="E1064" t="inlineStr">
        <is>
          <t>Carpark Concierge</t>
        </is>
      </c>
      <c r="F1064" t="inlineStr">
        <is>
          <t>11/25/2024</t>
        </is>
      </c>
      <c r="H1064" t="inlineStr">
        <is>
          <t>IVFS2023</t>
        </is>
      </c>
      <c r="I1064" t="inlineStr">
        <is>
          <t>NSW</t>
        </is>
      </c>
      <c r="J1064" t="inlineStr">
        <is>
          <t>Casual</t>
        </is>
      </c>
      <c r="K1064" s="23" t="inlineStr">
        <is>
          <t>11/25/2024</t>
        </is>
      </c>
      <c r="L1064" s="23" t="inlineStr">
        <is>
          <t>11/25/2024</t>
        </is>
      </c>
      <c r="O1064" t="n">
        <v>38</v>
      </c>
    </row>
    <row r="1065">
      <c r="A1065" t="inlineStr">
        <is>
          <t>AU23454</t>
        </is>
      </c>
      <c r="B1065" s="1" t="n"/>
      <c r="C1065" t="inlineStr">
        <is>
          <t>NSW-QLD</t>
        </is>
      </c>
      <c r="D1065" t="inlineStr">
        <is>
          <t>Virtus Health</t>
        </is>
      </c>
      <c r="E1065" t="inlineStr">
        <is>
          <t>New Patient Care Consultant</t>
        </is>
      </c>
      <c r="F1065" s="1" t="n">
        <v>45577</v>
      </c>
      <c r="H1065" t="inlineStr">
        <is>
          <t>IVFS2023</t>
        </is>
      </c>
      <c r="I1065" t="inlineStr">
        <is>
          <t>QLD</t>
        </is>
      </c>
      <c r="J1065" t="inlineStr">
        <is>
          <t>Part Time</t>
        </is>
      </c>
      <c r="K1065" s="23" t="n">
        <v>45577</v>
      </c>
      <c r="L1065" s="23" t="n">
        <v>45577</v>
      </c>
      <c r="O1065" t="n">
        <v>38</v>
      </c>
    </row>
    <row r="1066">
      <c r="A1066" t="inlineStr">
        <is>
          <t>AU23455</t>
        </is>
      </c>
      <c r="C1066" t="inlineStr">
        <is>
          <t>NSW-QLD</t>
        </is>
      </c>
      <c r="D1066" t="inlineStr">
        <is>
          <t>Virtus Health</t>
        </is>
      </c>
      <c r="E1066" t="inlineStr">
        <is>
          <t>Head of Donor Program</t>
        </is>
      </c>
      <c r="F1066" t="inlineStr">
        <is>
          <t>1/20/2025</t>
        </is>
      </c>
      <c r="H1066" t="inlineStr">
        <is>
          <t>VIC</t>
        </is>
      </c>
      <c r="I1066" t="inlineStr">
        <is>
          <t>VIC</t>
        </is>
      </c>
      <c r="J1066" t="inlineStr">
        <is>
          <t>Full Time</t>
        </is>
      </c>
      <c r="K1066" s="23" t="inlineStr">
        <is>
          <t>1/20/2025</t>
        </is>
      </c>
      <c r="L1066" s="23" t="inlineStr">
        <is>
          <t>1/20/2025</t>
        </is>
      </c>
      <c r="O1066" t="n">
        <v>38</v>
      </c>
    </row>
    <row r="1067">
      <c r="A1067" t="inlineStr">
        <is>
          <t>AU23456</t>
        </is>
      </c>
      <c r="B1067" s="1" t="n"/>
      <c r="C1067" t="inlineStr">
        <is>
          <t>VIC-TAS</t>
        </is>
      </c>
      <c r="D1067" t="inlineStr">
        <is>
          <t>Virtus Health</t>
        </is>
      </c>
      <c r="E1067" t="inlineStr">
        <is>
          <t>New Patient Care Consultant</t>
        </is>
      </c>
      <c r="F1067" s="1" t="n">
        <v>45547</v>
      </c>
      <c r="H1067" t="inlineStr">
        <is>
          <t>MIVFS2022</t>
        </is>
      </c>
      <c r="I1067" t="inlineStr">
        <is>
          <t>VIC</t>
        </is>
      </c>
      <c r="J1067" t="inlineStr">
        <is>
          <t>Part Time</t>
        </is>
      </c>
      <c r="K1067" s="23" t="n">
        <v>45547</v>
      </c>
      <c r="L1067" s="23" t="n">
        <v>45547</v>
      </c>
      <c r="O1067" t="n">
        <v>22.8</v>
      </c>
    </row>
    <row r="1068">
      <c r="A1068" t="inlineStr">
        <is>
          <t>AU23457</t>
        </is>
      </c>
      <c r="C1068" t="inlineStr">
        <is>
          <t>VIC-TAS</t>
        </is>
      </c>
      <c r="D1068" t="inlineStr">
        <is>
          <t>Virtus Health</t>
        </is>
      </c>
      <c r="E1068" t="inlineStr">
        <is>
          <t>Embryologist/Andrologist</t>
        </is>
      </c>
      <c r="F1068" t="inlineStr">
        <is>
          <t>11/25/2024</t>
        </is>
      </c>
      <c r="H1068" t="inlineStr">
        <is>
          <t>TIVF2024</t>
        </is>
      </c>
      <c r="I1068" t="inlineStr">
        <is>
          <t>TAS</t>
        </is>
      </c>
      <c r="J1068" t="inlineStr">
        <is>
          <t>Full Time</t>
        </is>
      </c>
      <c r="K1068" s="23" t="inlineStr">
        <is>
          <t>11/25/2024</t>
        </is>
      </c>
      <c r="L1068" s="23" t="inlineStr">
        <is>
          <t>11/25/2024</t>
        </is>
      </c>
      <c r="O1068" t="n">
        <v>37.5</v>
      </c>
    </row>
    <row r="1069">
      <c r="A1069" t="inlineStr">
        <is>
          <t>AU23458</t>
        </is>
      </c>
      <c r="B1069" s="1" t="n"/>
      <c r="C1069" t="inlineStr">
        <is>
          <t>NSW-QLD</t>
        </is>
      </c>
      <c r="D1069" t="inlineStr">
        <is>
          <t>Virtus Health</t>
        </is>
      </c>
      <c r="E1069" t="inlineStr">
        <is>
          <t>Pathologist - Microbiology</t>
        </is>
      </c>
      <c r="F1069" s="1" t="n">
        <v>45394</v>
      </c>
      <c r="H1069" t="inlineStr">
        <is>
          <t>VIC</t>
        </is>
      </c>
      <c r="I1069" t="inlineStr">
        <is>
          <t>VIC</t>
        </is>
      </c>
      <c r="J1069" t="inlineStr">
        <is>
          <t>Casual</t>
        </is>
      </c>
      <c r="K1069" s="23" t="n">
        <v>45394</v>
      </c>
      <c r="L1069" s="23" t="n">
        <v>45394</v>
      </c>
      <c r="O1069" t="n">
        <v>19</v>
      </c>
    </row>
    <row r="1070">
      <c r="A1070" t="inlineStr">
        <is>
          <t>AU23459</t>
        </is>
      </c>
      <c r="B1070" s="1" t="n"/>
      <c r="C1070" t="inlineStr">
        <is>
          <t>NSW-QLD</t>
        </is>
      </c>
      <c r="D1070" t="inlineStr">
        <is>
          <t>Virtus Health</t>
        </is>
      </c>
      <c r="E1070" t="inlineStr">
        <is>
          <t>Registered Nurse</t>
        </is>
      </c>
      <c r="F1070" s="1" t="n">
        <v>45334</v>
      </c>
      <c r="H1070" t="inlineStr">
        <is>
          <t>IVFN2021</t>
        </is>
      </c>
      <c r="I1070" t="inlineStr">
        <is>
          <t>NSW</t>
        </is>
      </c>
      <c r="J1070" t="inlineStr">
        <is>
          <t>Casual</t>
        </is>
      </c>
      <c r="K1070" s="23" t="n">
        <v>45334</v>
      </c>
      <c r="L1070" s="23" t="n">
        <v>45334</v>
      </c>
      <c r="O1070" t="n">
        <v>38</v>
      </c>
    </row>
    <row r="1071">
      <c r="A1071" t="inlineStr">
        <is>
          <t>AU23461</t>
        </is>
      </c>
      <c r="B1071" s="1" t="n"/>
      <c r="C1071" t="inlineStr">
        <is>
          <t>VIC-TAS</t>
        </is>
      </c>
      <c r="D1071" t="inlineStr">
        <is>
          <t>Virtus Health</t>
        </is>
      </c>
      <c r="E1071" t="inlineStr">
        <is>
          <t>Assistant in Nursing</t>
        </is>
      </c>
      <c r="F1071" s="1" t="n">
        <v>45547</v>
      </c>
      <c r="H1071" t="inlineStr">
        <is>
          <t>VIC</t>
        </is>
      </c>
      <c r="I1071" t="inlineStr">
        <is>
          <t>VIC</t>
        </is>
      </c>
      <c r="J1071" t="inlineStr">
        <is>
          <t>Casual</t>
        </is>
      </c>
      <c r="K1071" s="23" t="n">
        <v>45547</v>
      </c>
      <c r="L1071" s="23" t="n">
        <v>45547</v>
      </c>
      <c r="O1071" t="n">
        <v>38</v>
      </c>
    </row>
    <row r="1072">
      <c r="A1072" t="inlineStr">
        <is>
          <t>AU23462</t>
        </is>
      </c>
      <c r="C1072" t="inlineStr">
        <is>
          <t>VIC-TAS</t>
        </is>
      </c>
      <c r="D1072" t="inlineStr">
        <is>
          <t>Virtus Health</t>
        </is>
      </c>
      <c r="E1072" t="inlineStr">
        <is>
          <t>Registered Nurse</t>
        </is>
      </c>
      <c r="F1072" t="inlineStr">
        <is>
          <t>12/16/2024</t>
        </is>
      </c>
      <c r="H1072" t="inlineStr">
        <is>
          <t>MIVFN2023</t>
        </is>
      </c>
      <c r="I1072" t="inlineStr">
        <is>
          <t>VIC</t>
        </is>
      </c>
      <c r="J1072" t="inlineStr">
        <is>
          <t>Casual</t>
        </is>
      </c>
      <c r="K1072" s="23" t="inlineStr">
        <is>
          <t>12/16/2024</t>
        </is>
      </c>
      <c r="L1072" s="23" t="inlineStr">
        <is>
          <t>12/16/2024</t>
        </is>
      </c>
      <c r="O1072" t="n">
        <v>38</v>
      </c>
    </row>
    <row r="1073">
      <c r="A1073" t="inlineStr">
        <is>
          <t>AU23463</t>
        </is>
      </c>
      <c r="B1073" s="1" t="n"/>
      <c r="C1073" t="inlineStr">
        <is>
          <t>VIC-TAS</t>
        </is>
      </c>
      <c r="D1073" t="inlineStr">
        <is>
          <t>Virtus Health</t>
        </is>
      </c>
      <c r="E1073" t="inlineStr">
        <is>
          <t>Theatre Technician</t>
        </is>
      </c>
      <c r="F1073" s="1" t="n">
        <v>45394</v>
      </c>
      <c r="H1073" t="inlineStr">
        <is>
          <t>MIVFS2022</t>
        </is>
      </c>
      <c r="I1073" t="inlineStr">
        <is>
          <t>VIC</t>
        </is>
      </c>
      <c r="J1073" t="inlineStr">
        <is>
          <t>Casual</t>
        </is>
      </c>
      <c r="K1073" s="23" t="n">
        <v>45394</v>
      </c>
      <c r="L1073" s="23" t="n">
        <v>45394</v>
      </c>
      <c r="O1073" t="n">
        <v>38</v>
      </c>
    </row>
    <row r="1074">
      <c r="A1074" t="inlineStr">
        <is>
          <t>AU23465</t>
        </is>
      </c>
      <c r="B1074" s="1" t="n"/>
      <c r="C1074" t="inlineStr">
        <is>
          <t>NSW-QLD</t>
        </is>
      </c>
      <c r="D1074" t="inlineStr">
        <is>
          <t>Virtus Health</t>
        </is>
      </c>
      <c r="E1074" t="inlineStr">
        <is>
          <t>Payroll Business Partner</t>
        </is>
      </c>
      <c r="F1074" s="1" t="n">
        <v>45809</v>
      </c>
      <c r="H1074" t="inlineStr">
        <is>
          <t>NSW</t>
        </is>
      </c>
      <c r="I1074" t="inlineStr">
        <is>
          <t>NSW</t>
        </is>
      </c>
      <c r="J1074" t="inlineStr">
        <is>
          <t>Casual</t>
        </is>
      </c>
      <c r="K1074" s="23" t="n">
        <v>45809</v>
      </c>
      <c r="L1074" s="23" t="n">
        <v>45809</v>
      </c>
      <c r="O1074" t="n">
        <v>7.6</v>
      </c>
    </row>
    <row r="1075">
      <c r="A1075" t="inlineStr">
        <is>
          <t>AU23468</t>
        </is>
      </c>
      <c r="C1075" t="inlineStr">
        <is>
          <t>NSW-QLD</t>
        </is>
      </c>
      <c r="D1075" t="inlineStr">
        <is>
          <t>Virtus Health</t>
        </is>
      </c>
      <c r="E1075" t="inlineStr">
        <is>
          <t>Theatre Orderly</t>
        </is>
      </c>
      <c r="F1075" t="inlineStr">
        <is>
          <t>2/19/2025</t>
        </is>
      </c>
      <c r="H1075" t="inlineStr">
        <is>
          <t>IVFS2023</t>
        </is>
      </c>
      <c r="I1075" t="inlineStr">
        <is>
          <t>QLD</t>
        </is>
      </c>
      <c r="J1075" t="inlineStr">
        <is>
          <t>Casual</t>
        </is>
      </c>
      <c r="K1075" s="23" t="inlineStr">
        <is>
          <t>2/19/2025</t>
        </is>
      </c>
      <c r="L1075" s="23" t="inlineStr">
        <is>
          <t>2/19/2025</t>
        </is>
      </c>
      <c r="O1075" t="n">
        <v>38</v>
      </c>
    </row>
    <row r="1076">
      <c r="A1076" t="inlineStr">
        <is>
          <t>AU23471</t>
        </is>
      </c>
      <c r="B1076" s="1" t="n"/>
      <c r="C1076" t="inlineStr">
        <is>
          <t>NSW-QLD</t>
        </is>
      </c>
      <c r="D1076" t="inlineStr">
        <is>
          <t>Virtus Health</t>
        </is>
      </c>
      <c r="E1076" t="inlineStr">
        <is>
          <t>Registered Nurse</t>
        </is>
      </c>
      <c r="F1076" s="1" t="n">
        <v>45809</v>
      </c>
      <c r="H1076" t="inlineStr">
        <is>
          <t>QN2025</t>
        </is>
      </c>
      <c r="I1076" t="inlineStr">
        <is>
          <t>QLD</t>
        </is>
      </c>
      <c r="J1076" t="inlineStr">
        <is>
          <t>Casual</t>
        </is>
      </c>
      <c r="K1076" s="23" t="n">
        <v>45809</v>
      </c>
      <c r="L1076" s="23" t="n">
        <v>45809</v>
      </c>
      <c r="O1076" t="n">
        <v>38</v>
      </c>
    </row>
    <row r="1077">
      <c r="A1077" t="inlineStr">
        <is>
          <t>AU23474</t>
        </is>
      </c>
      <c r="C1077" t="inlineStr">
        <is>
          <t>NSW-QLD</t>
        </is>
      </c>
      <c r="D1077" t="inlineStr">
        <is>
          <t>Virtus Health</t>
        </is>
      </c>
      <c r="E1077" t="inlineStr">
        <is>
          <t>Registered Nurse</t>
        </is>
      </c>
      <c r="F1077" t="inlineStr">
        <is>
          <t>1/13/2025</t>
        </is>
      </c>
      <c r="H1077" t="inlineStr">
        <is>
          <t>QN2025</t>
        </is>
      </c>
      <c r="I1077" t="inlineStr">
        <is>
          <t>QLD</t>
        </is>
      </c>
      <c r="J1077" t="inlineStr">
        <is>
          <t>Part Time</t>
        </is>
      </c>
      <c r="K1077" s="23" t="inlineStr">
        <is>
          <t>1/13/2025</t>
        </is>
      </c>
      <c r="L1077" s="23" t="inlineStr">
        <is>
          <t>1/13/2025</t>
        </is>
      </c>
      <c r="O1077" t="n">
        <v>38</v>
      </c>
    </row>
    <row r="1078">
      <c r="A1078" t="inlineStr">
        <is>
          <t>AU23475</t>
        </is>
      </c>
      <c r="C1078" t="inlineStr">
        <is>
          <t>VIC-TAS</t>
        </is>
      </c>
      <c r="D1078" t="inlineStr">
        <is>
          <t>Virtus Health</t>
        </is>
      </c>
      <c r="E1078" t="inlineStr">
        <is>
          <t>Theatre Orderly</t>
        </is>
      </c>
      <c r="F1078" t="inlineStr">
        <is>
          <t>1/14/2025</t>
        </is>
      </c>
      <c r="H1078" t="inlineStr">
        <is>
          <t>TIVF2024</t>
        </is>
      </c>
      <c r="I1078" t="inlineStr">
        <is>
          <t>TAS</t>
        </is>
      </c>
      <c r="J1078" t="inlineStr">
        <is>
          <t>Casual</t>
        </is>
      </c>
      <c r="K1078" s="23" t="inlineStr">
        <is>
          <t>1/14/2025</t>
        </is>
      </c>
      <c r="L1078" s="23" t="inlineStr">
        <is>
          <t>1/14/2025</t>
        </is>
      </c>
      <c r="O1078" t="n">
        <v>38</v>
      </c>
    </row>
    <row r="1079">
      <c r="A1079" t="inlineStr">
        <is>
          <t>AU23477</t>
        </is>
      </c>
      <c r="C1079" t="inlineStr">
        <is>
          <t>NSW-QLD</t>
        </is>
      </c>
      <c r="D1079" t="inlineStr">
        <is>
          <t>Virtus Health</t>
        </is>
      </c>
      <c r="E1079" t="inlineStr">
        <is>
          <t>Laboratory Administration Assistant</t>
        </is>
      </c>
      <c r="F1079" t="inlineStr">
        <is>
          <t>1/13/2025</t>
        </is>
      </c>
      <c r="H1079" t="inlineStr">
        <is>
          <t>IVFS2023</t>
        </is>
      </c>
      <c r="I1079" t="inlineStr">
        <is>
          <t>QLD</t>
        </is>
      </c>
      <c r="J1079" t="inlineStr">
        <is>
          <t>Casual</t>
        </is>
      </c>
      <c r="K1079" s="23" t="inlineStr">
        <is>
          <t>1/13/2025</t>
        </is>
      </c>
      <c r="L1079" s="23" t="inlineStr">
        <is>
          <t>1/13/2025</t>
        </is>
      </c>
      <c r="O1079" t="n">
        <v>15</v>
      </c>
    </row>
    <row r="1080">
      <c r="A1080" t="inlineStr">
        <is>
          <t>AU23478</t>
        </is>
      </c>
      <c r="C1080" t="inlineStr">
        <is>
          <t>NSW-QLD</t>
        </is>
      </c>
      <c r="D1080" t="inlineStr">
        <is>
          <t>Virtus Health</t>
        </is>
      </c>
      <c r="E1080" t="inlineStr">
        <is>
          <t>Managing Director IVF Australia</t>
        </is>
      </c>
      <c r="F1080" t="inlineStr">
        <is>
          <t>1/13/2025</t>
        </is>
      </c>
      <c r="H1080" t="inlineStr">
        <is>
          <t>NSW</t>
        </is>
      </c>
      <c r="I1080" t="inlineStr">
        <is>
          <t>NSW</t>
        </is>
      </c>
      <c r="J1080" t="inlineStr">
        <is>
          <t>Full Time</t>
        </is>
      </c>
      <c r="K1080" s="23" t="inlineStr">
        <is>
          <t>1/13/2025</t>
        </is>
      </c>
      <c r="L1080" s="23" t="inlineStr">
        <is>
          <t>1/13/2025</t>
        </is>
      </c>
      <c r="O1080" t="n">
        <v>38</v>
      </c>
    </row>
    <row r="1081">
      <c r="A1081" t="inlineStr">
        <is>
          <t>AU23479</t>
        </is>
      </c>
      <c r="C1081" t="inlineStr">
        <is>
          <t>NSW-QLD</t>
        </is>
      </c>
      <c r="D1081" t="inlineStr">
        <is>
          <t>Virtus Health</t>
        </is>
      </c>
      <c r="E1081" t="inlineStr">
        <is>
          <t>Brisbane Clinic Manager</t>
        </is>
      </c>
      <c r="F1081" t="inlineStr">
        <is>
          <t>1/27/2025</t>
        </is>
      </c>
      <c r="H1081" t="inlineStr">
        <is>
          <t>IVFS2023</t>
        </is>
      </c>
      <c r="I1081" t="inlineStr">
        <is>
          <t>QLD</t>
        </is>
      </c>
      <c r="J1081" t="inlineStr">
        <is>
          <t>Full Time</t>
        </is>
      </c>
      <c r="K1081" s="23" t="inlineStr">
        <is>
          <t>1/27/2025</t>
        </is>
      </c>
      <c r="L1081" s="23" t="inlineStr">
        <is>
          <t>1/27/2025</t>
        </is>
      </c>
      <c r="O1081" t="n">
        <v>38</v>
      </c>
    </row>
    <row r="1082">
      <c r="A1082" t="inlineStr">
        <is>
          <t>AU23481</t>
        </is>
      </c>
      <c r="B1082" s="1" t="n"/>
      <c r="C1082" t="inlineStr">
        <is>
          <t>VIC-TAS</t>
        </is>
      </c>
      <c r="D1082" t="inlineStr">
        <is>
          <t>Virtus Health</t>
        </is>
      </c>
      <c r="E1082" t="inlineStr">
        <is>
          <t>Counsellor</t>
        </is>
      </c>
      <c r="F1082" s="1" t="n">
        <v>45932</v>
      </c>
      <c r="H1082" t="inlineStr">
        <is>
          <t>MIVFC2021</t>
        </is>
      </c>
      <c r="I1082" t="inlineStr">
        <is>
          <t>VIC</t>
        </is>
      </c>
      <c r="J1082" t="inlineStr">
        <is>
          <t>Part Time</t>
        </is>
      </c>
      <c r="K1082" s="23" t="n">
        <v>45932</v>
      </c>
      <c r="L1082" s="23" t="n">
        <v>45932</v>
      </c>
      <c r="O1082" t="n">
        <v>22.8</v>
      </c>
    </row>
    <row r="1083">
      <c r="A1083" t="inlineStr">
        <is>
          <t>AU23482</t>
        </is>
      </c>
      <c r="C1083" t="inlineStr">
        <is>
          <t>NSW-QLD</t>
        </is>
      </c>
      <c r="D1083" t="inlineStr">
        <is>
          <t>Virtus Health</t>
        </is>
      </c>
      <c r="E1083" t="inlineStr">
        <is>
          <t>Medical Receptionist</t>
        </is>
      </c>
      <c r="F1083" t="inlineStr">
        <is>
          <t>1/13/2025</t>
        </is>
      </c>
      <c r="H1083" t="inlineStr">
        <is>
          <t>IVFS2023</t>
        </is>
      </c>
      <c r="I1083" t="inlineStr">
        <is>
          <t>QLD</t>
        </is>
      </c>
      <c r="J1083" t="inlineStr">
        <is>
          <t>Part Time</t>
        </is>
      </c>
      <c r="K1083" s="23" t="inlineStr">
        <is>
          <t>1/13/2025</t>
        </is>
      </c>
      <c r="L1083" s="23" t="inlineStr">
        <is>
          <t>1/13/2025</t>
        </is>
      </c>
      <c r="O1083" t="n">
        <v>38</v>
      </c>
    </row>
    <row r="1084">
      <c r="A1084" t="inlineStr">
        <is>
          <t>AU23484</t>
        </is>
      </c>
      <c r="C1084" t="inlineStr">
        <is>
          <t>NSW-QLD</t>
        </is>
      </c>
      <c r="D1084" t="inlineStr">
        <is>
          <t>Virtus Health</t>
        </is>
      </c>
      <c r="E1084" t="inlineStr">
        <is>
          <t>Senior Administration Assistant</t>
        </is>
      </c>
      <c r="F1084" t="inlineStr">
        <is>
          <t>1/28/2025</t>
        </is>
      </c>
      <c r="H1084" t="inlineStr">
        <is>
          <t>IVFS2023</t>
        </is>
      </c>
      <c r="I1084" t="inlineStr">
        <is>
          <t>QLD</t>
        </is>
      </c>
      <c r="J1084" t="inlineStr">
        <is>
          <t>Full Time</t>
        </is>
      </c>
      <c r="K1084" s="23" t="inlineStr">
        <is>
          <t>1/28/2025</t>
        </is>
      </c>
      <c r="L1084" s="23" t="inlineStr">
        <is>
          <t>1/28/2025</t>
        </is>
      </c>
      <c r="O1084" t="n">
        <v>30.4</v>
      </c>
    </row>
    <row r="1085">
      <c r="A1085" t="inlineStr">
        <is>
          <t>AU23485</t>
        </is>
      </c>
      <c r="C1085" t="inlineStr">
        <is>
          <t>NSW-QLD</t>
        </is>
      </c>
      <c r="D1085" t="inlineStr">
        <is>
          <t>Virtus Health</t>
        </is>
      </c>
      <c r="E1085" t="inlineStr">
        <is>
          <t>Administration</t>
        </is>
      </c>
      <c r="F1085" t="inlineStr">
        <is>
          <t>1/28/2025</t>
        </is>
      </c>
      <c r="H1085" t="inlineStr">
        <is>
          <t>IVFS2023</t>
        </is>
      </c>
      <c r="I1085" t="inlineStr">
        <is>
          <t>QLD</t>
        </is>
      </c>
      <c r="J1085" t="inlineStr">
        <is>
          <t>Casual</t>
        </is>
      </c>
      <c r="K1085" s="23" t="inlineStr">
        <is>
          <t>1/28/2025</t>
        </is>
      </c>
      <c r="L1085" s="23" t="inlineStr">
        <is>
          <t>1/28/2025</t>
        </is>
      </c>
      <c r="O1085" t="n">
        <v>38</v>
      </c>
    </row>
    <row r="1086">
      <c r="A1086" t="inlineStr">
        <is>
          <t>AU23486</t>
        </is>
      </c>
      <c r="C1086" t="inlineStr">
        <is>
          <t>NSW-QLD</t>
        </is>
      </c>
      <c r="D1086" t="inlineStr">
        <is>
          <t>Virtus Health</t>
        </is>
      </c>
      <c r="E1086" t="inlineStr">
        <is>
          <t xml:space="preserve">Senior Medical Administrator </t>
        </is>
      </c>
      <c r="F1086" t="inlineStr">
        <is>
          <t>1/28/2025</t>
        </is>
      </c>
      <c r="H1086" t="inlineStr">
        <is>
          <t>IVFS2023</t>
        </is>
      </c>
      <c r="I1086" t="inlineStr">
        <is>
          <t>QLD</t>
        </is>
      </c>
      <c r="J1086" t="inlineStr">
        <is>
          <t>Part Time</t>
        </is>
      </c>
      <c r="K1086" s="23" t="inlineStr">
        <is>
          <t>1/28/2025</t>
        </is>
      </c>
      <c r="L1086" s="23" t="inlineStr">
        <is>
          <t>1/28/2025</t>
        </is>
      </c>
      <c r="O1086" t="n">
        <v>34.825</v>
      </c>
    </row>
    <row r="1087">
      <c r="A1087" t="inlineStr">
        <is>
          <t>AU23488</t>
        </is>
      </c>
      <c r="C1087" t="inlineStr">
        <is>
          <t>NSW-QLD</t>
        </is>
      </c>
      <c r="D1087" t="inlineStr">
        <is>
          <t>Virtus Health</t>
        </is>
      </c>
      <c r="E1087" t="inlineStr">
        <is>
          <t>Technology Operations Engineer</t>
        </is>
      </c>
      <c r="F1087" t="inlineStr">
        <is>
          <t>1/28/2025</t>
        </is>
      </c>
      <c r="H1087" t="inlineStr">
        <is>
          <t>QLD</t>
        </is>
      </c>
      <c r="I1087" t="inlineStr">
        <is>
          <t>QLD</t>
        </is>
      </c>
      <c r="J1087" t="inlineStr">
        <is>
          <t>Full Time</t>
        </is>
      </c>
      <c r="K1087" s="23" t="inlineStr">
        <is>
          <t>1/28/2025</t>
        </is>
      </c>
      <c r="L1087" s="23" t="inlineStr">
        <is>
          <t>1/28/2025</t>
        </is>
      </c>
      <c r="O1087" t="n">
        <v>38</v>
      </c>
    </row>
    <row r="1088">
      <c r="A1088" t="inlineStr">
        <is>
          <t>AU23492</t>
        </is>
      </c>
      <c r="C1088" t="inlineStr">
        <is>
          <t>NSW-QLD</t>
        </is>
      </c>
      <c r="D1088" t="inlineStr">
        <is>
          <t>Virtus Health</t>
        </is>
      </c>
      <c r="E1088" t="inlineStr">
        <is>
          <t>Pathologist - Microbiology</t>
        </is>
      </c>
      <c r="F1088" t="inlineStr">
        <is>
          <t>1/23/2025</t>
        </is>
      </c>
      <c r="H1088" t="inlineStr">
        <is>
          <t>VIC</t>
        </is>
      </c>
      <c r="I1088" t="inlineStr">
        <is>
          <t>VIC</t>
        </is>
      </c>
      <c r="J1088" t="inlineStr">
        <is>
          <t>Full Time</t>
        </is>
      </c>
      <c r="K1088" s="23" t="inlineStr">
        <is>
          <t>1/23/2025</t>
        </is>
      </c>
      <c r="L1088" s="23" t="inlineStr">
        <is>
          <t>1/23/2025</t>
        </is>
      </c>
      <c r="O1088" t="n">
        <v>10</v>
      </c>
    </row>
    <row r="1089">
      <c r="A1089" t="inlineStr">
        <is>
          <t>AU23493</t>
        </is>
      </c>
      <c r="C1089" t="inlineStr">
        <is>
          <t>NSW-QLD</t>
        </is>
      </c>
      <c r="D1089" t="inlineStr">
        <is>
          <t>Virtus Health</t>
        </is>
      </c>
      <c r="E1089" t="inlineStr">
        <is>
          <t>Registered Nurse</t>
        </is>
      </c>
      <c r="F1089" t="inlineStr">
        <is>
          <t>1/13/2025</t>
        </is>
      </c>
      <c r="H1089" t="inlineStr">
        <is>
          <t>QN2025</t>
        </is>
      </c>
      <c r="I1089" t="inlineStr">
        <is>
          <t>QLD</t>
        </is>
      </c>
      <c r="J1089" t="inlineStr">
        <is>
          <t>Casual</t>
        </is>
      </c>
      <c r="K1089" s="23" t="inlineStr">
        <is>
          <t>1/13/2025</t>
        </is>
      </c>
      <c r="L1089" s="23" t="inlineStr">
        <is>
          <t>1/13/2025</t>
        </is>
      </c>
      <c r="O1089" t="n">
        <v>30.4</v>
      </c>
    </row>
    <row r="1090">
      <c r="A1090" t="inlineStr">
        <is>
          <t>AU23494</t>
        </is>
      </c>
      <c r="C1090" t="inlineStr">
        <is>
          <t>NSW-QLD</t>
        </is>
      </c>
      <c r="D1090" t="inlineStr">
        <is>
          <t>Virtus Health</t>
        </is>
      </c>
      <c r="E1090" t="inlineStr">
        <is>
          <t>CSSD Tech</t>
        </is>
      </c>
      <c r="F1090" t="inlineStr">
        <is>
          <t>1/13/2025</t>
        </is>
      </c>
      <c r="H1090" t="inlineStr">
        <is>
          <t>IVFS2023</t>
        </is>
      </c>
      <c r="I1090" t="inlineStr">
        <is>
          <t>NSW</t>
        </is>
      </c>
      <c r="J1090" t="inlineStr">
        <is>
          <t>Casual</t>
        </is>
      </c>
      <c r="K1090" s="23" t="inlineStr">
        <is>
          <t>1/13/2025</t>
        </is>
      </c>
      <c r="L1090" s="23" t="inlineStr">
        <is>
          <t>1/13/2025</t>
        </is>
      </c>
      <c r="O1090" t="n">
        <v>7</v>
      </c>
    </row>
    <row r="1091">
      <c r="A1091" t="inlineStr">
        <is>
          <t>AU23496</t>
        </is>
      </c>
      <c r="C1091" t="inlineStr">
        <is>
          <t>NSW-QLD</t>
        </is>
      </c>
      <c r="D1091" t="inlineStr">
        <is>
          <t>Virtus Health</t>
        </is>
      </c>
      <c r="E1091" t="inlineStr">
        <is>
          <t>Registered Nurse</t>
        </is>
      </c>
      <c r="F1091" t="inlineStr">
        <is>
          <t>1/28/2025</t>
        </is>
      </c>
      <c r="H1091" t="inlineStr">
        <is>
          <t>IVFN2021</t>
        </is>
      </c>
      <c r="I1091" t="inlineStr">
        <is>
          <t>NSW</t>
        </is>
      </c>
      <c r="J1091" t="inlineStr">
        <is>
          <t>Part Time</t>
        </is>
      </c>
      <c r="K1091" s="23" t="inlineStr">
        <is>
          <t>1/28/2025</t>
        </is>
      </c>
      <c r="L1091" s="23" t="inlineStr">
        <is>
          <t>1/28/2025</t>
        </is>
      </c>
      <c r="O1091" t="n">
        <v>27.75</v>
      </c>
    </row>
    <row r="1092">
      <c r="A1092" t="inlineStr">
        <is>
          <t>AU23497</t>
        </is>
      </c>
      <c r="B1092" s="1" t="n"/>
      <c r="C1092" t="inlineStr">
        <is>
          <t>NSW-QLD</t>
        </is>
      </c>
      <c r="D1092" t="inlineStr">
        <is>
          <t>Virtus Health</t>
        </is>
      </c>
      <c r="E1092" t="inlineStr">
        <is>
          <t>Administration</t>
        </is>
      </c>
      <c r="F1092" s="1" t="n">
        <v>45718</v>
      </c>
      <c r="H1092" t="inlineStr">
        <is>
          <t>IVFS2023</t>
        </is>
      </c>
      <c r="I1092" t="inlineStr">
        <is>
          <t>QLD</t>
        </is>
      </c>
      <c r="J1092" t="inlineStr">
        <is>
          <t>Casual</t>
        </is>
      </c>
      <c r="K1092" s="23" t="n">
        <v>45718</v>
      </c>
      <c r="L1092" s="23" t="n">
        <v>45718</v>
      </c>
      <c r="O1092" t="n">
        <v>8</v>
      </c>
    </row>
    <row r="1093">
      <c r="A1093" t="inlineStr">
        <is>
          <t>AU23498</t>
        </is>
      </c>
      <c r="C1093" t="inlineStr">
        <is>
          <t>NSW-QLD</t>
        </is>
      </c>
      <c r="D1093" t="inlineStr">
        <is>
          <t>Virtus Health</t>
        </is>
      </c>
      <c r="E1093" t="inlineStr">
        <is>
          <t>Laboratory Assistant</t>
        </is>
      </c>
      <c r="F1093" t="inlineStr">
        <is>
          <t>1/27/2025</t>
        </is>
      </c>
      <c r="H1093" t="inlineStr">
        <is>
          <t>QS2024</t>
        </is>
      </c>
      <c r="I1093" t="inlineStr">
        <is>
          <t>QLD</t>
        </is>
      </c>
      <c r="J1093" t="inlineStr">
        <is>
          <t>Part Time</t>
        </is>
      </c>
      <c r="K1093" s="23" t="inlineStr">
        <is>
          <t>1/27/2025</t>
        </is>
      </c>
      <c r="L1093" s="23" t="inlineStr">
        <is>
          <t>1/27/2025</t>
        </is>
      </c>
      <c r="O1093" t="n">
        <v>16</v>
      </c>
    </row>
    <row r="1094">
      <c r="A1094" t="inlineStr">
        <is>
          <t>AU23501</t>
        </is>
      </c>
      <c r="C1094" t="inlineStr">
        <is>
          <t>NSW-QLD</t>
        </is>
      </c>
      <c r="D1094" t="inlineStr">
        <is>
          <t>Virtus Health</t>
        </is>
      </c>
      <c r="E1094" t="inlineStr">
        <is>
          <t>Medical Secretary</t>
        </is>
      </c>
      <c r="F1094" t="inlineStr">
        <is>
          <t>1/28/2025</t>
        </is>
      </c>
      <c r="H1094" t="inlineStr">
        <is>
          <t>IVFS2023</t>
        </is>
      </c>
      <c r="I1094" t="inlineStr">
        <is>
          <t>NSW</t>
        </is>
      </c>
      <c r="J1094" t="inlineStr">
        <is>
          <t>Full Time</t>
        </is>
      </c>
      <c r="K1094" s="23" t="inlineStr">
        <is>
          <t>1/28/2025</t>
        </is>
      </c>
      <c r="L1094" s="23" t="inlineStr">
        <is>
          <t>1/28/2025</t>
        </is>
      </c>
      <c r="O1094" t="n">
        <v>38</v>
      </c>
    </row>
    <row r="1095">
      <c r="A1095" t="inlineStr">
        <is>
          <t>AU23512</t>
        </is>
      </c>
      <c r="C1095" t="inlineStr">
        <is>
          <t>NSW-QLD</t>
        </is>
      </c>
      <c r="D1095" t="inlineStr">
        <is>
          <t>Virtus Health</t>
        </is>
      </c>
      <c r="E1095" t="inlineStr">
        <is>
          <t>Phlebotomist</t>
        </is>
      </c>
      <c r="F1095" t="inlineStr">
        <is>
          <t>2/17/2025</t>
        </is>
      </c>
      <c r="H1095" t="inlineStr">
        <is>
          <t>IVFS2023</t>
        </is>
      </c>
      <c r="I1095" t="inlineStr">
        <is>
          <t>QLD</t>
        </is>
      </c>
      <c r="J1095" t="inlineStr">
        <is>
          <t>Casual</t>
        </is>
      </c>
      <c r="K1095" s="23" t="inlineStr">
        <is>
          <t>2/17/2025</t>
        </is>
      </c>
      <c r="L1095" s="23" t="inlineStr">
        <is>
          <t>2/17/2025</t>
        </is>
      </c>
      <c r="O1095" t="n">
        <v>38</v>
      </c>
    </row>
    <row r="1096">
      <c r="A1096" t="inlineStr">
        <is>
          <t>AU23513</t>
        </is>
      </c>
      <c r="C1096" t="inlineStr">
        <is>
          <t>NSW-QLD</t>
        </is>
      </c>
      <c r="D1096" t="inlineStr">
        <is>
          <t>Virtus Health</t>
        </is>
      </c>
      <c r="E1096" t="inlineStr">
        <is>
          <t>General Manager Day Hospitals</t>
        </is>
      </c>
      <c r="F1096" t="inlineStr">
        <is>
          <t>2/24/2025</t>
        </is>
      </c>
      <c r="H1096" t="inlineStr">
        <is>
          <t>NSW</t>
        </is>
      </c>
      <c r="I1096" t="inlineStr">
        <is>
          <t>NSW</t>
        </is>
      </c>
      <c r="J1096" t="inlineStr">
        <is>
          <t>Full Time</t>
        </is>
      </c>
      <c r="K1096" s="23" t="inlineStr">
        <is>
          <t>2/24/2025</t>
        </is>
      </c>
      <c r="L1096" s="23" t="inlineStr">
        <is>
          <t>2/24/2025</t>
        </is>
      </c>
      <c r="O1096" t="n">
        <v>38</v>
      </c>
    </row>
    <row r="1097">
      <c r="A1097" t="inlineStr">
        <is>
          <t>AU23514</t>
        </is>
      </c>
      <c r="B1097" s="1" t="n"/>
      <c r="C1097" t="inlineStr">
        <is>
          <t>VIC-TAS</t>
        </is>
      </c>
      <c r="D1097" t="inlineStr">
        <is>
          <t>Virtus Health</t>
        </is>
      </c>
      <c r="E1097" t="inlineStr">
        <is>
          <t>Patient Liaison Administrator</t>
        </is>
      </c>
      <c r="F1097" s="1" t="n">
        <v>45932</v>
      </c>
      <c r="H1097" t="inlineStr">
        <is>
          <t>TIVF2024</t>
        </is>
      </c>
      <c r="I1097" t="inlineStr">
        <is>
          <t>TAS</t>
        </is>
      </c>
      <c r="J1097" t="inlineStr">
        <is>
          <t>Part Time</t>
        </is>
      </c>
      <c r="K1097" s="23" t="n">
        <v>45932</v>
      </c>
      <c r="L1097" s="23" t="n">
        <v>45932</v>
      </c>
      <c r="O1097" t="n">
        <v>22.5</v>
      </c>
    </row>
    <row r="1098">
      <c r="A1098" t="inlineStr">
        <is>
          <t>AU23515</t>
        </is>
      </c>
      <c r="B1098" s="1" t="n"/>
      <c r="C1098" t="inlineStr">
        <is>
          <t>NSW-QLD</t>
        </is>
      </c>
      <c r="D1098" t="inlineStr">
        <is>
          <t>Virtus Health</t>
        </is>
      </c>
      <c r="E1098" t="inlineStr">
        <is>
          <t>Head of Business Partnerships</t>
        </is>
      </c>
      <c r="F1098" s="1" t="n">
        <v>45719</v>
      </c>
      <c r="H1098" t="inlineStr">
        <is>
          <t>NSW</t>
        </is>
      </c>
      <c r="I1098" t="inlineStr">
        <is>
          <t>NSW</t>
        </is>
      </c>
      <c r="J1098" t="inlineStr">
        <is>
          <t>Part Time</t>
        </is>
      </c>
      <c r="K1098" s="23" t="n">
        <v>45719</v>
      </c>
      <c r="L1098" s="23" t="n">
        <v>45719</v>
      </c>
      <c r="O1098" t="n">
        <v>38</v>
      </c>
    </row>
    <row r="1099">
      <c r="A1099" t="inlineStr">
        <is>
          <t>AU23516</t>
        </is>
      </c>
      <c r="B1099" s="1" t="n"/>
      <c r="C1099" t="inlineStr">
        <is>
          <t>NSW-QLD</t>
        </is>
      </c>
      <c r="D1099" t="inlineStr">
        <is>
          <t>Virtus Health</t>
        </is>
      </c>
      <c r="E1099" t="inlineStr">
        <is>
          <t>Administration Team Leader</t>
        </is>
      </c>
      <c r="F1099" s="1" t="n">
        <v>45993</v>
      </c>
      <c r="H1099" t="inlineStr">
        <is>
          <t>IVFS2023</t>
        </is>
      </c>
      <c r="I1099" t="inlineStr">
        <is>
          <t>QLD</t>
        </is>
      </c>
      <c r="J1099" t="inlineStr">
        <is>
          <t>Full Time</t>
        </is>
      </c>
      <c r="K1099" s="23" t="n">
        <v>45993</v>
      </c>
      <c r="L1099" s="23" t="n">
        <v>45993</v>
      </c>
      <c r="O1099" t="n">
        <v>38</v>
      </c>
    </row>
    <row r="1100">
      <c r="A1100" t="inlineStr">
        <is>
          <t>AU23517</t>
        </is>
      </c>
      <c r="C1100" t="inlineStr">
        <is>
          <t>NSW-QLD</t>
        </is>
      </c>
      <c r="D1100" t="inlineStr">
        <is>
          <t>Virtus Health</t>
        </is>
      </c>
      <c r="E1100" t="inlineStr">
        <is>
          <t>Nurse Coordinator</t>
        </is>
      </c>
      <c r="F1100" t="inlineStr">
        <is>
          <t>2/17/2025</t>
        </is>
      </c>
      <c r="H1100" t="inlineStr">
        <is>
          <t>IVFN2021</t>
        </is>
      </c>
      <c r="I1100" t="inlineStr">
        <is>
          <t>NSW</t>
        </is>
      </c>
      <c r="J1100" t="inlineStr">
        <is>
          <t>Casual</t>
        </is>
      </c>
      <c r="K1100" s="23" t="inlineStr">
        <is>
          <t>2/17/2025</t>
        </is>
      </c>
      <c r="L1100" s="23" t="inlineStr">
        <is>
          <t>2/17/2025</t>
        </is>
      </c>
      <c r="O1100" t="n">
        <v>38</v>
      </c>
    </row>
    <row r="1101">
      <c r="A1101" t="inlineStr">
        <is>
          <t>AU23518</t>
        </is>
      </c>
      <c r="C1101" t="inlineStr">
        <is>
          <t>NSW-QLD</t>
        </is>
      </c>
      <c r="D1101" t="inlineStr">
        <is>
          <t>Virtus Health</t>
        </is>
      </c>
      <c r="E1101" t="inlineStr">
        <is>
          <t>Registered Nurse</t>
        </is>
      </c>
      <c r="F1101" t="inlineStr">
        <is>
          <t>1/27/2025</t>
        </is>
      </c>
      <c r="H1101" t="inlineStr">
        <is>
          <t>IVFN2021</t>
        </is>
      </c>
      <c r="I1101" t="inlineStr">
        <is>
          <t>NSW</t>
        </is>
      </c>
      <c r="J1101" t="inlineStr">
        <is>
          <t>Part Time</t>
        </is>
      </c>
      <c r="K1101" s="23" t="inlineStr">
        <is>
          <t>1/27/2025</t>
        </is>
      </c>
      <c r="L1101" s="23" t="inlineStr">
        <is>
          <t>1/27/2025</t>
        </is>
      </c>
      <c r="O1101" t="n">
        <v>38</v>
      </c>
    </row>
    <row r="1102">
      <c r="A1102" t="inlineStr">
        <is>
          <t>AU23519</t>
        </is>
      </c>
      <c r="C1102" t="inlineStr">
        <is>
          <t>NSW-QLD</t>
        </is>
      </c>
      <c r="D1102" t="inlineStr">
        <is>
          <t>Virtus Health</t>
        </is>
      </c>
      <c r="E1102" t="inlineStr">
        <is>
          <t>Registered Nurse</t>
        </is>
      </c>
      <c r="F1102" t="inlineStr">
        <is>
          <t>12/24/2024</t>
        </is>
      </c>
      <c r="H1102" t="inlineStr">
        <is>
          <t>QN2025</t>
        </is>
      </c>
      <c r="I1102" t="inlineStr">
        <is>
          <t>QLD</t>
        </is>
      </c>
      <c r="J1102" t="inlineStr">
        <is>
          <t>Casual</t>
        </is>
      </c>
      <c r="K1102" s="23" t="inlineStr">
        <is>
          <t>12/24/2024</t>
        </is>
      </c>
      <c r="L1102" s="23" t="inlineStr">
        <is>
          <t>12/24/2024</t>
        </is>
      </c>
      <c r="O1102" t="n">
        <v>38</v>
      </c>
    </row>
    <row r="1103">
      <c r="A1103" t="inlineStr">
        <is>
          <t>AU23520</t>
        </is>
      </c>
      <c r="B1103" s="1" t="n"/>
      <c r="C1103" t="inlineStr">
        <is>
          <t>VIC-TAS</t>
        </is>
      </c>
      <c r="D1103" t="inlineStr">
        <is>
          <t>Virtus Health</t>
        </is>
      </c>
      <c r="E1103" t="inlineStr">
        <is>
          <t>Receptionist</t>
        </is>
      </c>
      <c r="F1103" s="1" t="n">
        <v>45932</v>
      </c>
      <c r="H1103" t="inlineStr">
        <is>
          <t>MIVFS2022</t>
        </is>
      </c>
      <c r="I1103" t="inlineStr">
        <is>
          <t>VIC</t>
        </is>
      </c>
      <c r="J1103" t="inlineStr">
        <is>
          <t>Part Time</t>
        </is>
      </c>
      <c r="K1103" s="23" t="n">
        <v>45932</v>
      </c>
      <c r="L1103" s="23" t="n">
        <v>45932</v>
      </c>
      <c r="O1103" t="n">
        <v>16.8</v>
      </c>
    </row>
    <row r="1104">
      <c r="A1104" t="inlineStr">
        <is>
          <t>AU23521</t>
        </is>
      </c>
      <c r="C1104" t="inlineStr">
        <is>
          <t>VIC-TAS</t>
        </is>
      </c>
      <c r="D1104" t="inlineStr">
        <is>
          <t>Virtus Health</t>
        </is>
      </c>
      <c r="E1104" t="inlineStr">
        <is>
          <t>Associate Nurse Unit Manager</t>
        </is>
      </c>
      <c r="F1104" t="inlineStr">
        <is>
          <t>2/24/2025</t>
        </is>
      </c>
      <c r="H1104" t="inlineStr">
        <is>
          <t>MIVFN2023</t>
        </is>
      </c>
      <c r="I1104" t="inlineStr">
        <is>
          <t>VIC</t>
        </is>
      </c>
      <c r="J1104" t="inlineStr">
        <is>
          <t>Part Time</t>
        </is>
      </c>
      <c r="K1104" s="23" t="inlineStr">
        <is>
          <t>2/24/2025</t>
        </is>
      </c>
      <c r="L1104" s="23" t="inlineStr">
        <is>
          <t>2/24/2025</t>
        </is>
      </c>
      <c r="O1104" t="n">
        <v>30.4</v>
      </c>
    </row>
    <row r="1105">
      <c r="A1105" t="inlineStr">
        <is>
          <t>AU23523</t>
        </is>
      </c>
      <c r="C1105" t="inlineStr">
        <is>
          <t>VIC-TAS</t>
        </is>
      </c>
      <c r="D1105" t="inlineStr">
        <is>
          <t>Virtus Health</t>
        </is>
      </c>
      <c r="E1105" t="inlineStr">
        <is>
          <t>Registered Nurse</t>
        </is>
      </c>
      <c r="F1105" t="inlineStr">
        <is>
          <t>2/24/2025</t>
        </is>
      </c>
      <c r="H1105" t="inlineStr">
        <is>
          <t>MIVFN2023</t>
        </is>
      </c>
      <c r="I1105" t="inlineStr">
        <is>
          <t>VIC</t>
        </is>
      </c>
      <c r="J1105" t="inlineStr">
        <is>
          <t>Full Time</t>
        </is>
      </c>
      <c r="K1105" s="23" t="inlineStr">
        <is>
          <t>2/24/2025</t>
        </is>
      </c>
      <c r="L1105" s="23" t="inlineStr">
        <is>
          <t>2/24/2025</t>
        </is>
      </c>
      <c r="O1105" t="n">
        <v>38</v>
      </c>
    </row>
    <row r="1106">
      <c r="A1106" t="inlineStr">
        <is>
          <t>AU23524</t>
        </is>
      </c>
      <c r="C1106" t="inlineStr">
        <is>
          <t>VIC-TAS</t>
        </is>
      </c>
      <c r="D1106" t="inlineStr">
        <is>
          <t>Virtus Health</t>
        </is>
      </c>
      <c r="E1106" t="inlineStr">
        <is>
          <t xml:space="preserve">Fertility Specialist </t>
        </is>
      </c>
      <c r="F1106" t="inlineStr">
        <is>
          <t>3/19/2025</t>
        </is>
      </c>
      <c r="H1106" t="inlineStr">
        <is>
          <t>VIC</t>
        </is>
      </c>
      <c r="I1106" t="inlineStr">
        <is>
          <t>VIC</t>
        </is>
      </c>
      <c r="J1106" t="inlineStr">
        <is>
          <t>Full Time</t>
        </is>
      </c>
      <c r="K1106" s="23" t="inlineStr">
        <is>
          <t>3/19/2025</t>
        </is>
      </c>
      <c r="L1106" s="23" t="inlineStr">
        <is>
          <t>3/19/2025</t>
        </is>
      </c>
      <c r="O1106" t="n">
        <v>38</v>
      </c>
    </row>
    <row r="1107">
      <c r="A1107" t="inlineStr">
        <is>
          <t>AU23525</t>
        </is>
      </c>
      <c r="C1107" t="inlineStr">
        <is>
          <t>VIC-TAS</t>
        </is>
      </c>
      <c r="D1107" t="inlineStr">
        <is>
          <t>Virtus Health</t>
        </is>
      </c>
      <c r="E1107" t="inlineStr">
        <is>
          <t>Registered Nurse</t>
        </is>
      </c>
      <c r="F1107" t="inlineStr">
        <is>
          <t>2/24/2025</t>
        </is>
      </c>
      <c r="H1107" t="inlineStr">
        <is>
          <t>MIVFN2023</t>
        </is>
      </c>
      <c r="I1107" t="inlineStr">
        <is>
          <t>VIC</t>
        </is>
      </c>
      <c r="J1107" t="inlineStr">
        <is>
          <t>Part Time</t>
        </is>
      </c>
      <c r="K1107" s="23" t="inlineStr">
        <is>
          <t>2/24/2025</t>
        </is>
      </c>
      <c r="L1107" s="23" t="inlineStr">
        <is>
          <t>2/24/2025</t>
        </is>
      </c>
      <c r="O1107" t="n">
        <v>15.2</v>
      </c>
    </row>
    <row r="1108">
      <c r="A1108" t="inlineStr">
        <is>
          <t>AU23526</t>
        </is>
      </c>
      <c r="C1108" t="inlineStr">
        <is>
          <t>VIC-TAS</t>
        </is>
      </c>
      <c r="D1108" t="inlineStr">
        <is>
          <t>Virtus Health</t>
        </is>
      </c>
      <c r="E1108" t="inlineStr">
        <is>
          <t>Registered Nurse</t>
        </is>
      </c>
      <c r="F1108" t="inlineStr">
        <is>
          <t>2/24/2025</t>
        </is>
      </c>
      <c r="H1108" t="inlineStr">
        <is>
          <t>MIVFN2023</t>
        </is>
      </c>
      <c r="I1108" t="inlineStr">
        <is>
          <t>VIC</t>
        </is>
      </c>
      <c r="J1108" t="inlineStr">
        <is>
          <t>Full Time</t>
        </is>
      </c>
      <c r="K1108" s="23" t="inlineStr">
        <is>
          <t>2/24/2025</t>
        </is>
      </c>
      <c r="L1108" s="23" t="inlineStr">
        <is>
          <t>2/24/2025</t>
        </is>
      </c>
      <c r="O1108" t="n">
        <v>38</v>
      </c>
    </row>
    <row r="1109">
      <c r="A1109" t="inlineStr">
        <is>
          <t>AU23528</t>
        </is>
      </c>
      <c r="B1109" s="1" t="n"/>
      <c r="C1109" t="inlineStr">
        <is>
          <t>VIC-TAS</t>
        </is>
      </c>
      <c r="D1109" t="inlineStr">
        <is>
          <t>Virtus Health</t>
        </is>
      </c>
      <c r="E1109" t="inlineStr">
        <is>
          <t>Assistant in Nursing</t>
        </is>
      </c>
      <c r="F1109" s="1" t="n">
        <v>45719</v>
      </c>
      <c r="H1109" t="inlineStr">
        <is>
          <t>VIC</t>
        </is>
      </c>
      <c r="I1109" t="inlineStr">
        <is>
          <t>VIC</t>
        </is>
      </c>
      <c r="J1109" t="inlineStr">
        <is>
          <t>Casual</t>
        </is>
      </c>
      <c r="K1109" s="23" t="n">
        <v>45719</v>
      </c>
      <c r="L1109" s="23" t="n">
        <v>45719</v>
      </c>
      <c r="O1109" t="n">
        <v>38</v>
      </c>
    </row>
    <row r="1110">
      <c r="A1110" t="inlineStr">
        <is>
          <t>AU23529</t>
        </is>
      </c>
      <c r="C1110" t="inlineStr">
        <is>
          <t>VIC-TAS</t>
        </is>
      </c>
      <c r="D1110" t="inlineStr">
        <is>
          <t>Virtus Health</t>
        </is>
      </c>
      <c r="E1110" t="inlineStr">
        <is>
          <t>Registered Nurse</t>
        </is>
      </c>
      <c r="F1110" t="inlineStr">
        <is>
          <t>2/24/2025</t>
        </is>
      </c>
      <c r="H1110" t="inlineStr">
        <is>
          <t>MIVFN2023</t>
        </is>
      </c>
      <c r="I1110" t="inlineStr">
        <is>
          <t>VIC</t>
        </is>
      </c>
      <c r="J1110" t="inlineStr">
        <is>
          <t>Casual</t>
        </is>
      </c>
      <c r="K1110" s="23" t="inlineStr">
        <is>
          <t>2/24/2025</t>
        </is>
      </c>
      <c r="L1110" s="23" t="inlineStr">
        <is>
          <t>2/24/2025</t>
        </is>
      </c>
      <c r="O1110" t="n">
        <v>38</v>
      </c>
    </row>
    <row r="1111">
      <c r="A1111" t="inlineStr">
        <is>
          <t>AU23531</t>
        </is>
      </c>
      <c r="C1111" t="inlineStr">
        <is>
          <t>VIC-TAS</t>
        </is>
      </c>
      <c r="D1111" t="inlineStr">
        <is>
          <t>Virtus Health</t>
        </is>
      </c>
      <c r="E1111" t="inlineStr">
        <is>
          <t>Registered Nurse</t>
        </is>
      </c>
      <c r="F1111" t="inlineStr">
        <is>
          <t>2/24/2025</t>
        </is>
      </c>
      <c r="H1111" t="inlineStr">
        <is>
          <t>MIVFN2023</t>
        </is>
      </c>
      <c r="I1111" t="inlineStr">
        <is>
          <t>VIC</t>
        </is>
      </c>
      <c r="J1111" t="inlineStr">
        <is>
          <t>Full Time</t>
        </is>
      </c>
      <c r="K1111" s="23" t="inlineStr">
        <is>
          <t>2/24/2025</t>
        </is>
      </c>
      <c r="L1111" s="23" t="inlineStr">
        <is>
          <t>2/24/2025</t>
        </is>
      </c>
      <c r="O1111" t="n">
        <v>38</v>
      </c>
    </row>
    <row r="1112">
      <c r="A1112" t="inlineStr">
        <is>
          <t>AU23533</t>
        </is>
      </c>
      <c r="C1112" t="inlineStr">
        <is>
          <t>VIC-TAS</t>
        </is>
      </c>
      <c r="D1112" t="inlineStr">
        <is>
          <t>Virtus Health</t>
        </is>
      </c>
      <c r="E1112" t="inlineStr">
        <is>
          <t>Registered Nurse</t>
        </is>
      </c>
      <c r="F1112" t="inlineStr">
        <is>
          <t>2/26/2025</t>
        </is>
      </c>
      <c r="H1112" t="inlineStr">
        <is>
          <t>MIVFN2023</t>
        </is>
      </c>
      <c r="I1112" t="inlineStr">
        <is>
          <t>VIC</t>
        </is>
      </c>
      <c r="J1112" t="inlineStr">
        <is>
          <t>Casual</t>
        </is>
      </c>
      <c r="K1112" s="23" t="inlineStr">
        <is>
          <t>2/26/2025</t>
        </is>
      </c>
      <c r="L1112" s="23" t="inlineStr">
        <is>
          <t>2/26/2025</t>
        </is>
      </c>
      <c r="O1112" t="n">
        <v>38</v>
      </c>
    </row>
    <row r="1113">
      <c r="A1113" t="inlineStr">
        <is>
          <t>AU23534</t>
        </is>
      </c>
      <c r="C1113" t="inlineStr">
        <is>
          <t>VIC-TAS</t>
        </is>
      </c>
      <c r="D1113" t="inlineStr">
        <is>
          <t>Virtus Health</t>
        </is>
      </c>
      <c r="E1113" t="inlineStr">
        <is>
          <t>Clinical Embryologist</t>
        </is>
      </c>
      <c r="F1113" t="inlineStr">
        <is>
          <t>3/17/2025</t>
        </is>
      </c>
      <c r="H1113" t="inlineStr">
        <is>
          <t>MIVFS2022</t>
        </is>
      </c>
      <c r="I1113" t="inlineStr">
        <is>
          <t>VIC</t>
        </is>
      </c>
      <c r="J1113" t="inlineStr">
        <is>
          <t>Full Time</t>
        </is>
      </c>
      <c r="K1113" s="23" t="inlineStr">
        <is>
          <t>3/17/2025</t>
        </is>
      </c>
      <c r="L1113" s="23" t="inlineStr">
        <is>
          <t>3/17/2025</t>
        </is>
      </c>
      <c r="O1113" t="n">
        <v>38</v>
      </c>
    </row>
    <row r="1114">
      <c r="A1114" t="inlineStr">
        <is>
          <t>AU23537</t>
        </is>
      </c>
      <c r="B1114" s="1" t="n"/>
      <c r="C1114" t="inlineStr">
        <is>
          <t>VIC-TAS</t>
        </is>
      </c>
      <c r="D1114" t="inlineStr">
        <is>
          <t>Virtus Health</t>
        </is>
      </c>
      <c r="E1114" t="inlineStr">
        <is>
          <t>Receptionist</t>
        </is>
      </c>
      <c r="F1114" s="1" t="n">
        <v>45964</v>
      </c>
      <c r="H1114" t="inlineStr">
        <is>
          <t>MIVFS2022</t>
        </is>
      </c>
      <c r="I1114" t="inlineStr">
        <is>
          <t>VIC</t>
        </is>
      </c>
      <c r="J1114" t="inlineStr">
        <is>
          <t>Full Time</t>
        </is>
      </c>
      <c r="K1114" s="23" t="n">
        <v>45964</v>
      </c>
      <c r="L1114" s="23" t="n">
        <v>45964</v>
      </c>
      <c r="O1114" t="n">
        <v>38</v>
      </c>
    </row>
    <row r="1115">
      <c r="A1115" t="inlineStr">
        <is>
          <t>AU23538</t>
        </is>
      </c>
      <c r="C1115" t="inlineStr">
        <is>
          <t>VIC-TAS</t>
        </is>
      </c>
      <c r="D1115" t="inlineStr">
        <is>
          <t>Virtus Health</t>
        </is>
      </c>
      <c r="E1115" t="inlineStr">
        <is>
          <t>Registered Nurse</t>
        </is>
      </c>
      <c r="F1115" t="inlineStr">
        <is>
          <t>2/24/2025</t>
        </is>
      </c>
      <c r="H1115" t="inlineStr">
        <is>
          <t>MIVFN2023</t>
        </is>
      </c>
      <c r="I1115" t="inlineStr">
        <is>
          <t>VIC</t>
        </is>
      </c>
      <c r="J1115" t="inlineStr">
        <is>
          <t>Casual</t>
        </is>
      </c>
      <c r="K1115" s="23" t="inlineStr">
        <is>
          <t>2/24/2025</t>
        </is>
      </c>
      <c r="L1115" s="23" t="inlineStr">
        <is>
          <t>2/24/2025</t>
        </is>
      </c>
      <c r="O1115" t="n">
        <v>38</v>
      </c>
    </row>
    <row r="1116">
      <c r="A1116" t="inlineStr">
        <is>
          <t>AU23540</t>
        </is>
      </c>
      <c r="C1116" t="inlineStr">
        <is>
          <t>NSW-QLD</t>
        </is>
      </c>
      <c r="D1116" t="inlineStr">
        <is>
          <t>Virtus Health</t>
        </is>
      </c>
      <c r="E1116" t="inlineStr">
        <is>
          <t>Assistant in Nursing</t>
        </is>
      </c>
      <c r="F1116" t="inlineStr">
        <is>
          <t>2/24/2025</t>
        </is>
      </c>
      <c r="H1116" t="inlineStr">
        <is>
          <t>QN2025</t>
        </is>
      </c>
      <c r="I1116" t="inlineStr">
        <is>
          <t>QLD</t>
        </is>
      </c>
      <c r="J1116" t="inlineStr">
        <is>
          <t>Casual</t>
        </is>
      </c>
      <c r="K1116" s="23" t="inlineStr">
        <is>
          <t>2/24/2025</t>
        </is>
      </c>
      <c r="L1116" s="23" t="inlineStr">
        <is>
          <t>2/24/2025</t>
        </is>
      </c>
      <c r="O1116" t="n">
        <v>38</v>
      </c>
    </row>
    <row r="1117">
      <c r="A1117" t="inlineStr">
        <is>
          <t>AU23542</t>
        </is>
      </c>
      <c r="C1117" t="inlineStr">
        <is>
          <t>VIC-TAS</t>
        </is>
      </c>
      <c r="D1117" t="inlineStr">
        <is>
          <t>Virtus Health</t>
        </is>
      </c>
      <c r="E1117" t="inlineStr">
        <is>
          <t>Registered Nurse</t>
        </is>
      </c>
      <c r="F1117" t="inlineStr">
        <is>
          <t>2/24/2025</t>
        </is>
      </c>
      <c r="H1117" t="inlineStr">
        <is>
          <t>MIVFN2023</t>
        </is>
      </c>
      <c r="I1117" t="inlineStr">
        <is>
          <t>VIC</t>
        </is>
      </c>
      <c r="J1117" t="inlineStr">
        <is>
          <t>Full Time</t>
        </is>
      </c>
      <c r="K1117" s="23" t="inlineStr">
        <is>
          <t>2/24/2025</t>
        </is>
      </c>
      <c r="L1117" s="23" t="inlineStr">
        <is>
          <t>2/24/2025</t>
        </is>
      </c>
      <c r="O1117" t="n">
        <v>38</v>
      </c>
    </row>
    <row r="1118">
      <c r="A1118" t="inlineStr">
        <is>
          <t>AU23543</t>
        </is>
      </c>
      <c r="B1118" s="1" t="n"/>
      <c r="C1118" t="inlineStr">
        <is>
          <t>NSW-QLD</t>
        </is>
      </c>
      <c r="D1118" t="inlineStr">
        <is>
          <t>Virtus Health</t>
        </is>
      </c>
      <c r="E1118" t="inlineStr">
        <is>
          <t>New Patient Care Consultant</t>
        </is>
      </c>
      <c r="F1118" s="1" t="n">
        <v>45933</v>
      </c>
      <c r="H1118" t="inlineStr">
        <is>
          <t>IVFS2023</t>
        </is>
      </c>
      <c r="I1118" t="inlineStr">
        <is>
          <t>NSW</t>
        </is>
      </c>
      <c r="J1118" t="inlineStr">
        <is>
          <t>Part Time</t>
        </is>
      </c>
      <c r="K1118" s="23" t="n">
        <v>45933</v>
      </c>
      <c r="L1118" s="23" t="n">
        <v>45933</v>
      </c>
      <c r="O1118" t="n">
        <v>34</v>
      </c>
    </row>
    <row r="1119">
      <c r="A1119" t="inlineStr">
        <is>
          <t>AU23544</t>
        </is>
      </c>
      <c r="B1119" s="1" t="n"/>
      <c r="C1119" t="inlineStr">
        <is>
          <t>VIC-TAS</t>
        </is>
      </c>
      <c r="D1119" t="inlineStr">
        <is>
          <t>Virtus Health</t>
        </is>
      </c>
      <c r="E1119" t="inlineStr">
        <is>
          <t>Donor Administrator</t>
        </is>
      </c>
      <c r="F1119" s="1" t="n">
        <v>45964</v>
      </c>
      <c r="H1119" t="inlineStr">
        <is>
          <t>MIVFS2022</t>
        </is>
      </c>
      <c r="I1119" t="inlineStr">
        <is>
          <t>VIC</t>
        </is>
      </c>
      <c r="J1119" t="inlineStr">
        <is>
          <t>Full Time</t>
        </is>
      </c>
      <c r="K1119" s="23" t="n">
        <v>45964</v>
      </c>
      <c r="L1119" s="23" t="n">
        <v>45964</v>
      </c>
      <c r="O1119" t="n">
        <v>38</v>
      </c>
    </row>
    <row r="1120">
      <c r="A1120" t="inlineStr">
        <is>
          <t>AU23546</t>
        </is>
      </c>
      <c r="B1120" s="1" t="n"/>
      <c r="C1120" t="inlineStr">
        <is>
          <t>NSW-QLD</t>
        </is>
      </c>
      <c r="D1120" t="inlineStr">
        <is>
          <t>Virtus Health</t>
        </is>
      </c>
      <c r="E1120" t="inlineStr">
        <is>
          <t>Nurse Coordinator</t>
        </is>
      </c>
      <c r="F1120" s="1" t="n">
        <v>45933</v>
      </c>
      <c r="H1120" t="inlineStr">
        <is>
          <t>IVFN2021</t>
        </is>
      </c>
      <c r="I1120" t="inlineStr">
        <is>
          <t>NSW</t>
        </is>
      </c>
      <c r="J1120" t="inlineStr">
        <is>
          <t>Full Time</t>
        </is>
      </c>
      <c r="K1120" s="23" t="n">
        <v>45933</v>
      </c>
      <c r="L1120" s="23" t="n">
        <v>45933</v>
      </c>
      <c r="O1120" t="n">
        <v>38</v>
      </c>
    </row>
    <row r="1121">
      <c r="A1121" t="inlineStr">
        <is>
          <t>AU23548</t>
        </is>
      </c>
      <c r="B1121" s="1" t="n"/>
      <c r="C1121" t="inlineStr">
        <is>
          <t>NSW-QLD</t>
        </is>
      </c>
      <c r="D1121" t="inlineStr">
        <is>
          <t>Virtus Health</t>
        </is>
      </c>
      <c r="E1121" t="inlineStr">
        <is>
          <t>Administration Assistant</t>
        </is>
      </c>
      <c r="F1121" s="1" t="n">
        <v>45719</v>
      </c>
      <c r="H1121" t="inlineStr">
        <is>
          <t>IVFS2023</t>
        </is>
      </c>
      <c r="I1121" t="inlineStr">
        <is>
          <t>NSW</t>
        </is>
      </c>
      <c r="J1121" t="inlineStr">
        <is>
          <t>Casual</t>
        </is>
      </c>
      <c r="K1121" s="23" t="n">
        <v>45719</v>
      </c>
      <c r="L1121" s="23" t="n">
        <v>45719</v>
      </c>
      <c r="O1121" t="n">
        <v>38</v>
      </c>
    </row>
    <row r="1122">
      <c r="A1122" t="inlineStr">
        <is>
          <t>AU23549</t>
        </is>
      </c>
      <c r="B1122" s="1" t="n"/>
      <c r="C1122" t="inlineStr">
        <is>
          <t>NSW-QLD</t>
        </is>
      </c>
      <c r="D1122" t="inlineStr">
        <is>
          <t>Virtus Health</t>
        </is>
      </c>
      <c r="E1122" t="inlineStr">
        <is>
          <t>HR Administration Support</t>
        </is>
      </c>
      <c r="F1122" s="1" t="n">
        <v>45933</v>
      </c>
      <c r="H1122" t="inlineStr">
        <is>
          <t>NSW</t>
        </is>
      </c>
      <c r="I1122" t="inlineStr">
        <is>
          <t>NSW</t>
        </is>
      </c>
      <c r="J1122" t="inlineStr">
        <is>
          <t>Casual</t>
        </is>
      </c>
      <c r="K1122" s="23" t="n">
        <v>45933</v>
      </c>
      <c r="L1122" s="23" t="n">
        <v>45933</v>
      </c>
      <c r="O1122" t="n">
        <v>38</v>
      </c>
    </row>
    <row r="1123">
      <c r="A1123" t="inlineStr">
        <is>
          <t>AU23551</t>
        </is>
      </c>
      <c r="B1123" s="1" t="n"/>
      <c r="C1123" t="inlineStr">
        <is>
          <t>VIC-TAS</t>
        </is>
      </c>
      <c r="D1123" t="inlineStr">
        <is>
          <t>Virtus Health</t>
        </is>
      </c>
      <c r="E1123" t="inlineStr">
        <is>
          <t>Commercial Manager</t>
        </is>
      </c>
      <c r="F1123" s="1" t="n">
        <v>45933</v>
      </c>
      <c r="H1123" t="inlineStr">
        <is>
          <t>VIC</t>
        </is>
      </c>
      <c r="I1123" t="inlineStr">
        <is>
          <t>VIC</t>
        </is>
      </c>
      <c r="J1123" t="inlineStr">
        <is>
          <t>Full Time</t>
        </is>
      </c>
      <c r="K1123" s="23" t="n">
        <v>45933</v>
      </c>
      <c r="L1123" s="23" t="n">
        <v>45933</v>
      </c>
      <c r="O1123" t="n">
        <v>38</v>
      </c>
    </row>
    <row r="1124">
      <c r="A1124" t="inlineStr">
        <is>
          <t>AU23553</t>
        </is>
      </c>
      <c r="B1124" s="1" t="n"/>
      <c r="C1124" t="inlineStr">
        <is>
          <t>NSW-QLD</t>
        </is>
      </c>
      <c r="D1124" t="inlineStr">
        <is>
          <t>Virtus Health</t>
        </is>
      </c>
      <c r="E1124" t="inlineStr">
        <is>
          <t>Registered Nurse</t>
        </is>
      </c>
      <c r="F1124" s="1" t="n">
        <v>45842</v>
      </c>
      <c r="H1124" t="inlineStr">
        <is>
          <t>QN2025</t>
        </is>
      </c>
      <c r="I1124" t="inlineStr">
        <is>
          <t>QLD</t>
        </is>
      </c>
      <c r="J1124" t="inlineStr">
        <is>
          <t>Part Time</t>
        </is>
      </c>
      <c r="K1124" s="23" t="n">
        <v>45842</v>
      </c>
      <c r="L1124" s="23" t="n">
        <v>45842</v>
      </c>
      <c r="O1124" t="n">
        <v>38</v>
      </c>
    </row>
    <row r="1125">
      <c r="A1125" t="inlineStr">
        <is>
          <t>AU23554</t>
        </is>
      </c>
      <c r="C1125" t="inlineStr">
        <is>
          <t>VIC-TAS</t>
        </is>
      </c>
      <c r="D1125" t="inlineStr">
        <is>
          <t>Virtus Health</t>
        </is>
      </c>
      <c r="E1125" t="inlineStr">
        <is>
          <t>Clinical Embryologist</t>
        </is>
      </c>
      <c r="F1125" t="inlineStr">
        <is>
          <t>3/31/2025</t>
        </is>
      </c>
      <c r="H1125" t="inlineStr">
        <is>
          <t>MIVFS2022</t>
        </is>
      </c>
      <c r="I1125" t="inlineStr">
        <is>
          <t>VIC</t>
        </is>
      </c>
      <c r="J1125" t="inlineStr">
        <is>
          <t>Full Time</t>
        </is>
      </c>
      <c r="K1125" s="23" t="inlineStr">
        <is>
          <t>3/31/2025</t>
        </is>
      </c>
      <c r="L1125" s="23" t="inlineStr">
        <is>
          <t>3/31/2025</t>
        </is>
      </c>
      <c r="O1125" t="n">
        <v>38</v>
      </c>
    </row>
    <row r="1126">
      <c r="A1126" t="inlineStr">
        <is>
          <t>AU23555</t>
        </is>
      </c>
      <c r="C1126" t="inlineStr">
        <is>
          <t>NSW-QLD</t>
        </is>
      </c>
      <c r="D1126" t="inlineStr">
        <is>
          <t>Virtus Health</t>
        </is>
      </c>
      <c r="E1126" t="inlineStr">
        <is>
          <t>Head of Digital Health Applications</t>
        </is>
      </c>
      <c r="F1126" t="inlineStr">
        <is>
          <t>4/23/2025</t>
        </is>
      </c>
      <c r="H1126" t="inlineStr">
        <is>
          <t>VIC</t>
        </is>
      </c>
      <c r="I1126" t="inlineStr">
        <is>
          <t>VIC</t>
        </is>
      </c>
      <c r="J1126" t="inlineStr">
        <is>
          <t>Full Time</t>
        </is>
      </c>
      <c r="K1126" s="23" t="inlineStr">
        <is>
          <t>4/23/2025</t>
        </is>
      </c>
      <c r="L1126" s="23" t="inlineStr">
        <is>
          <t>4/23/2025</t>
        </is>
      </c>
      <c r="O1126" t="n">
        <v>38</v>
      </c>
    </row>
    <row r="1127">
      <c r="A1127" t="inlineStr">
        <is>
          <t>AU23557</t>
        </is>
      </c>
      <c r="B1127" s="1" t="n"/>
      <c r="C1127" t="inlineStr">
        <is>
          <t>VIC-TAS</t>
        </is>
      </c>
      <c r="D1127" t="inlineStr">
        <is>
          <t>Virtus Health</t>
        </is>
      </c>
      <c r="E1127" t="inlineStr">
        <is>
          <t>Counsellor</t>
        </is>
      </c>
      <c r="F1127" s="1" t="n">
        <v>45692</v>
      </c>
      <c r="H1127" t="inlineStr">
        <is>
          <t>MIVFC2021</t>
        </is>
      </c>
      <c r="I1127" t="inlineStr">
        <is>
          <t>VIC</t>
        </is>
      </c>
      <c r="J1127" t="inlineStr">
        <is>
          <t>Part Time</t>
        </is>
      </c>
      <c r="K1127" s="23" t="n">
        <v>45692</v>
      </c>
      <c r="L1127" s="23" t="n">
        <v>45692</v>
      </c>
      <c r="O1127" t="n">
        <v>22.8</v>
      </c>
    </row>
    <row r="1128">
      <c r="A1128" t="inlineStr">
        <is>
          <t>AU23559</t>
        </is>
      </c>
      <c r="C1128" t="inlineStr">
        <is>
          <t>NSW-QLD</t>
        </is>
      </c>
      <c r="D1128" t="inlineStr">
        <is>
          <t>Virtus Health</t>
        </is>
      </c>
      <c r="E1128" t="inlineStr">
        <is>
          <t>Registered Nurse</t>
        </is>
      </c>
      <c r="F1128" t="inlineStr">
        <is>
          <t>3/17/2025</t>
        </is>
      </c>
      <c r="H1128" t="inlineStr">
        <is>
          <t>IVFN2021</t>
        </is>
      </c>
      <c r="I1128" t="inlineStr">
        <is>
          <t>NSW</t>
        </is>
      </c>
      <c r="J1128" t="inlineStr">
        <is>
          <t>Part Time</t>
        </is>
      </c>
      <c r="K1128" s="23" t="inlineStr">
        <is>
          <t>3/17/2025</t>
        </is>
      </c>
      <c r="L1128" s="23" t="inlineStr">
        <is>
          <t>3/17/2025</t>
        </is>
      </c>
      <c r="O1128" t="n">
        <v>38</v>
      </c>
    </row>
    <row r="1129">
      <c r="A1129" t="inlineStr">
        <is>
          <t>AU23560</t>
        </is>
      </c>
      <c r="C1129" t="inlineStr">
        <is>
          <t>NSW-QLD</t>
        </is>
      </c>
      <c r="D1129" t="inlineStr">
        <is>
          <t>Virtus Health</t>
        </is>
      </c>
      <c r="E1129" t="inlineStr">
        <is>
          <t>Nurse Coordinator</t>
        </is>
      </c>
      <c r="F1129" t="inlineStr">
        <is>
          <t>3/24/2025</t>
        </is>
      </c>
      <c r="H1129" t="inlineStr">
        <is>
          <t>IVFN2021</t>
        </is>
      </c>
      <c r="I1129" t="inlineStr">
        <is>
          <t>NSW</t>
        </is>
      </c>
      <c r="J1129" t="inlineStr">
        <is>
          <t>Full Time</t>
        </is>
      </c>
      <c r="K1129" s="23" t="inlineStr">
        <is>
          <t>3/24/2025</t>
        </is>
      </c>
      <c r="L1129" s="23" t="inlineStr">
        <is>
          <t>3/24/2025</t>
        </is>
      </c>
      <c r="O1129" t="n">
        <v>38</v>
      </c>
    </row>
    <row r="1130">
      <c r="A1130" t="inlineStr">
        <is>
          <t>AU23561</t>
        </is>
      </c>
      <c r="C1130" t="inlineStr">
        <is>
          <t>NSW-QLD</t>
        </is>
      </c>
      <c r="D1130" t="inlineStr">
        <is>
          <t>Virtus Health</t>
        </is>
      </c>
      <c r="E1130" t="inlineStr">
        <is>
          <t>Registered Nurse</t>
        </is>
      </c>
      <c r="F1130" t="inlineStr">
        <is>
          <t>3/17/2025</t>
        </is>
      </c>
      <c r="H1130" t="inlineStr">
        <is>
          <t>IVFN2021</t>
        </is>
      </c>
      <c r="I1130" t="inlineStr">
        <is>
          <t>NSW</t>
        </is>
      </c>
      <c r="J1130" t="inlineStr">
        <is>
          <t>Casual</t>
        </is>
      </c>
      <c r="K1130" s="23" t="inlineStr">
        <is>
          <t>3/17/2025</t>
        </is>
      </c>
      <c r="L1130" s="23" t="inlineStr">
        <is>
          <t>3/17/2025</t>
        </is>
      </c>
      <c r="O1130" t="n">
        <v>38</v>
      </c>
    </row>
    <row r="1131">
      <c r="A1131" t="inlineStr">
        <is>
          <t>AU23562</t>
        </is>
      </c>
      <c r="B1131" s="1" t="n"/>
      <c r="C1131" t="inlineStr">
        <is>
          <t>NSW-QLD</t>
        </is>
      </c>
      <c r="D1131" t="inlineStr">
        <is>
          <t>Virtus Health</t>
        </is>
      </c>
      <c r="E1131" t="inlineStr">
        <is>
          <t>Medical Secretary</t>
        </is>
      </c>
      <c r="F1131" s="1" t="n">
        <v>45933</v>
      </c>
      <c r="H1131" t="inlineStr">
        <is>
          <t>IVFS2023</t>
        </is>
      </c>
      <c r="I1131" t="inlineStr">
        <is>
          <t>NSW</t>
        </is>
      </c>
      <c r="J1131" t="inlineStr">
        <is>
          <t>Full Time</t>
        </is>
      </c>
      <c r="K1131" s="23" t="n">
        <v>45933</v>
      </c>
      <c r="L1131" s="23" t="n">
        <v>45933</v>
      </c>
      <c r="O1131" t="n">
        <v>38</v>
      </c>
    </row>
    <row r="1132">
      <c r="A1132" t="inlineStr">
        <is>
          <t>AU23563</t>
        </is>
      </c>
      <c r="C1132" t="inlineStr">
        <is>
          <t>VIC-TAS</t>
        </is>
      </c>
      <c r="D1132" t="inlineStr">
        <is>
          <t>Virtus Health</t>
        </is>
      </c>
      <c r="E1132" t="inlineStr">
        <is>
          <t>Receptionist</t>
        </is>
      </c>
      <c r="F1132" t="inlineStr">
        <is>
          <t>3/17/2025</t>
        </is>
      </c>
      <c r="H1132" t="inlineStr">
        <is>
          <t>MIVFS2022</t>
        </is>
      </c>
      <c r="I1132" t="inlineStr">
        <is>
          <t>VIC</t>
        </is>
      </c>
      <c r="J1132" t="inlineStr">
        <is>
          <t>Full Time</t>
        </is>
      </c>
      <c r="K1132" s="23" t="inlineStr">
        <is>
          <t>3/17/2025</t>
        </is>
      </c>
      <c r="L1132" s="23" t="inlineStr">
        <is>
          <t>3/17/2025</t>
        </is>
      </c>
      <c r="O1132" t="n">
        <v>38</v>
      </c>
    </row>
    <row r="1133">
      <c r="A1133" t="inlineStr">
        <is>
          <t>AU23564</t>
        </is>
      </c>
      <c r="B1133" s="1" t="n"/>
      <c r="C1133" t="inlineStr">
        <is>
          <t>NSW-QLD</t>
        </is>
      </c>
      <c r="D1133" t="inlineStr">
        <is>
          <t>Virtus Health</t>
        </is>
      </c>
      <c r="E1133" t="inlineStr">
        <is>
          <t>Nurse Coordinator</t>
        </is>
      </c>
      <c r="F1133" s="1" t="n">
        <v>45933</v>
      </c>
      <c r="H1133" t="inlineStr">
        <is>
          <t>IVFN2021</t>
        </is>
      </c>
      <c r="I1133" t="inlineStr">
        <is>
          <t>NSW</t>
        </is>
      </c>
      <c r="J1133" t="inlineStr">
        <is>
          <t>Full Time</t>
        </is>
      </c>
      <c r="K1133" s="23" t="n">
        <v>45933</v>
      </c>
      <c r="L1133" s="23" t="n">
        <v>45933</v>
      </c>
      <c r="O1133" t="n">
        <v>22.8</v>
      </c>
    </row>
    <row r="1134">
      <c r="A1134" t="inlineStr">
        <is>
          <t>AU23565</t>
        </is>
      </c>
      <c r="C1134" t="inlineStr">
        <is>
          <t>NSW-QLD</t>
        </is>
      </c>
      <c r="D1134" t="inlineStr">
        <is>
          <t>Virtus Health</t>
        </is>
      </c>
      <c r="E1134" t="inlineStr">
        <is>
          <t>Registered Nurse</t>
        </is>
      </c>
      <c r="F1134" t="inlineStr">
        <is>
          <t>3/31/2025</t>
        </is>
      </c>
      <c r="H1134" t="inlineStr">
        <is>
          <t>QN2025</t>
        </is>
      </c>
      <c r="I1134" t="inlineStr">
        <is>
          <t>QLD</t>
        </is>
      </c>
      <c r="J1134" t="inlineStr">
        <is>
          <t>Part Time</t>
        </is>
      </c>
      <c r="K1134" s="23" t="inlineStr">
        <is>
          <t>3/31/2025</t>
        </is>
      </c>
      <c r="L1134" s="23" t="inlineStr">
        <is>
          <t>3/31/2025</t>
        </is>
      </c>
      <c r="O1134" t="n">
        <v>38</v>
      </c>
    </row>
    <row r="1135">
      <c r="A1135" t="inlineStr">
        <is>
          <t>AU23566</t>
        </is>
      </c>
      <c r="C1135" t="inlineStr">
        <is>
          <t>NSW-QLD</t>
        </is>
      </c>
      <c r="D1135" t="inlineStr">
        <is>
          <t>Virtus Health</t>
        </is>
      </c>
      <c r="E1135" t="inlineStr">
        <is>
          <t>Registered Nurse</t>
        </is>
      </c>
      <c r="F1135" t="inlineStr">
        <is>
          <t>4/14/2025</t>
        </is>
      </c>
      <c r="H1135" t="inlineStr">
        <is>
          <t>QN2025</t>
        </is>
      </c>
      <c r="I1135" t="inlineStr">
        <is>
          <t>QLD</t>
        </is>
      </c>
      <c r="J1135" t="inlineStr">
        <is>
          <t>Part Time</t>
        </is>
      </c>
      <c r="K1135" s="23" t="inlineStr">
        <is>
          <t>4/14/2025</t>
        </is>
      </c>
      <c r="L1135" s="23" t="inlineStr">
        <is>
          <t>4/14/2025</t>
        </is>
      </c>
      <c r="O1135" t="n">
        <v>38</v>
      </c>
    </row>
    <row r="1136">
      <c r="A1136" t="inlineStr">
        <is>
          <t>AU23568</t>
        </is>
      </c>
      <c r="C1136" t="inlineStr">
        <is>
          <t>VIC-TAS</t>
        </is>
      </c>
      <c r="D1136" t="inlineStr">
        <is>
          <t>Virtus Health</t>
        </is>
      </c>
      <c r="E1136" t="inlineStr">
        <is>
          <t>Counsellor</t>
        </is>
      </c>
      <c r="F1136" t="inlineStr">
        <is>
          <t>4/14/2025</t>
        </is>
      </c>
      <c r="H1136" t="inlineStr">
        <is>
          <t>MIVFC2021</t>
        </is>
      </c>
      <c r="I1136" t="inlineStr">
        <is>
          <t>TAS</t>
        </is>
      </c>
      <c r="J1136" t="inlineStr">
        <is>
          <t>Part Time</t>
        </is>
      </c>
      <c r="K1136" s="23" t="inlineStr">
        <is>
          <t>4/14/2025</t>
        </is>
      </c>
      <c r="L1136" s="23" t="inlineStr">
        <is>
          <t>4/14/2025</t>
        </is>
      </c>
      <c r="O1136" t="n">
        <v>22.8</v>
      </c>
    </row>
    <row r="1137">
      <c r="A1137" t="inlineStr">
        <is>
          <t>AU23570</t>
        </is>
      </c>
      <c r="C1137" t="inlineStr">
        <is>
          <t>NSW-QLD</t>
        </is>
      </c>
      <c r="D1137" t="inlineStr">
        <is>
          <t>Virtus Health</t>
        </is>
      </c>
      <c r="E1137" t="inlineStr">
        <is>
          <t>Enrolled Nurse</t>
        </is>
      </c>
      <c r="F1137" t="inlineStr">
        <is>
          <t>3/24/2025</t>
        </is>
      </c>
      <c r="H1137" t="inlineStr">
        <is>
          <t>QN2025</t>
        </is>
      </c>
      <c r="I1137" t="inlineStr">
        <is>
          <t>QLD</t>
        </is>
      </c>
      <c r="J1137" t="inlineStr">
        <is>
          <t>Casual</t>
        </is>
      </c>
      <c r="K1137" s="23" t="inlineStr">
        <is>
          <t>3/24/2025</t>
        </is>
      </c>
      <c r="L1137" s="23" t="inlineStr">
        <is>
          <t>3/24/2025</t>
        </is>
      </c>
      <c r="O1137" t="n">
        <v>16</v>
      </c>
    </row>
    <row r="1138">
      <c r="A1138" t="inlineStr">
        <is>
          <t>AU23571</t>
        </is>
      </c>
      <c r="C1138" t="inlineStr">
        <is>
          <t>NSW-QLD</t>
        </is>
      </c>
      <c r="D1138" t="inlineStr">
        <is>
          <t>Virtus Health</t>
        </is>
      </c>
      <c r="E1138" t="inlineStr">
        <is>
          <t>Genetics Scientist</t>
        </is>
      </c>
      <c r="F1138" t="inlineStr">
        <is>
          <t>3/24/2025</t>
        </is>
      </c>
      <c r="H1138" t="inlineStr">
        <is>
          <t>QS2024</t>
        </is>
      </c>
      <c r="I1138" t="inlineStr">
        <is>
          <t>QLD</t>
        </is>
      </c>
      <c r="J1138" t="inlineStr">
        <is>
          <t>Part Time</t>
        </is>
      </c>
      <c r="K1138" s="23" t="inlineStr">
        <is>
          <t>3/24/2025</t>
        </is>
      </c>
      <c r="L1138" s="23" t="inlineStr">
        <is>
          <t>3/24/2025</t>
        </is>
      </c>
      <c r="O1138" t="n">
        <v>32</v>
      </c>
    </row>
    <row r="1139">
      <c r="A1139" t="inlineStr">
        <is>
          <t>AU23572</t>
        </is>
      </c>
      <c r="C1139" t="inlineStr">
        <is>
          <t>VIC-TAS</t>
        </is>
      </c>
      <c r="D1139" t="inlineStr">
        <is>
          <t>Virtus Health</t>
        </is>
      </c>
      <c r="E1139" t="inlineStr">
        <is>
          <t>Managing Director VIC TAS</t>
        </is>
      </c>
      <c r="F1139" t="inlineStr">
        <is>
          <t>2/17/2025</t>
        </is>
      </c>
      <c r="H1139" t="inlineStr">
        <is>
          <t>VIC</t>
        </is>
      </c>
      <c r="I1139" t="inlineStr">
        <is>
          <t>VIC</t>
        </is>
      </c>
      <c r="J1139" t="inlineStr">
        <is>
          <t>Full Time</t>
        </is>
      </c>
      <c r="K1139" s="23" t="inlineStr">
        <is>
          <t>2/17/2025</t>
        </is>
      </c>
      <c r="L1139" s="23" t="inlineStr">
        <is>
          <t>2/17/2025</t>
        </is>
      </c>
      <c r="O1139" t="n">
        <v>38</v>
      </c>
    </row>
    <row r="1140">
      <c r="A1140" t="inlineStr">
        <is>
          <t>AU23573</t>
        </is>
      </c>
      <c r="C1140" t="inlineStr">
        <is>
          <t>NSW-QLD</t>
        </is>
      </c>
      <c r="D1140" t="inlineStr">
        <is>
          <t>Virtus Health</t>
        </is>
      </c>
      <c r="E1140" t="inlineStr">
        <is>
          <t>Registered Nurse</t>
        </is>
      </c>
      <c r="F1140" t="inlineStr">
        <is>
          <t>3/17/2025</t>
        </is>
      </c>
      <c r="H1140" t="inlineStr">
        <is>
          <t>QN2025</t>
        </is>
      </c>
      <c r="I1140" t="inlineStr">
        <is>
          <t>QLD</t>
        </is>
      </c>
      <c r="J1140" t="inlineStr">
        <is>
          <t>Casual</t>
        </is>
      </c>
      <c r="K1140" s="23" t="inlineStr">
        <is>
          <t>3/17/2025</t>
        </is>
      </c>
      <c r="L1140" s="23" t="inlineStr">
        <is>
          <t>3/17/2025</t>
        </is>
      </c>
      <c r="O1140" t="n">
        <v>38</v>
      </c>
    </row>
    <row r="1141">
      <c r="A1141" t="inlineStr">
        <is>
          <t>AU23574</t>
        </is>
      </c>
      <c r="C1141" t="inlineStr">
        <is>
          <t>NSW-QLD</t>
        </is>
      </c>
      <c r="D1141" t="inlineStr">
        <is>
          <t>Virtus Health</t>
        </is>
      </c>
      <c r="E1141" t="inlineStr">
        <is>
          <t>Assistant in Nursing</t>
        </is>
      </c>
      <c r="F1141" t="inlineStr">
        <is>
          <t>3/14/2025</t>
        </is>
      </c>
      <c r="H1141" t="inlineStr">
        <is>
          <t>QN2025</t>
        </is>
      </c>
      <c r="I1141" t="inlineStr">
        <is>
          <t>QLD</t>
        </is>
      </c>
      <c r="J1141" t="inlineStr">
        <is>
          <t>Casual</t>
        </is>
      </c>
      <c r="K1141" s="23" t="inlineStr">
        <is>
          <t>3/14/2025</t>
        </is>
      </c>
      <c r="L1141" s="23" t="inlineStr">
        <is>
          <t>3/14/2025</t>
        </is>
      </c>
      <c r="O1141" t="n">
        <v>38</v>
      </c>
    </row>
    <row r="1142">
      <c r="A1142" t="inlineStr">
        <is>
          <t>AU23575</t>
        </is>
      </c>
      <c r="B1142" s="1" t="n"/>
      <c r="C1142" t="inlineStr">
        <is>
          <t>NSW-QLD</t>
        </is>
      </c>
      <c r="D1142" t="inlineStr">
        <is>
          <t>Virtus Health</t>
        </is>
      </c>
      <c r="E1142" t="inlineStr">
        <is>
          <t>Nurse Coordinator</t>
        </is>
      </c>
      <c r="F1142" s="1" t="n">
        <v>45964</v>
      </c>
      <c r="H1142" t="inlineStr">
        <is>
          <t>IVFN2021</t>
        </is>
      </c>
      <c r="I1142" t="inlineStr">
        <is>
          <t>NSW</t>
        </is>
      </c>
      <c r="J1142" t="inlineStr">
        <is>
          <t>Full Time</t>
        </is>
      </c>
      <c r="K1142" s="23" t="n">
        <v>45964</v>
      </c>
      <c r="L1142" s="23" t="n">
        <v>45964</v>
      </c>
      <c r="O1142" t="n">
        <v>38</v>
      </c>
    </row>
    <row r="1143">
      <c r="A1143" t="inlineStr">
        <is>
          <t>AU23577</t>
        </is>
      </c>
      <c r="C1143" t="inlineStr">
        <is>
          <t>NSW-QLD</t>
        </is>
      </c>
      <c r="D1143" t="inlineStr">
        <is>
          <t>Virtus Health</t>
        </is>
      </c>
      <c r="E1143" t="inlineStr">
        <is>
          <t>P2P Process Improvement Lead</t>
        </is>
      </c>
      <c r="F1143" t="inlineStr">
        <is>
          <t>3/26/2025</t>
        </is>
      </c>
      <c r="H1143" t="inlineStr">
        <is>
          <t>NSW</t>
        </is>
      </c>
      <c r="I1143" t="inlineStr">
        <is>
          <t>NSW</t>
        </is>
      </c>
      <c r="J1143" t="inlineStr">
        <is>
          <t>Part Time</t>
        </is>
      </c>
      <c r="K1143" s="23" t="inlineStr">
        <is>
          <t>3/26/2025</t>
        </is>
      </c>
      <c r="L1143" s="23" t="inlineStr">
        <is>
          <t>3/26/2025</t>
        </is>
      </c>
      <c r="O1143" t="n">
        <v>33.25</v>
      </c>
    </row>
    <row r="1144">
      <c r="A1144" t="inlineStr">
        <is>
          <t>AU23578</t>
        </is>
      </c>
      <c r="C1144" t="inlineStr">
        <is>
          <t>NSW-QLD</t>
        </is>
      </c>
      <c r="D1144" t="inlineStr">
        <is>
          <t>Virtus Health</t>
        </is>
      </c>
      <c r="E1144" t="inlineStr">
        <is>
          <t>Receptionist</t>
        </is>
      </c>
      <c r="F1144" t="inlineStr">
        <is>
          <t>4/14/2025</t>
        </is>
      </c>
      <c r="H1144" t="inlineStr">
        <is>
          <t>IVFS2023</t>
        </is>
      </c>
      <c r="I1144" t="inlineStr">
        <is>
          <t>QLD</t>
        </is>
      </c>
      <c r="J1144" t="inlineStr">
        <is>
          <t>Part Time</t>
        </is>
      </c>
      <c r="K1144" s="23" t="inlineStr">
        <is>
          <t>4/14/2025</t>
        </is>
      </c>
      <c r="L1144" s="23" t="inlineStr">
        <is>
          <t>4/14/2025</t>
        </is>
      </c>
      <c r="O1144" t="n">
        <v>38</v>
      </c>
    </row>
    <row r="1145">
      <c r="A1145" t="inlineStr">
        <is>
          <t>AU23580</t>
        </is>
      </c>
      <c r="C1145" t="inlineStr">
        <is>
          <t>VIC-TAS</t>
        </is>
      </c>
      <c r="D1145" t="inlineStr">
        <is>
          <t>Virtus Health</t>
        </is>
      </c>
      <c r="E1145" t="inlineStr">
        <is>
          <t>Registered Nurse</t>
        </is>
      </c>
      <c r="F1145" t="inlineStr">
        <is>
          <t>3/31/2025</t>
        </is>
      </c>
      <c r="H1145" t="inlineStr">
        <is>
          <t>MIVFN2023</t>
        </is>
      </c>
      <c r="I1145" t="inlineStr">
        <is>
          <t>VIC</t>
        </is>
      </c>
      <c r="J1145" t="inlineStr">
        <is>
          <t>Part Time</t>
        </is>
      </c>
      <c r="K1145" s="23" t="inlineStr">
        <is>
          <t>3/31/2025</t>
        </is>
      </c>
      <c r="L1145" s="23" t="inlineStr">
        <is>
          <t>3/31/2025</t>
        </is>
      </c>
      <c r="O1145" t="n">
        <v>30.4</v>
      </c>
    </row>
    <row r="1146">
      <c r="A1146" t="inlineStr">
        <is>
          <t>AU23581</t>
        </is>
      </c>
      <c r="C1146" t="inlineStr">
        <is>
          <t>NSW-QLD</t>
        </is>
      </c>
      <c r="D1146" t="inlineStr">
        <is>
          <t>Virtus Health</t>
        </is>
      </c>
      <c r="E1146" t="inlineStr">
        <is>
          <t>Administration</t>
        </is>
      </c>
      <c r="F1146" t="inlineStr">
        <is>
          <t>3/24/2025</t>
        </is>
      </c>
      <c r="H1146" t="inlineStr">
        <is>
          <t>IVFS2023</t>
        </is>
      </c>
      <c r="I1146" t="inlineStr">
        <is>
          <t>QLD</t>
        </is>
      </c>
      <c r="J1146" t="inlineStr">
        <is>
          <t>Full Time</t>
        </is>
      </c>
      <c r="K1146" s="23" t="inlineStr">
        <is>
          <t>3/24/2025</t>
        </is>
      </c>
      <c r="L1146" s="23" t="inlineStr">
        <is>
          <t>3/24/2025</t>
        </is>
      </c>
      <c r="O1146" t="n">
        <v>38</v>
      </c>
    </row>
    <row r="1147">
      <c r="A1147" t="inlineStr">
        <is>
          <t>AU23582</t>
        </is>
      </c>
      <c r="C1147" t="inlineStr">
        <is>
          <t>VIC-TAS</t>
        </is>
      </c>
      <c r="D1147" t="inlineStr">
        <is>
          <t>Virtus Health</t>
        </is>
      </c>
      <c r="E1147" t="inlineStr">
        <is>
          <t>Patient Care Co-ordinator</t>
        </is>
      </c>
      <c r="F1147" t="inlineStr">
        <is>
          <t>3/24/2025</t>
        </is>
      </c>
      <c r="H1147" t="inlineStr">
        <is>
          <t>MIVFS2022</t>
        </is>
      </c>
      <c r="I1147" t="inlineStr">
        <is>
          <t>VIC</t>
        </is>
      </c>
      <c r="J1147" t="inlineStr">
        <is>
          <t>Full Time</t>
        </is>
      </c>
      <c r="K1147" s="23" t="inlineStr">
        <is>
          <t>3/24/2025</t>
        </is>
      </c>
      <c r="L1147" s="23" t="inlineStr">
        <is>
          <t>3/24/2025</t>
        </is>
      </c>
      <c r="O1147" t="n">
        <v>38</v>
      </c>
    </row>
    <row r="1148">
      <c r="A1148" t="inlineStr">
        <is>
          <t>AU23583</t>
        </is>
      </c>
      <c r="B1148" s="1" t="n"/>
      <c r="C1148" t="inlineStr">
        <is>
          <t>NSW-QLD</t>
        </is>
      </c>
      <c r="D1148" t="inlineStr">
        <is>
          <t>Virtus Health</t>
        </is>
      </c>
      <c r="E1148" t="inlineStr">
        <is>
          <t>Clinical Nurse Specialist</t>
        </is>
      </c>
      <c r="F1148" s="1" t="n">
        <v>45842</v>
      </c>
      <c r="H1148" t="inlineStr">
        <is>
          <t>QN2025</t>
        </is>
      </c>
      <c r="I1148" t="inlineStr">
        <is>
          <t>QLD</t>
        </is>
      </c>
      <c r="J1148" t="inlineStr">
        <is>
          <t>Part Time</t>
        </is>
      </c>
      <c r="K1148" s="23" t="n">
        <v>45842</v>
      </c>
      <c r="L1148" s="23" t="n">
        <v>45842</v>
      </c>
      <c r="O1148" t="n">
        <v>19</v>
      </c>
    </row>
    <row r="1149">
      <c r="A1149" t="inlineStr">
        <is>
          <t>AU23585</t>
        </is>
      </c>
      <c r="C1149" t="inlineStr">
        <is>
          <t>NSW-QLD</t>
        </is>
      </c>
      <c r="D1149" t="inlineStr">
        <is>
          <t>Virtus Health</t>
        </is>
      </c>
      <c r="E1149" t="inlineStr">
        <is>
          <t>Analytics and Insight Manager</t>
        </is>
      </c>
      <c r="F1149" t="inlineStr">
        <is>
          <t>4/29/2025</t>
        </is>
      </c>
      <c r="H1149" t="inlineStr">
        <is>
          <t>NSW</t>
        </is>
      </c>
      <c r="I1149" t="inlineStr">
        <is>
          <t>NSW</t>
        </is>
      </c>
      <c r="J1149" t="inlineStr">
        <is>
          <t>Full Time</t>
        </is>
      </c>
      <c r="K1149" s="23" t="inlineStr">
        <is>
          <t>4/29/2025</t>
        </is>
      </c>
      <c r="L1149" s="23" t="inlineStr">
        <is>
          <t>4/29/2025</t>
        </is>
      </c>
      <c r="O1149" t="n">
        <v>38</v>
      </c>
    </row>
    <row r="1150">
      <c r="A1150" t="inlineStr">
        <is>
          <t>AU23586</t>
        </is>
      </c>
      <c r="B1150" s="1" t="n"/>
      <c r="C1150" t="inlineStr">
        <is>
          <t>NSW-QLD</t>
        </is>
      </c>
      <c r="D1150" t="inlineStr">
        <is>
          <t>Virtus Health</t>
        </is>
      </c>
      <c r="E1150" t="inlineStr">
        <is>
          <t>Registered Nurse</t>
        </is>
      </c>
      <c r="F1150" s="1" t="n">
        <v>45842</v>
      </c>
      <c r="H1150" t="inlineStr">
        <is>
          <t>QN2025</t>
        </is>
      </c>
      <c r="I1150" t="inlineStr">
        <is>
          <t>QLD</t>
        </is>
      </c>
      <c r="J1150" t="inlineStr">
        <is>
          <t>Part Time</t>
        </is>
      </c>
      <c r="K1150" s="23" t="n">
        <v>45842</v>
      </c>
      <c r="L1150" s="23" t="n">
        <v>45842</v>
      </c>
      <c r="O1150" t="n">
        <v>38</v>
      </c>
    </row>
    <row r="1151">
      <c r="A1151" t="inlineStr">
        <is>
          <t>AU23588</t>
        </is>
      </c>
      <c r="C1151" t="inlineStr">
        <is>
          <t>VIC-TAS</t>
        </is>
      </c>
      <c r="D1151" t="inlineStr">
        <is>
          <t>Virtus Health</t>
        </is>
      </c>
      <c r="E1151" t="inlineStr">
        <is>
          <t>Phlebotomist</t>
        </is>
      </c>
      <c r="F1151" t="inlineStr">
        <is>
          <t>3/24/2025</t>
        </is>
      </c>
      <c r="H1151" t="inlineStr">
        <is>
          <t>IVFS2023</t>
        </is>
      </c>
      <c r="I1151" t="inlineStr">
        <is>
          <t>VIC</t>
        </is>
      </c>
      <c r="J1151" t="inlineStr">
        <is>
          <t>Casual</t>
        </is>
      </c>
      <c r="K1151" s="23" t="inlineStr">
        <is>
          <t>3/24/2025</t>
        </is>
      </c>
      <c r="L1151" s="23" t="inlineStr">
        <is>
          <t>3/24/2025</t>
        </is>
      </c>
      <c r="O1151" t="n">
        <v>38</v>
      </c>
    </row>
    <row r="1152">
      <c r="A1152" t="inlineStr">
        <is>
          <t>AU23589</t>
        </is>
      </c>
      <c r="B1152" s="1" t="n"/>
      <c r="C1152" t="inlineStr">
        <is>
          <t>NSW-QLD</t>
        </is>
      </c>
      <c r="D1152" t="inlineStr">
        <is>
          <t>Virtus Health</t>
        </is>
      </c>
      <c r="E1152" t="inlineStr">
        <is>
          <t>Reception</t>
        </is>
      </c>
      <c r="F1152" s="1" t="n">
        <v>45781</v>
      </c>
      <c r="H1152" t="inlineStr">
        <is>
          <t>IVFS2023</t>
        </is>
      </c>
      <c r="I1152" t="inlineStr">
        <is>
          <t>NSW</t>
        </is>
      </c>
      <c r="J1152" t="inlineStr">
        <is>
          <t>Casual</t>
        </is>
      </c>
      <c r="K1152" s="23" t="n">
        <v>45781</v>
      </c>
      <c r="L1152" s="23" t="n">
        <v>45781</v>
      </c>
      <c r="O1152" t="n">
        <v>38</v>
      </c>
    </row>
    <row r="1153">
      <c r="A1153" t="inlineStr">
        <is>
          <t>AU23590</t>
        </is>
      </c>
      <c r="B1153" s="1" t="n"/>
      <c r="C1153" t="inlineStr">
        <is>
          <t>NSW-QLD</t>
        </is>
      </c>
      <c r="D1153" t="inlineStr">
        <is>
          <t>Virtus Health</t>
        </is>
      </c>
      <c r="E1153" t="inlineStr">
        <is>
          <t xml:space="preserve"> Embryologist</t>
        </is>
      </c>
      <c r="F1153" s="1" t="n">
        <v>45782</v>
      </c>
      <c r="H1153" t="inlineStr">
        <is>
          <t>IVFT2024</t>
        </is>
      </c>
      <c r="I1153" t="inlineStr">
        <is>
          <t>NSW</t>
        </is>
      </c>
      <c r="J1153" t="inlineStr">
        <is>
          <t>Full Time</t>
        </is>
      </c>
      <c r="K1153" s="23" t="n">
        <v>45782</v>
      </c>
      <c r="L1153" s="23" t="n">
        <v>45782</v>
      </c>
      <c r="O1153" t="n">
        <v>19</v>
      </c>
    </row>
    <row r="1154">
      <c r="A1154" t="inlineStr">
        <is>
          <t>AU23591</t>
        </is>
      </c>
      <c r="C1154" t="inlineStr">
        <is>
          <t>VIC-TAS</t>
        </is>
      </c>
      <c r="D1154" t="inlineStr">
        <is>
          <t>Virtus Health</t>
        </is>
      </c>
      <c r="E1154" t="inlineStr">
        <is>
          <t>Registered Nurse</t>
        </is>
      </c>
      <c r="F1154" t="inlineStr">
        <is>
          <t>3/31/2025</t>
        </is>
      </c>
      <c r="H1154" t="inlineStr">
        <is>
          <t>MIVFN2023</t>
        </is>
      </c>
      <c r="I1154" t="inlineStr">
        <is>
          <t>VIC</t>
        </is>
      </c>
      <c r="J1154" t="inlineStr">
        <is>
          <t>Full Time</t>
        </is>
      </c>
      <c r="K1154" s="23" t="inlineStr">
        <is>
          <t>3/31/2025</t>
        </is>
      </c>
      <c r="L1154" s="23" t="inlineStr">
        <is>
          <t>3/31/2025</t>
        </is>
      </c>
      <c r="O1154" t="n">
        <v>38</v>
      </c>
    </row>
    <row r="1155">
      <c r="A1155" t="inlineStr">
        <is>
          <t>AU23592</t>
        </is>
      </c>
      <c r="B1155" s="1" t="n"/>
      <c r="C1155" t="inlineStr">
        <is>
          <t>NSW-QLD</t>
        </is>
      </c>
      <c r="D1155" t="inlineStr">
        <is>
          <t>Virtus Health</t>
        </is>
      </c>
      <c r="E1155" t="inlineStr">
        <is>
          <t>Theatre Orderly</t>
        </is>
      </c>
      <c r="F1155" s="1" t="n">
        <v>45842</v>
      </c>
      <c r="H1155" t="inlineStr">
        <is>
          <t>IVFS2023</t>
        </is>
      </c>
      <c r="I1155" t="inlineStr">
        <is>
          <t>QLD</t>
        </is>
      </c>
      <c r="J1155" t="inlineStr">
        <is>
          <t>Casual</t>
        </is>
      </c>
      <c r="K1155" s="23" t="n">
        <v>45842</v>
      </c>
      <c r="L1155" s="23" t="n">
        <v>45842</v>
      </c>
      <c r="O1155" t="n">
        <v>15</v>
      </c>
    </row>
    <row r="1156">
      <c r="A1156" t="inlineStr">
        <is>
          <t>AU23593</t>
        </is>
      </c>
      <c r="B1156" s="1" t="n"/>
      <c r="C1156" t="inlineStr">
        <is>
          <t>NSW-QLD</t>
        </is>
      </c>
      <c r="D1156" t="inlineStr">
        <is>
          <t>Virtus Health</t>
        </is>
      </c>
      <c r="E1156" t="inlineStr">
        <is>
          <t>Registered Nurse</t>
        </is>
      </c>
      <c r="F1156" s="1" t="n">
        <v>45842</v>
      </c>
      <c r="H1156" t="inlineStr">
        <is>
          <t>QN2025</t>
        </is>
      </c>
      <c r="I1156" t="inlineStr">
        <is>
          <t>QLD</t>
        </is>
      </c>
      <c r="J1156" t="inlineStr">
        <is>
          <t>Casual</t>
        </is>
      </c>
      <c r="K1156" s="23" t="n">
        <v>45842</v>
      </c>
      <c r="L1156" s="23" t="n">
        <v>45842</v>
      </c>
      <c r="O1156" t="n">
        <v>7.6</v>
      </c>
    </row>
    <row r="1157">
      <c r="A1157" t="inlineStr">
        <is>
          <t>AU23594</t>
        </is>
      </c>
      <c r="B1157" s="1" t="n"/>
      <c r="C1157" t="inlineStr">
        <is>
          <t>NSW-QLD</t>
        </is>
      </c>
      <c r="D1157" t="inlineStr">
        <is>
          <t>Virtus Health</t>
        </is>
      </c>
      <c r="E1157" t="inlineStr">
        <is>
          <t>Assistant in Nursing</t>
        </is>
      </c>
      <c r="F1157" s="1" t="n">
        <v>45873</v>
      </c>
      <c r="H1157" t="inlineStr">
        <is>
          <t>IVFN2021</t>
        </is>
      </c>
      <c r="I1157" t="inlineStr">
        <is>
          <t>NSW</t>
        </is>
      </c>
      <c r="J1157" t="inlineStr">
        <is>
          <t>Full Time</t>
        </is>
      </c>
      <c r="K1157" s="23" t="n">
        <v>45873</v>
      </c>
      <c r="L1157" s="23" t="n">
        <v>45873</v>
      </c>
      <c r="O1157" t="n">
        <v>16</v>
      </c>
    </row>
    <row r="1158">
      <c r="A1158" t="inlineStr">
        <is>
          <t>AU23595</t>
        </is>
      </c>
      <c r="C1158" t="inlineStr">
        <is>
          <t>VIC-TAS</t>
        </is>
      </c>
      <c r="D1158" t="inlineStr">
        <is>
          <t>Virtus Health</t>
        </is>
      </c>
      <c r="E1158" t="inlineStr">
        <is>
          <t>Phlebotomist</t>
        </is>
      </c>
      <c r="F1158" t="inlineStr">
        <is>
          <t>3/24/2025</t>
        </is>
      </c>
      <c r="H1158" t="inlineStr">
        <is>
          <t>IVFS2023</t>
        </is>
      </c>
      <c r="I1158" t="inlineStr">
        <is>
          <t>VIC</t>
        </is>
      </c>
      <c r="J1158" t="inlineStr">
        <is>
          <t>Casual</t>
        </is>
      </c>
      <c r="K1158" s="23" t="inlineStr">
        <is>
          <t>3/24/2025</t>
        </is>
      </c>
      <c r="L1158" s="23" t="inlineStr">
        <is>
          <t>3/24/2025</t>
        </is>
      </c>
      <c r="O1158" t="n">
        <v>38</v>
      </c>
    </row>
    <row r="1159">
      <c r="A1159" t="inlineStr">
        <is>
          <t>AU23596</t>
        </is>
      </c>
      <c r="B1159" s="1" t="n"/>
      <c r="C1159" t="inlineStr">
        <is>
          <t>VIC-TAS</t>
        </is>
      </c>
      <c r="D1159" t="inlineStr">
        <is>
          <t>Virtus Health</t>
        </is>
      </c>
      <c r="E1159" t="inlineStr">
        <is>
          <t>Registered Nurse</t>
        </is>
      </c>
      <c r="F1159" s="1" t="n">
        <v>45842</v>
      </c>
      <c r="H1159" t="inlineStr">
        <is>
          <t>MIVFN2023</t>
        </is>
      </c>
      <c r="I1159" t="inlineStr">
        <is>
          <t>VIC</t>
        </is>
      </c>
      <c r="J1159" t="inlineStr">
        <is>
          <t>Full Time</t>
        </is>
      </c>
      <c r="K1159" s="23" t="n">
        <v>45842</v>
      </c>
      <c r="L1159" s="23" t="n">
        <v>45842</v>
      </c>
      <c r="O1159" t="n">
        <v>38</v>
      </c>
    </row>
    <row r="1160">
      <c r="A1160" t="inlineStr">
        <is>
          <t>AU23597</t>
        </is>
      </c>
      <c r="B1160" s="1" t="n"/>
      <c r="C1160" t="inlineStr">
        <is>
          <t>NSW-QLD</t>
        </is>
      </c>
      <c r="D1160" t="inlineStr">
        <is>
          <t>Virtus Health</t>
        </is>
      </c>
      <c r="E1160" t="inlineStr">
        <is>
          <t>Genetic Scientist</t>
        </is>
      </c>
      <c r="F1160" s="1" t="n">
        <v>45842</v>
      </c>
      <c r="H1160" t="inlineStr">
        <is>
          <t>QS2024</t>
        </is>
      </c>
      <c r="I1160" t="inlineStr">
        <is>
          <t>QLD</t>
        </is>
      </c>
      <c r="J1160" t="inlineStr">
        <is>
          <t>Casual</t>
        </is>
      </c>
      <c r="K1160" s="23" t="n">
        <v>45842</v>
      </c>
      <c r="L1160" s="23" t="n">
        <v>45842</v>
      </c>
      <c r="O1160" t="n">
        <v>38</v>
      </c>
    </row>
    <row r="1161">
      <c r="A1161" t="inlineStr">
        <is>
          <t>AU23598</t>
        </is>
      </c>
      <c r="B1161" s="1" t="n"/>
      <c r="C1161" t="inlineStr">
        <is>
          <t>NSW-QLD</t>
        </is>
      </c>
      <c r="D1161" t="inlineStr">
        <is>
          <t>Virtus Health</t>
        </is>
      </c>
      <c r="E1161" t="inlineStr">
        <is>
          <t>Andrologist</t>
        </is>
      </c>
      <c r="F1161" s="1" t="n">
        <v>45996</v>
      </c>
      <c r="H1161" t="inlineStr">
        <is>
          <t>IVFT2024</t>
        </is>
      </c>
      <c r="I1161" t="inlineStr">
        <is>
          <t>NSW</t>
        </is>
      </c>
      <c r="J1161" t="inlineStr">
        <is>
          <t>Full Time</t>
        </is>
      </c>
      <c r="K1161" s="23" t="n">
        <v>45996</v>
      </c>
      <c r="L1161" s="23" t="n">
        <v>45996</v>
      </c>
      <c r="O1161" t="n">
        <v>22.8</v>
      </c>
    </row>
    <row r="1162">
      <c r="A1162" t="inlineStr">
        <is>
          <t>AU23599</t>
        </is>
      </c>
      <c r="C1162" t="inlineStr">
        <is>
          <t>NSW-QLD</t>
        </is>
      </c>
      <c r="D1162" t="inlineStr">
        <is>
          <t>Virtus Health</t>
        </is>
      </c>
      <c r="E1162" t="inlineStr">
        <is>
          <t>Scientific Officer</t>
        </is>
      </c>
      <c r="F1162" t="inlineStr">
        <is>
          <t>4/14/2025</t>
        </is>
      </c>
      <c r="H1162" t="inlineStr">
        <is>
          <t>IVFT2024</t>
        </is>
      </c>
      <c r="I1162" t="inlineStr">
        <is>
          <t>NSW</t>
        </is>
      </c>
      <c r="J1162" t="inlineStr">
        <is>
          <t>Full Time</t>
        </is>
      </c>
      <c r="K1162" s="23" t="inlineStr">
        <is>
          <t>4/14/2025</t>
        </is>
      </c>
      <c r="L1162" s="23" t="inlineStr">
        <is>
          <t>4/14/2025</t>
        </is>
      </c>
      <c r="O1162" t="n">
        <v>22.8</v>
      </c>
    </row>
    <row r="1163">
      <c r="A1163" t="inlineStr">
        <is>
          <t>AU23600</t>
        </is>
      </c>
      <c r="C1163" t="inlineStr">
        <is>
          <t>NSW-QLD</t>
        </is>
      </c>
      <c r="D1163" t="inlineStr">
        <is>
          <t>Virtus Health</t>
        </is>
      </c>
      <c r="E1163" t="inlineStr">
        <is>
          <t>Embryologist</t>
        </is>
      </c>
      <c r="F1163" t="inlineStr">
        <is>
          <t>4/21/2025</t>
        </is>
      </c>
      <c r="H1163" t="inlineStr">
        <is>
          <t>IVFT2024</t>
        </is>
      </c>
      <c r="I1163" t="inlineStr">
        <is>
          <t>NSW</t>
        </is>
      </c>
      <c r="J1163" t="inlineStr">
        <is>
          <t>Full Time</t>
        </is>
      </c>
      <c r="K1163" s="23" t="inlineStr">
        <is>
          <t>4/21/2025</t>
        </is>
      </c>
      <c r="L1163" s="23" t="inlineStr">
        <is>
          <t>4/21/2025</t>
        </is>
      </c>
      <c r="O1163" t="n">
        <v>38</v>
      </c>
    </row>
    <row r="1164">
      <c r="A1164" t="inlineStr">
        <is>
          <t>AU23602</t>
        </is>
      </c>
      <c r="C1164" t="inlineStr">
        <is>
          <t>NSW-QLD</t>
        </is>
      </c>
      <c r="D1164" t="inlineStr">
        <is>
          <t>Virtus Health</t>
        </is>
      </c>
      <c r="E1164" t="inlineStr">
        <is>
          <t>Senior People and Culture Business Partner</t>
        </is>
      </c>
      <c r="F1164" t="inlineStr">
        <is>
          <t>4/14/2025</t>
        </is>
      </c>
      <c r="H1164" t="inlineStr">
        <is>
          <t>NSW</t>
        </is>
      </c>
      <c r="I1164" t="inlineStr">
        <is>
          <t>NSW</t>
        </is>
      </c>
      <c r="J1164" t="inlineStr">
        <is>
          <t>Full Time</t>
        </is>
      </c>
      <c r="K1164" s="23" t="inlineStr">
        <is>
          <t>4/14/2025</t>
        </is>
      </c>
      <c r="L1164" s="23" t="inlineStr">
        <is>
          <t>4/14/2025</t>
        </is>
      </c>
      <c r="O1164" t="n">
        <v>38</v>
      </c>
    </row>
    <row r="1165">
      <c r="A1165" t="inlineStr">
        <is>
          <t>AU23604</t>
        </is>
      </c>
      <c r="B1165" s="1" t="n"/>
      <c r="C1165" t="inlineStr">
        <is>
          <t>NSW-QLD</t>
        </is>
      </c>
      <c r="D1165" t="inlineStr">
        <is>
          <t>Virtus Health</t>
        </is>
      </c>
      <c r="E1165" t="inlineStr">
        <is>
          <t>CSSD Tech</t>
        </is>
      </c>
      <c r="F1165" s="1" t="n">
        <v>45965</v>
      </c>
      <c r="H1165" t="inlineStr">
        <is>
          <t>IVFS2023</t>
        </is>
      </c>
      <c r="I1165" t="inlineStr">
        <is>
          <t>QLD</t>
        </is>
      </c>
      <c r="J1165" t="inlineStr">
        <is>
          <t>Part Time</t>
        </is>
      </c>
      <c r="K1165" s="23" t="n">
        <v>45965</v>
      </c>
      <c r="L1165" s="23" t="n">
        <v>45965</v>
      </c>
      <c r="O1165" t="n">
        <v>7</v>
      </c>
    </row>
    <row r="1166">
      <c r="A1166" t="inlineStr">
        <is>
          <t>AU23606</t>
        </is>
      </c>
      <c r="C1166" t="inlineStr">
        <is>
          <t>NSW-QLD</t>
        </is>
      </c>
      <c r="D1166" t="inlineStr">
        <is>
          <t>Virtus Health</t>
        </is>
      </c>
      <c r="E1166" t="inlineStr">
        <is>
          <t>Theatre Orderly</t>
        </is>
      </c>
      <c r="F1166" t="inlineStr">
        <is>
          <t>4/14/2025</t>
        </is>
      </c>
      <c r="H1166" t="inlineStr">
        <is>
          <t>IVFS2023</t>
        </is>
      </c>
      <c r="I1166" t="inlineStr">
        <is>
          <t>NSW</t>
        </is>
      </c>
      <c r="J1166" t="inlineStr">
        <is>
          <t>Casual</t>
        </is>
      </c>
      <c r="K1166" s="23" t="inlineStr">
        <is>
          <t>4/14/2025</t>
        </is>
      </c>
      <c r="L1166" s="23" t="inlineStr">
        <is>
          <t>4/14/2025</t>
        </is>
      </c>
      <c r="O1166" t="n">
        <v>15.2</v>
      </c>
    </row>
    <row r="1167">
      <c r="A1167" t="inlineStr">
        <is>
          <t>AU23607</t>
        </is>
      </c>
      <c r="B1167" s="1" t="n"/>
      <c r="C1167" t="inlineStr">
        <is>
          <t>NSW-QLD</t>
        </is>
      </c>
      <c r="D1167" t="inlineStr">
        <is>
          <t>Virtus Health</t>
        </is>
      </c>
      <c r="E1167" t="inlineStr">
        <is>
          <t>Registered Nurse</t>
        </is>
      </c>
      <c r="F1167" s="1" t="n">
        <v>45782</v>
      </c>
      <c r="H1167" t="inlineStr">
        <is>
          <t>IVFN2021</t>
        </is>
      </c>
      <c r="I1167" t="inlineStr">
        <is>
          <t>ACT</t>
        </is>
      </c>
      <c r="J1167" t="inlineStr">
        <is>
          <t>Casual</t>
        </is>
      </c>
      <c r="K1167" s="23" t="n">
        <v>45782</v>
      </c>
      <c r="L1167" s="23" t="n">
        <v>45782</v>
      </c>
      <c r="O1167" t="n">
        <v>38</v>
      </c>
    </row>
    <row r="1168">
      <c r="A1168" t="inlineStr">
        <is>
          <t>AU23608</t>
        </is>
      </c>
      <c r="B1168" s="1" t="n"/>
      <c r="C1168" t="inlineStr">
        <is>
          <t>NSW-QLD</t>
        </is>
      </c>
      <c r="D1168" t="inlineStr">
        <is>
          <t>Virtus Health</t>
        </is>
      </c>
      <c r="E1168" t="inlineStr">
        <is>
          <t>Genetic Laboratory Assistant</t>
        </is>
      </c>
      <c r="F1168" s="1" t="n">
        <v>45842</v>
      </c>
      <c r="H1168" t="inlineStr">
        <is>
          <t>QS2024</t>
        </is>
      </c>
      <c r="I1168" t="inlineStr">
        <is>
          <t>QLD</t>
        </is>
      </c>
      <c r="J1168" t="inlineStr">
        <is>
          <t>Full Time</t>
        </is>
      </c>
      <c r="K1168" s="23" t="n">
        <v>45842</v>
      </c>
      <c r="L1168" s="23" t="n">
        <v>45842</v>
      </c>
      <c r="O1168" t="n">
        <v>24</v>
      </c>
    </row>
    <row r="1169">
      <c r="A1169" t="inlineStr">
        <is>
          <t>AU23609</t>
        </is>
      </c>
      <c r="C1169" t="inlineStr">
        <is>
          <t>VIC-TAS</t>
        </is>
      </c>
      <c r="D1169" t="inlineStr">
        <is>
          <t>Virtus Health</t>
        </is>
      </c>
      <c r="E1169" t="inlineStr">
        <is>
          <t>PGT Scientist</t>
        </is>
      </c>
      <c r="F1169" t="inlineStr">
        <is>
          <t>4/28/2025</t>
        </is>
      </c>
      <c r="H1169" t="inlineStr">
        <is>
          <t>MIVFS2022</t>
        </is>
      </c>
      <c r="I1169" t="inlineStr">
        <is>
          <t>VIC</t>
        </is>
      </c>
      <c r="J1169" t="inlineStr">
        <is>
          <t>Full Time</t>
        </is>
      </c>
      <c r="K1169" s="23" t="inlineStr">
        <is>
          <t>4/28/2025</t>
        </is>
      </c>
      <c r="L1169" s="23" t="inlineStr">
        <is>
          <t>4/28/2025</t>
        </is>
      </c>
      <c r="O1169" t="n">
        <v>38</v>
      </c>
    </row>
    <row r="1170">
      <c r="A1170" t="inlineStr">
        <is>
          <t>AU23610</t>
        </is>
      </c>
      <c r="C1170" t="inlineStr">
        <is>
          <t>NSW-QLD</t>
        </is>
      </c>
      <c r="D1170" t="inlineStr">
        <is>
          <t>Virtus Health</t>
        </is>
      </c>
      <c r="E1170" t="inlineStr">
        <is>
          <t>Andrologist</t>
        </is>
      </c>
      <c r="F1170" t="inlineStr">
        <is>
          <t>4/28/2025</t>
        </is>
      </c>
      <c r="H1170" t="inlineStr">
        <is>
          <t>IVFT2024</t>
        </is>
      </c>
      <c r="I1170" t="inlineStr">
        <is>
          <t>NSW</t>
        </is>
      </c>
      <c r="J1170" t="inlineStr">
        <is>
          <t>Part Time</t>
        </is>
      </c>
      <c r="K1170" s="23" t="inlineStr">
        <is>
          <t>4/28/2025</t>
        </is>
      </c>
      <c r="L1170" s="23" t="inlineStr">
        <is>
          <t>4/28/2025</t>
        </is>
      </c>
      <c r="O1170" t="n">
        <v>22.8</v>
      </c>
    </row>
    <row r="1171">
      <c r="A1171" t="inlineStr">
        <is>
          <t>AU23611</t>
        </is>
      </c>
      <c r="C1171" t="inlineStr">
        <is>
          <t>VIC-TAS</t>
        </is>
      </c>
      <c r="D1171" t="inlineStr">
        <is>
          <t>Virtus Health</t>
        </is>
      </c>
      <c r="E1171" t="inlineStr">
        <is>
          <t>Phlebotomist</t>
        </is>
      </c>
      <c r="F1171" t="inlineStr">
        <is>
          <t>4/22/2025</t>
        </is>
      </c>
      <c r="H1171" t="inlineStr">
        <is>
          <t>IVFS2023</t>
        </is>
      </c>
      <c r="I1171" t="inlineStr">
        <is>
          <t>VIC</t>
        </is>
      </c>
      <c r="J1171" t="inlineStr">
        <is>
          <t>Part Time</t>
        </is>
      </c>
      <c r="K1171" s="23" t="inlineStr">
        <is>
          <t>4/22/2025</t>
        </is>
      </c>
      <c r="L1171" s="23" t="inlineStr">
        <is>
          <t>4/22/2025</t>
        </is>
      </c>
      <c r="O1171" t="n">
        <v>33.25</v>
      </c>
    </row>
    <row r="1172">
      <c r="A1172" t="inlineStr">
        <is>
          <t>AU23612</t>
        </is>
      </c>
      <c r="C1172" t="inlineStr">
        <is>
          <t>VIC-TAS</t>
        </is>
      </c>
      <c r="D1172" t="inlineStr">
        <is>
          <t>Virtus Health</t>
        </is>
      </c>
      <c r="E1172" t="inlineStr">
        <is>
          <t>Phlebotomist</t>
        </is>
      </c>
      <c r="F1172" t="inlineStr">
        <is>
          <t>4/22/2025</t>
        </is>
      </c>
      <c r="H1172" t="inlineStr">
        <is>
          <t>IVFS2023</t>
        </is>
      </c>
      <c r="I1172" t="inlineStr">
        <is>
          <t>VIC</t>
        </is>
      </c>
      <c r="J1172" t="inlineStr">
        <is>
          <t>Part Time</t>
        </is>
      </c>
      <c r="K1172" s="23" t="inlineStr">
        <is>
          <t>4/22/2025</t>
        </is>
      </c>
      <c r="L1172" s="23" t="inlineStr">
        <is>
          <t>4/22/2025</t>
        </is>
      </c>
      <c r="O1172" t="n">
        <v>34.2</v>
      </c>
    </row>
    <row r="1173">
      <c r="A1173" t="inlineStr">
        <is>
          <t>AU23613</t>
        </is>
      </c>
      <c r="C1173" t="inlineStr">
        <is>
          <t>NSW-QLD</t>
        </is>
      </c>
      <c r="D1173" t="inlineStr">
        <is>
          <t>Virtus Health</t>
        </is>
      </c>
      <c r="E1173" t="inlineStr">
        <is>
          <t>Genetic Scientist</t>
        </is>
      </c>
      <c r="F1173" t="inlineStr">
        <is>
          <t>4/28/2025</t>
        </is>
      </c>
      <c r="H1173" t="inlineStr">
        <is>
          <t>QS2024</t>
        </is>
      </c>
      <c r="I1173" t="inlineStr">
        <is>
          <t>QLD</t>
        </is>
      </c>
      <c r="J1173" t="inlineStr">
        <is>
          <t>Full Time</t>
        </is>
      </c>
      <c r="K1173" s="23" t="inlineStr">
        <is>
          <t>4/28/2025</t>
        </is>
      </c>
      <c r="L1173" s="23" t="inlineStr">
        <is>
          <t>4/28/2025</t>
        </is>
      </c>
      <c r="O1173" t="n">
        <v>38</v>
      </c>
    </row>
    <row r="1174">
      <c r="A1174" t="inlineStr">
        <is>
          <t>AU23614</t>
        </is>
      </c>
      <c r="C1174" t="inlineStr">
        <is>
          <t>VIC-TAS</t>
        </is>
      </c>
      <c r="D1174" t="inlineStr">
        <is>
          <t>Virtus Health</t>
        </is>
      </c>
      <c r="E1174" t="inlineStr">
        <is>
          <t>Phlebotomist</t>
        </is>
      </c>
      <c r="F1174" t="inlineStr">
        <is>
          <t>4/22/2025</t>
        </is>
      </c>
      <c r="H1174" t="inlineStr">
        <is>
          <t>IVFS2023</t>
        </is>
      </c>
      <c r="I1174" t="inlineStr">
        <is>
          <t>VIC</t>
        </is>
      </c>
      <c r="J1174" t="inlineStr">
        <is>
          <t>Part Time</t>
        </is>
      </c>
      <c r="K1174" s="23" t="inlineStr">
        <is>
          <t>4/22/2025</t>
        </is>
      </c>
      <c r="L1174" s="23" t="inlineStr">
        <is>
          <t>4/22/2025</t>
        </is>
      </c>
      <c r="O1174" t="n">
        <v>24</v>
      </c>
    </row>
    <row r="1175">
      <c r="A1175" t="inlineStr">
        <is>
          <t>AU23615</t>
        </is>
      </c>
      <c r="B1175" s="1" t="n"/>
      <c r="C1175" t="inlineStr">
        <is>
          <t>NSW-QLD</t>
        </is>
      </c>
      <c r="D1175" t="inlineStr">
        <is>
          <t>Virtus Health</t>
        </is>
      </c>
      <c r="E1175" t="inlineStr">
        <is>
          <t>Head of Shared Services</t>
        </is>
      </c>
      <c r="F1175" s="1" t="n">
        <v>45936</v>
      </c>
      <c r="H1175" t="inlineStr">
        <is>
          <t>NSW</t>
        </is>
      </c>
      <c r="I1175" t="inlineStr">
        <is>
          <t>NSW</t>
        </is>
      </c>
      <c r="J1175" t="inlineStr">
        <is>
          <t>Full Time</t>
        </is>
      </c>
      <c r="K1175" s="23" t="n">
        <v>45936</v>
      </c>
      <c r="L1175" s="23" t="n">
        <v>45936</v>
      </c>
      <c r="O1175" t="n">
        <v>24</v>
      </c>
    </row>
    <row r="1176">
      <c r="A1176" t="inlineStr">
        <is>
          <t>AU23616</t>
        </is>
      </c>
      <c r="C1176" t="inlineStr">
        <is>
          <t>NSW-QLD</t>
        </is>
      </c>
      <c r="D1176" t="inlineStr">
        <is>
          <t>Virtus Health</t>
        </is>
      </c>
      <c r="E1176" t="inlineStr">
        <is>
          <t>Registered Nurse</t>
        </is>
      </c>
      <c r="F1176" t="inlineStr">
        <is>
          <t>3/26/2025</t>
        </is>
      </c>
      <c r="H1176" t="inlineStr">
        <is>
          <t>IVFN2021</t>
        </is>
      </c>
      <c r="I1176" t="inlineStr">
        <is>
          <t>NSW</t>
        </is>
      </c>
      <c r="J1176" t="inlineStr">
        <is>
          <t>Casual</t>
        </is>
      </c>
      <c r="K1176" s="23" t="inlineStr">
        <is>
          <t>3/26/2025</t>
        </is>
      </c>
      <c r="L1176" s="23" t="inlineStr">
        <is>
          <t>3/26/2025</t>
        </is>
      </c>
      <c r="O1176" t="n">
        <v>38</v>
      </c>
    </row>
    <row r="1177">
      <c r="A1177" t="inlineStr">
        <is>
          <t>AU23618</t>
        </is>
      </c>
      <c r="C1177" t="inlineStr">
        <is>
          <t>NSW-QLD</t>
        </is>
      </c>
      <c r="D1177" t="inlineStr">
        <is>
          <t>Virtus Health</t>
        </is>
      </c>
      <c r="E1177" t="inlineStr">
        <is>
          <t>Registered Nurse</t>
        </is>
      </c>
      <c r="F1177" t="inlineStr">
        <is>
          <t>4/28/2025</t>
        </is>
      </c>
      <c r="H1177" t="inlineStr">
        <is>
          <t>QN2025</t>
        </is>
      </c>
      <c r="I1177" t="inlineStr">
        <is>
          <t>QLD</t>
        </is>
      </c>
      <c r="J1177" t="inlineStr">
        <is>
          <t>Part Time</t>
        </is>
      </c>
      <c r="K1177" s="23" t="inlineStr">
        <is>
          <t>4/28/2025</t>
        </is>
      </c>
      <c r="L1177" s="23" t="inlineStr">
        <is>
          <t>4/28/2025</t>
        </is>
      </c>
      <c r="O1177" t="n">
        <v>34.5</v>
      </c>
    </row>
    <row r="1178">
      <c r="A1178" t="inlineStr">
        <is>
          <t>AU23620</t>
        </is>
      </c>
      <c r="C1178" t="inlineStr">
        <is>
          <t>NSW-QLD</t>
        </is>
      </c>
      <c r="D1178" t="inlineStr">
        <is>
          <t>Virtus Health</t>
        </is>
      </c>
      <c r="E1178" t="inlineStr">
        <is>
          <t>Nurse Coordinator</t>
        </is>
      </c>
      <c r="F1178" t="inlineStr">
        <is>
          <t>5/19/2025</t>
        </is>
      </c>
      <c r="H1178" t="inlineStr">
        <is>
          <t>QN2025</t>
        </is>
      </c>
      <c r="I1178" t="inlineStr">
        <is>
          <t>QLD</t>
        </is>
      </c>
      <c r="J1178" t="inlineStr">
        <is>
          <t>Part Time</t>
        </is>
      </c>
      <c r="K1178" s="23" t="inlineStr">
        <is>
          <t>5/19/2025</t>
        </is>
      </c>
      <c r="L1178" s="23" t="inlineStr">
        <is>
          <t>5/19/2025</t>
        </is>
      </c>
      <c r="O1178" t="n">
        <v>30.4</v>
      </c>
    </row>
    <row r="1179">
      <c r="A1179" t="inlineStr">
        <is>
          <t>AU23621</t>
        </is>
      </c>
      <c r="C1179" t="inlineStr">
        <is>
          <t>NSW-QLD</t>
        </is>
      </c>
      <c r="D1179" t="inlineStr">
        <is>
          <t>Virtus Health</t>
        </is>
      </c>
      <c r="E1179" t="inlineStr">
        <is>
          <t>Embryologist</t>
        </is>
      </c>
      <c r="F1179" t="inlineStr">
        <is>
          <t>4/28/2025</t>
        </is>
      </c>
      <c r="H1179" t="inlineStr">
        <is>
          <t>IVFT2024</t>
        </is>
      </c>
      <c r="I1179" t="inlineStr">
        <is>
          <t>NSW</t>
        </is>
      </c>
      <c r="J1179" t="inlineStr">
        <is>
          <t>Full Time</t>
        </is>
      </c>
      <c r="K1179" s="23" t="inlineStr">
        <is>
          <t>4/28/2025</t>
        </is>
      </c>
      <c r="L1179" s="23" t="inlineStr">
        <is>
          <t>4/28/2025</t>
        </is>
      </c>
      <c r="O1179" t="n">
        <v>38</v>
      </c>
    </row>
    <row r="1180">
      <c r="A1180" t="inlineStr">
        <is>
          <t>AU23622</t>
        </is>
      </c>
      <c r="C1180" t="inlineStr">
        <is>
          <t>NSW-QLD</t>
        </is>
      </c>
      <c r="D1180" t="inlineStr">
        <is>
          <t>Virtus Health</t>
        </is>
      </c>
      <c r="E1180" t="inlineStr">
        <is>
          <t>Medical Secretary</t>
        </is>
      </c>
      <c r="F1180" t="inlineStr">
        <is>
          <t>4/29/2025</t>
        </is>
      </c>
      <c r="H1180" t="inlineStr">
        <is>
          <t>IVFS2023</t>
        </is>
      </c>
      <c r="I1180" t="inlineStr">
        <is>
          <t>NSW</t>
        </is>
      </c>
      <c r="J1180" t="inlineStr">
        <is>
          <t>Full Time</t>
        </is>
      </c>
      <c r="K1180" s="23" t="inlineStr">
        <is>
          <t>4/29/2025</t>
        </is>
      </c>
      <c r="L1180" s="23" t="inlineStr">
        <is>
          <t>4/29/2025</t>
        </is>
      </c>
      <c r="O1180" t="n">
        <v>26.6</v>
      </c>
    </row>
    <row r="1181">
      <c r="A1181" t="inlineStr">
        <is>
          <t>AU23623</t>
        </is>
      </c>
      <c r="B1181" s="1" t="n"/>
      <c r="C1181" t="inlineStr">
        <is>
          <t>NSW-QLD</t>
        </is>
      </c>
      <c r="D1181" t="inlineStr">
        <is>
          <t>Virtus Health</t>
        </is>
      </c>
      <c r="E1181" t="inlineStr">
        <is>
          <t>Associate Security Analyst</t>
        </is>
      </c>
      <c r="F1181" s="1" t="n">
        <v>45996</v>
      </c>
      <c r="H1181" t="inlineStr">
        <is>
          <t>VIC</t>
        </is>
      </c>
      <c r="I1181" t="inlineStr">
        <is>
          <t>VIC</t>
        </is>
      </c>
      <c r="J1181" t="inlineStr">
        <is>
          <t>Full Time</t>
        </is>
      </c>
      <c r="K1181" s="23" t="n">
        <v>45996</v>
      </c>
      <c r="L1181" s="23" t="n">
        <v>45996</v>
      </c>
      <c r="O1181" t="n">
        <v>16</v>
      </c>
    </row>
    <row r="1182">
      <c r="A1182" t="inlineStr">
        <is>
          <t>AU23624</t>
        </is>
      </c>
      <c r="B1182" s="1" t="n"/>
      <c r="C1182" t="inlineStr">
        <is>
          <t>NSW-QLD</t>
        </is>
      </c>
      <c r="D1182" t="inlineStr">
        <is>
          <t>Virtus Health</t>
        </is>
      </c>
      <c r="E1182" t="inlineStr">
        <is>
          <t>National Manager - Genetic Counselling</t>
        </is>
      </c>
      <c r="F1182" s="1" t="n">
        <v>45782</v>
      </c>
      <c r="H1182" t="inlineStr">
        <is>
          <t>NSW</t>
        </is>
      </c>
      <c r="I1182" t="inlineStr">
        <is>
          <t>NSW</t>
        </is>
      </c>
      <c r="J1182" t="inlineStr">
        <is>
          <t>Full Time</t>
        </is>
      </c>
      <c r="K1182" s="23" t="n">
        <v>45782</v>
      </c>
      <c r="L1182" s="23" t="n">
        <v>45782</v>
      </c>
      <c r="O1182" t="n">
        <v>16</v>
      </c>
    </row>
    <row r="1183">
      <c r="A1183" t="inlineStr">
        <is>
          <t>AU23630</t>
        </is>
      </c>
      <c r="B1183" s="1" t="n"/>
      <c r="C1183" t="inlineStr">
        <is>
          <t>NSW-QLD</t>
        </is>
      </c>
      <c r="D1183" t="inlineStr">
        <is>
          <t>Virtus Health</t>
        </is>
      </c>
      <c r="E1183" t="inlineStr">
        <is>
          <t>Registered Nurse</t>
        </is>
      </c>
      <c r="F1183" s="1" t="n">
        <v>45842</v>
      </c>
      <c r="H1183" t="inlineStr">
        <is>
          <t>IVFN2021</t>
        </is>
      </c>
      <c r="I1183" t="inlineStr">
        <is>
          <t>NSW</t>
        </is>
      </c>
      <c r="J1183" t="inlineStr">
        <is>
          <t>Casual</t>
        </is>
      </c>
      <c r="K1183" s="23" t="n">
        <v>45842</v>
      </c>
      <c r="L1183" s="23" t="n">
        <v>45842</v>
      </c>
      <c r="O1183" t="n">
        <v>25.5</v>
      </c>
    </row>
    <row r="1184">
      <c r="A1184" t="inlineStr">
        <is>
          <t>AU23631</t>
        </is>
      </c>
      <c r="B1184" s="1" t="n"/>
      <c r="C1184" t="inlineStr">
        <is>
          <t>NSW-QLD</t>
        </is>
      </c>
      <c r="D1184" t="inlineStr">
        <is>
          <t>Virtus Health</t>
        </is>
      </c>
      <c r="E1184" t="inlineStr">
        <is>
          <t xml:space="preserve"> Embryologist</t>
        </is>
      </c>
      <c r="F1184" s="1" t="n">
        <v>45661</v>
      </c>
      <c r="H1184" t="inlineStr">
        <is>
          <t>IVFT2024</t>
        </is>
      </c>
      <c r="I1184" t="inlineStr">
        <is>
          <t>NSW</t>
        </is>
      </c>
      <c r="J1184" t="inlineStr">
        <is>
          <t>Casual</t>
        </is>
      </c>
      <c r="K1184" s="23" t="n">
        <v>45661</v>
      </c>
      <c r="L1184" s="23" t="n">
        <v>45661</v>
      </c>
      <c r="O1184" t="n">
        <v>38</v>
      </c>
    </row>
    <row r="1185">
      <c r="A1185" t="inlineStr">
        <is>
          <t>AU23632</t>
        </is>
      </c>
      <c r="B1185" s="1" t="n"/>
      <c r="C1185" t="inlineStr">
        <is>
          <t>NSW-QLD</t>
        </is>
      </c>
      <c r="D1185" t="inlineStr">
        <is>
          <t>Virtus Health</t>
        </is>
      </c>
      <c r="E1185" t="inlineStr">
        <is>
          <t>Assistant in Nursing</t>
        </is>
      </c>
      <c r="F1185" s="1" t="n">
        <v>45782</v>
      </c>
      <c r="H1185" t="inlineStr">
        <is>
          <t>IVFN2021</t>
        </is>
      </c>
      <c r="I1185" t="inlineStr">
        <is>
          <t>NSW</t>
        </is>
      </c>
      <c r="J1185" t="inlineStr">
        <is>
          <t>Casual</t>
        </is>
      </c>
      <c r="K1185" s="23" t="n">
        <v>45782</v>
      </c>
      <c r="L1185" s="23" t="n">
        <v>45782</v>
      </c>
      <c r="O1185" t="n">
        <v>38</v>
      </c>
    </row>
    <row r="1186">
      <c r="A1186" t="inlineStr">
        <is>
          <t>AU23634</t>
        </is>
      </c>
      <c r="B1186" s="1" t="n"/>
      <c r="C1186" t="inlineStr">
        <is>
          <t>VIC-TAS</t>
        </is>
      </c>
      <c r="D1186" t="inlineStr">
        <is>
          <t>Virtus Health</t>
        </is>
      </c>
      <c r="E1186" t="inlineStr">
        <is>
          <t>Counsellor</t>
        </is>
      </c>
      <c r="F1186" s="1" t="n">
        <v>45782</v>
      </c>
      <c r="H1186" t="inlineStr">
        <is>
          <t>MIVFC2021</t>
        </is>
      </c>
      <c r="I1186" t="inlineStr">
        <is>
          <t>VIC</t>
        </is>
      </c>
      <c r="J1186" t="inlineStr">
        <is>
          <t>Casual</t>
        </is>
      </c>
      <c r="K1186" s="23" t="n">
        <v>45782</v>
      </c>
      <c r="L1186" s="23" t="n">
        <v>45782</v>
      </c>
      <c r="O1186" t="n">
        <v>38</v>
      </c>
    </row>
    <row r="1187">
      <c r="A1187" t="inlineStr">
        <is>
          <t>AU23635</t>
        </is>
      </c>
      <c r="B1187" s="1" t="n"/>
      <c r="C1187" t="inlineStr">
        <is>
          <t>NSW-QLD</t>
        </is>
      </c>
      <c r="D1187" t="inlineStr">
        <is>
          <t>Virtus Health</t>
        </is>
      </c>
      <c r="E1187" t="inlineStr">
        <is>
          <t>Technology Operations Engineer</t>
        </is>
      </c>
      <c r="F1187" s="1" t="n">
        <v>45843</v>
      </c>
      <c r="H1187" t="inlineStr">
        <is>
          <t>VIC</t>
        </is>
      </c>
      <c r="I1187" t="inlineStr">
        <is>
          <t>VIC</t>
        </is>
      </c>
      <c r="J1187" t="inlineStr">
        <is>
          <t>Full Time</t>
        </is>
      </c>
      <c r="K1187" s="23" t="n">
        <v>45843</v>
      </c>
      <c r="L1187" s="23" t="n">
        <v>45843</v>
      </c>
      <c r="O1187" t="n">
        <v>30.4</v>
      </c>
    </row>
    <row r="1188">
      <c r="A1188" t="inlineStr">
        <is>
          <t>AU23636</t>
        </is>
      </c>
      <c r="C1188" t="inlineStr">
        <is>
          <t>NSW-QLD</t>
        </is>
      </c>
      <c r="D1188" t="inlineStr">
        <is>
          <t>Virtus Health</t>
        </is>
      </c>
      <c r="E1188" t="inlineStr">
        <is>
          <t>Medical Secretary</t>
        </is>
      </c>
      <c r="F1188" t="inlineStr">
        <is>
          <t>5/19/2025</t>
        </is>
      </c>
      <c r="H1188" t="inlineStr">
        <is>
          <t>IVFS2023</t>
        </is>
      </c>
      <c r="I1188" t="inlineStr">
        <is>
          <t>NSW</t>
        </is>
      </c>
      <c r="J1188" t="inlineStr">
        <is>
          <t>Full Time</t>
        </is>
      </c>
      <c r="K1188" s="23" t="inlineStr">
        <is>
          <t>5/19/2025</t>
        </is>
      </c>
      <c r="L1188" s="23" t="inlineStr">
        <is>
          <t>5/19/2025</t>
        </is>
      </c>
      <c r="O1188" t="n">
        <v>38</v>
      </c>
    </row>
    <row r="1189">
      <c r="A1189" t="inlineStr">
        <is>
          <t>AU23637</t>
        </is>
      </c>
      <c r="B1189" s="1" t="n"/>
      <c r="C1189" t="inlineStr">
        <is>
          <t>NSW-QLD</t>
        </is>
      </c>
      <c r="D1189" t="inlineStr">
        <is>
          <t>Virtus Health</t>
        </is>
      </c>
      <c r="E1189" t="inlineStr">
        <is>
          <t>Registered Nurse</t>
        </is>
      </c>
      <c r="F1189" s="1" t="n">
        <v>45843</v>
      </c>
      <c r="H1189" t="inlineStr">
        <is>
          <t>QN2025</t>
        </is>
      </c>
      <c r="I1189" t="inlineStr">
        <is>
          <t>QLD</t>
        </is>
      </c>
      <c r="J1189" t="inlineStr">
        <is>
          <t>Casual</t>
        </is>
      </c>
      <c r="K1189" s="23" t="n">
        <v>45843</v>
      </c>
      <c r="L1189" s="23" t="n">
        <v>45843</v>
      </c>
      <c r="O1189" t="n">
        <v>10</v>
      </c>
    </row>
    <row r="1190">
      <c r="A1190" t="inlineStr">
        <is>
          <t>AU23638</t>
        </is>
      </c>
      <c r="B1190" s="1" t="n"/>
      <c r="C1190" t="inlineStr">
        <is>
          <t>NSW-QLD</t>
        </is>
      </c>
      <c r="D1190" t="inlineStr">
        <is>
          <t>Virtus Health</t>
        </is>
      </c>
      <c r="E1190" t="inlineStr">
        <is>
          <t>Head of Quality &amp; Risk Officer</t>
        </is>
      </c>
      <c r="F1190" s="1" t="n">
        <v>45996</v>
      </c>
      <c r="H1190" t="inlineStr">
        <is>
          <t>NSW</t>
        </is>
      </c>
      <c r="I1190" t="inlineStr">
        <is>
          <t>NSW</t>
        </is>
      </c>
      <c r="J1190" t="inlineStr">
        <is>
          <t>Full Time</t>
        </is>
      </c>
      <c r="K1190" s="23" t="n">
        <v>45996</v>
      </c>
      <c r="L1190" s="23" t="n">
        <v>45996</v>
      </c>
      <c r="O1190" t="n">
        <v>30.4</v>
      </c>
    </row>
    <row r="1191">
      <c r="A1191" t="inlineStr">
        <is>
          <t>AU23639</t>
        </is>
      </c>
      <c r="C1191" t="inlineStr">
        <is>
          <t>NSW-QLD</t>
        </is>
      </c>
      <c r="D1191" t="inlineStr">
        <is>
          <t>Virtus Health</t>
        </is>
      </c>
      <c r="E1191" t="inlineStr">
        <is>
          <t>Registered Nurse</t>
        </is>
      </c>
      <c r="F1191" t="inlineStr">
        <is>
          <t>5/27/2025</t>
        </is>
      </c>
      <c r="H1191" t="inlineStr">
        <is>
          <t>QN2025</t>
        </is>
      </c>
      <c r="I1191" t="inlineStr">
        <is>
          <t>QLD</t>
        </is>
      </c>
      <c r="J1191" t="inlineStr">
        <is>
          <t>Part Time</t>
        </is>
      </c>
      <c r="K1191" s="23" t="inlineStr">
        <is>
          <t>5/27/2025</t>
        </is>
      </c>
      <c r="L1191" s="23" t="inlineStr">
        <is>
          <t>5/27/2025</t>
        </is>
      </c>
      <c r="O1191" t="n">
        <v>35</v>
      </c>
    </row>
    <row r="1192">
      <c r="A1192" t="inlineStr">
        <is>
          <t>AU23640</t>
        </is>
      </c>
      <c r="B1192" s="1" t="n"/>
      <c r="C1192" t="inlineStr">
        <is>
          <t>NSW-QLD</t>
        </is>
      </c>
      <c r="D1192" t="inlineStr">
        <is>
          <t>Virtus Health</t>
        </is>
      </c>
      <c r="E1192" t="inlineStr">
        <is>
          <t>Adminstration</t>
        </is>
      </c>
      <c r="F1192" s="1" t="n">
        <v>45996</v>
      </c>
      <c r="H1192" t="inlineStr">
        <is>
          <t>IVFS2023</t>
        </is>
      </c>
      <c r="I1192" t="inlineStr">
        <is>
          <t>QLD</t>
        </is>
      </c>
      <c r="J1192" t="inlineStr">
        <is>
          <t>Part Time</t>
        </is>
      </c>
      <c r="K1192" s="23" t="n">
        <v>45996</v>
      </c>
      <c r="L1192" s="23" t="n">
        <v>45996</v>
      </c>
      <c r="O1192" t="n">
        <v>38</v>
      </c>
    </row>
    <row r="1193">
      <c r="A1193" t="inlineStr">
        <is>
          <t>AU23642</t>
        </is>
      </c>
      <c r="C1193" t="inlineStr">
        <is>
          <t>NSW-QLD</t>
        </is>
      </c>
      <c r="D1193" t="inlineStr">
        <is>
          <t>Virtus Health</t>
        </is>
      </c>
      <c r="E1193" t="inlineStr">
        <is>
          <t>Registered Nurse</t>
        </is>
      </c>
      <c r="F1193" t="inlineStr">
        <is>
          <t>5/19/2025</t>
        </is>
      </c>
      <c r="H1193" t="inlineStr">
        <is>
          <t>IVFN2021</t>
        </is>
      </c>
      <c r="I1193" t="inlineStr">
        <is>
          <t>NSW</t>
        </is>
      </c>
      <c r="J1193" t="inlineStr">
        <is>
          <t>Full Time</t>
        </is>
      </c>
      <c r="K1193" s="23" t="inlineStr">
        <is>
          <t>5/19/2025</t>
        </is>
      </c>
      <c r="L1193" s="23" t="inlineStr">
        <is>
          <t>5/19/2025</t>
        </is>
      </c>
      <c r="O1193" t="n">
        <v>22.8</v>
      </c>
    </row>
    <row r="1194">
      <c r="A1194" t="inlineStr">
        <is>
          <t>AU23643</t>
        </is>
      </c>
      <c r="B1194" s="1" t="n"/>
      <c r="C1194" t="inlineStr">
        <is>
          <t>VIC-TAS</t>
        </is>
      </c>
      <c r="D1194" t="inlineStr">
        <is>
          <t>Virtus Health</t>
        </is>
      </c>
      <c r="E1194" t="inlineStr">
        <is>
          <t>Registered Nurse</t>
        </is>
      </c>
      <c r="F1194" s="1" t="n">
        <v>45996</v>
      </c>
      <c r="H1194" t="inlineStr">
        <is>
          <t>MIVFN2023</t>
        </is>
      </c>
      <c r="I1194" t="inlineStr">
        <is>
          <t>VIC</t>
        </is>
      </c>
      <c r="J1194" t="inlineStr">
        <is>
          <t>Casual</t>
        </is>
      </c>
      <c r="K1194" s="23" t="n">
        <v>45996</v>
      </c>
      <c r="L1194" s="23" t="n">
        <v>45996</v>
      </c>
      <c r="O1194" t="n">
        <v>38</v>
      </c>
    </row>
    <row r="1195">
      <c r="A1195" t="inlineStr">
        <is>
          <t>AU23645</t>
        </is>
      </c>
      <c r="C1195" t="inlineStr">
        <is>
          <t>VIC-TAS</t>
        </is>
      </c>
      <c r="D1195" t="inlineStr">
        <is>
          <t>Virtus Health</t>
        </is>
      </c>
      <c r="E1195" t="inlineStr">
        <is>
          <t>Registered Nurse</t>
        </is>
      </c>
      <c r="F1195" t="inlineStr">
        <is>
          <t>5/13/2025</t>
        </is>
      </c>
      <c r="H1195" t="inlineStr">
        <is>
          <t>MIVFN2023</t>
        </is>
      </c>
      <c r="I1195" t="inlineStr">
        <is>
          <t>VIC</t>
        </is>
      </c>
      <c r="J1195" t="inlineStr">
        <is>
          <t>Casual</t>
        </is>
      </c>
      <c r="K1195" s="23" t="inlineStr">
        <is>
          <t>5/13/2025</t>
        </is>
      </c>
      <c r="L1195" s="23" t="inlineStr">
        <is>
          <t>5/13/2025</t>
        </is>
      </c>
      <c r="O1195" t="n">
        <v>38</v>
      </c>
    </row>
    <row r="1196">
      <c r="A1196" t="inlineStr">
        <is>
          <t>AU23646</t>
        </is>
      </c>
      <c r="B1196" s="1" t="n"/>
      <c r="C1196" t="inlineStr">
        <is>
          <t>VIC-TAS</t>
        </is>
      </c>
      <c r="D1196" t="inlineStr">
        <is>
          <t>Virtus Health</t>
        </is>
      </c>
      <c r="E1196" t="inlineStr">
        <is>
          <t>MIVF Medical Director</t>
        </is>
      </c>
      <c r="F1196" s="1" t="n">
        <v>45720</v>
      </c>
      <c r="H1196" t="inlineStr">
        <is>
          <t>VIC</t>
        </is>
      </c>
      <c r="I1196" t="inlineStr">
        <is>
          <t>VIC</t>
        </is>
      </c>
      <c r="J1196" t="inlineStr">
        <is>
          <t>Part Time</t>
        </is>
      </c>
      <c r="K1196" s="23" t="n">
        <v>45720</v>
      </c>
      <c r="L1196" s="23" t="n">
        <v>45720</v>
      </c>
      <c r="O1196" t="n">
        <v>7.6</v>
      </c>
    </row>
    <row r="1197">
      <c r="A1197" t="inlineStr">
        <is>
          <t>AU23648</t>
        </is>
      </c>
      <c r="C1197" t="inlineStr">
        <is>
          <t>VIC-TAS</t>
        </is>
      </c>
      <c r="D1197" t="inlineStr">
        <is>
          <t>Virtus Health</t>
        </is>
      </c>
      <c r="E1197" t="inlineStr">
        <is>
          <t>Phlebotomist</t>
        </is>
      </c>
      <c r="F1197" t="inlineStr">
        <is>
          <t>5/19/2025</t>
        </is>
      </c>
      <c r="H1197" t="inlineStr">
        <is>
          <t>IVFS2023</t>
        </is>
      </c>
      <c r="I1197" t="inlineStr">
        <is>
          <t>VIC</t>
        </is>
      </c>
      <c r="J1197" t="inlineStr">
        <is>
          <t>Casual</t>
        </is>
      </c>
      <c r="K1197" s="23" t="inlineStr">
        <is>
          <t>5/19/2025</t>
        </is>
      </c>
      <c r="L1197" s="23" t="inlineStr">
        <is>
          <t>5/19/2025</t>
        </is>
      </c>
      <c r="O1197" t="n">
        <v>38</v>
      </c>
    </row>
    <row r="1198">
      <c r="A1198" t="inlineStr">
        <is>
          <t>AU23649</t>
        </is>
      </c>
      <c r="C1198" t="inlineStr">
        <is>
          <t>VIC-TAS</t>
        </is>
      </c>
      <c r="D1198" t="inlineStr">
        <is>
          <t>Virtus Health</t>
        </is>
      </c>
      <c r="E1198" t="inlineStr">
        <is>
          <t>Administration</t>
        </is>
      </c>
      <c r="F1198" t="inlineStr">
        <is>
          <t>5/19/2025</t>
        </is>
      </c>
      <c r="H1198" t="inlineStr">
        <is>
          <t>MIVFS2022</t>
        </is>
      </c>
      <c r="I1198" t="inlineStr">
        <is>
          <t>VIC</t>
        </is>
      </c>
      <c r="J1198" t="inlineStr">
        <is>
          <t>Casual</t>
        </is>
      </c>
      <c r="K1198" s="23" t="inlineStr">
        <is>
          <t>5/19/2025</t>
        </is>
      </c>
      <c r="L1198" s="23" t="inlineStr">
        <is>
          <t>5/19/2025</t>
        </is>
      </c>
      <c r="O1198" t="n">
        <v>38</v>
      </c>
    </row>
    <row r="1199">
      <c r="A1199" t="inlineStr">
        <is>
          <t>AU23650</t>
        </is>
      </c>
      <c r="C1199" t="inlineStr">
        <is>
          <t>VIC-TAS</t>
        </is>
      </c>
      <c r="D1199" t="inlineStr">
        <is>
          <t>Virtus Health</t>
        </is>
      </c>
      <c r="E1199" t="inlineStr">
        <is>
          <t>CSSD Theatre Technician</t>
        </is>
      </c>
      <c r="F1199" t="inlineStr">
        <is>
          <t>5/19/2025</t>
        </is>
      </c>
      <c r="H1199" t="inlineStr">
        <is>
          <t>TIVF2024</t>
        </is>
      </c>
      <c r="I1199" t="inlineStr">
        <is>
          <t>TAS</t>
        </is>
      </c>
      <c r="J1199" t="inlineStr">
        <is>
          <t>Casual</t>
        </is>
      </c>
      <c r="K1199" s="23" t="inlineStr">
        <is>
          <t>5/19/2025</t>
        </is>
      </c>
      <c r="L1199" s="23" t="inlineStr">
        <is>
          <t>5/19/2025</t>
        </is>
      </c>
      <c r="O1199" t="n">
        <v>38</v>
      </c>
    </row>
    <row r="1200">
      <c r="A1200" t="inlineStr">
        <is>
          <t>AU23651</t>
        </is>
      </c>
      <c r="B1200" s="1" t="n"/>
      <c r="C1200" t="inlineStr">
        <is>
          <t>NSW-QLD</t>
        </is>
      </c>
      <c r="D1200" t="inlineStr">
        <is>
          <t>Virtus Health</t>
        </is>
      </c>
      <c r="E1200" t="inlineStr">
        <is>
          <t>Scheduling and Admin Coordinator</t>
        </is>
      </c>
      <c r="F1200" s="1" t="n">
        <v>45694</v>
      </c>
      <c r="H1200" t="inlineStr">
        <is>
          <t>IVFS2023</t>
        </is>
      </c>
      <c r="I1200" t="inlineStr">
        <is>
          <t>NSW</t>
        </is>
      </c>
      <c r="J1200" t="inlineStr">
        <is>
          <t>Full Time</t>
        </is>
      </c>
      <c r="K1200" s="23" t="n">
        <v>45694</v>
      </c>
      <c r="L1200" s="23" t="n">
        <v>45694</v>
      </c>
      <c r="O1200" t="n">
        <v>38</v>
      </c>
    </row>
    <row r="1201">
      <c r="A1201" t="inlineStr">
        <is>
          <t>AU23652</t>
        </is>
      </c>
      <c r="B1201" s="1" t="n"/>
      <c r="C1201" t="inlineStr">
        <is>
          <t>NSW-QLD</t>
        </is>
      </c>
      <c r="D1201" t="inlineStr">
        <is>
          <t>Virtus Health</t>
        </is>
      </c>
      <c r="E1201" t="inlineStr">
        <is>
          <t>Registered Nurse</t>
        </is>
      </c>
      <c r="F1201" s="1" t="n">
        <v>45782</v>
      </c>
      <c r="H1201" t="inlineStr">
        <is>
          <t>IVFN2021</t>
        </is>
      </c>
      <c r="I1201" t="inlineStr">
        <is>
          <t>NSW</t>
        </is>
      </c>
      <c r="J1201" t="inlineStr">
        <is>
          <t>Casual</t>
        </is>
      </c>
      <c r="K1201" s="23" t="n">
        <v>45782</v>
      </c>
      <c r="L1201" s="23" t="n">
        <v>45782</v>
      </c>
      <c r="O1201" t="n">
        <v>38</v>
      </c>
    </row>
    <row r="1202">
      <c r="A1202" t="inlineStr">
        <is>
          <t>AU23655</t>
        </is>
      </c>
      <c r="C1202" t="inlineStr">
        <is>
          <t>VIC-TAS</t>
        </is>
      </c>
      <c r="D1202" t="inlineStr">
        <is>
          <t>Virtus Health</t>
        </is>
      </c>
      <c r="E1202" t="inlineStr">
        <is>
          <t>Nurse Manager</t>
        </is>
      </c>
      <c r="F1202" t="inlineStr">
        <is>
          <t>5/19/2025</t>
        </is>
      </c>
      <c r="H1202" t="inlineStr">
        <is>
          <t>TIVF2024</t>
        </is>
      </c>
      <c r="I1202" t="inlineStr">
        <is>
          <t>TAS</t>
        </is>
      </c>
      <c r="J1202" t="inlineStr">
        <is>
          <t>Full Time</t>
        </is>
      </c>
      <c r="K1202" s="23" t="inlineStr">
        <is>
          <t>5/19/2025</t>
        </is>
      </c>
      <c r="L1202" s="23" t="inlineStr">
        <is>
          <t>5/19/2025</t>
        </is>
      </c>
      <c r="O1202" t="n">
        <v>37.5</v>
      </c>
    </row>
    <row r="1203">
      <c r="A1203" t="inlineStr">
        <is>
          <t>AU23656</t>
        </is>
      </c>
      <c r="C1203" t="inlineStr">
        <is>
          <t>NSW-QLD</t>
        </is>
      </c>
      <c r="D1203" t="inlineStr">
        <is>
          <t>Virtus Health</t>
        </is>
      </c>
      <c r="E1203" t="inlineStr">
        <is>
          <t>Registered Nurse</t>
        </is>
      </c>
      <c r="F1203" t="inlineStr">
        <is>
          <t>5/26/2025</t>
        </is>
      </c>
      <c r="H1203" t="inlineStr">
        <is>
          <t>IVFN2021</t>
        </is>
      </c>
      <c r="I1203" t="inlineStr">
        <is>
          <t>NSW</t>
        </is>
      </c>
      <c r="J1203" t="inlineStr">
        <is>
          <t>Casual</t>
        </is>
      </c>
      <c r="K1203" s="23" t="inlineStr">
        <is>
          <t>5/26/2025</t>
        </is>
      </c>
      <c r="L1203" s="23" t="inlineStr">
        <is>
          <t>5/26/2025</t>
        </is>
      </c>
      <c r="O1203" t="n">
        <v>38</v>
      </c>
    </row>
    <row r="1204">
      <c r="A1204" t="inlineStr">
        <is>
          <t>AU23657</t>
        </is>
      </c>
      <c r="C1204" t="inlineStr">
        <is>
          <t>NSW-QLD</t>
        </is>
      </c>
      <c r="D1204" t="inlineStr">
        <is>
          <t>Virtus Health</t>
        </is>
      </c>
      <c r="E1204" t="inlineStr">
        <is>
          <t>Assistant in Nursing</t>
        </is>
      </c>
      <c r="F1204" t="inlineStr">
        <is>
          <t>5/26/2025</t>
        </is>
      </c>
      <c r="H1204" t="inlineStr">
        <is>
          <t>IVFN2021</t>
        </is>
      </c>
      <c r="I1204" t="inlineStr">
        <is>
          <t>NSW</t>
        </is>
      </c>
      <c r="J1204" t="inlineStr">
        <is>
          <t>Part Time</t>
        </is>
      </c>
      <c r="K1204" s="23" t="inlineStr">
        <is>
          <t>5/26/2025</t>
        </is>
      </c>
      <c r="L1204" s="23" t="inlineStr">
        <is>
          <t>5/26/2025</t>
        </is>
      </c>
      <c r="O1204" t="n">
        <v>38</v>
      </c>
    </row>
    <row r="1205">
      <c r="A1205" t="inlineStr">
        <is>
          <t>AU23658</t>
        </is>
      </c>
      <c r="C1205" t="inlineStr">
        <is>
          <t>VIC-TAS</t>
        </is>
      </c>
      <c r="D1205" t="inlineStr">
        <is>
          <t>Virtus Health</t>
        </is>
      </c>
      <c r="E1205" t="inlineStr">
        <is>
          <t>Head of Finance</t>
        </is>
      </c>
      <c r="F1205" t="inlineStr">
        <is>
          <t>5/28/2025</t>
        </is>
      </c>
      <c r="H1205" t="inlineStr">
        <is>
          <t>VIC</t>
        </is>
      </c>
      <c r="I1205" t="inlineStr">
        <is>
          <t>VIC</t>
        </is>
      </c>
      <c r="J1205" t="inlineStr">
        <is>
          <t>Full Time</t>
        </is>
      </c>
      <c r="K1205" s="23" t="inlineStr">
        <is>
          <t>5/28/2025</t>
        </is>
      </c>
      <c r="L1205" s="23" t="inlineStr">
        <is>
          <t>5/28/2025</t>
        </is>
      </c>
      <c r="O1205" t="n">
        <v>38</v>
      </c>
    </row>
    <row r="1206">
      <c r="A1206" t="inlineStr">
        <is>
          <t>AU23659</t>
        </is>
      </c>
      <c r="B1206" s="1" t="n"/>
      <c r="C1206" t="inlineStr">
        <is>
          <t>VIC-TAS</t>
        </is>
      </c>
      <c r="D1206" t="inlineStr">
        <is>
          <t>Virtus Health</t>
        </is>
      </c>
      <c r="E1206" t="inlineStr">
        <is>
          <t>CSSD Theatre Technician</t>
        </is>
      </c>
      <c r="F1206" s="1" t="n">
        <v>45694</v>
      </c>
      <c r="H1206" t="inlineStr">
        <is>
          <t>TIVF2024</t>
        </is>
      </c>
      <c r="I1206" t="inlineStr">
        <is>
          <t>TAS</t>
        </is>
      </c>
      <c r="J1206" t="inlineStr">
        <is>
          <t>Casual</t>
        </is>
      </c>
      <c r="K1206" s="23" t="n">
        <v>45694</v>
      </c>
      <c r="L1206" s="23" t="n">
        <v>45694</v>
      </c>
      <c r="O1206" t="n">
        <v>38</v>
      </c>
    </row>
    <row r="1207">
      <c r="A1207" t="inlineStr">
        <is>
          <t>AU23660</t>
        </is>
      </c>
      <c r="C1207" t="inlineStr">
        <is>
          <t>NSW-QLD</t>
        </is>
      </c>
      <c r="D1207" t="inlineStr">
        <is>
          <t>Virtus Health</t>
        </is>
      </c>
      <c r="E1207" t="inlineStr">
        <is>
          <t>Nures Coordinator</t>
        </is>
      </c>
      <c r="F1207" t="inlineStr">
        <is>
          <t>6/16/2025</t>
        </is>
      </c>
      <c r="H1207" t="inlineStr">
        <is>
          <t>IVFN2021</t>
        </is>
      </c>
      <c r="I1207" t="inlineStr">
        <is>
          <t>NSW</t>
        </is>
      </c>
      <c r="J1207" t="inlineStr">
        <is>
          <t>Full Time</t>
        </is>
      </c>
      <c r="K1207" s="23" t="inlineStr">
        <is>
          <t>6/16/2025</t>
        </is>
      </c>
      <c r="L1207" s="23" t="inlineStr">
        <is>
          <t>6/16/2025</t>
        </is>
      </c>
      <c r="O1207" t="n">
        <v>38</v>
      </c>
    </row>
    <row r="1208">
      <c r="A1208" t="inlineStr">
        <is>
          <t>AU23661</t>
        </is>
      </c>
      <c r="C1208" t="inlineStr">
        <is>
          <t>VIC-TAS</t>
        </is>
      </c>
      <c r="D1208" t="inlineStr">
        <is>
          <t>Virtus Health</t>
        </is>
      </c>
      <c r="E1208" t="inlineStr">
        <is>
          <t>Assistant in Nursing</t>
        </is>
      </c>
      <c r="F1208" t="inlineStr">
        <is>
          <t>5/26/2025</t>
        </is>
      </c>
      <c r="H1208" t="inlineStr">
        <is>
          <t>VIC</t>
        </is>
      </c>
      <c r="I1208" t="inlineStr">
        <is>
          <t>VIC</t>
        </is>
      </c>
      <c r="J1208" t="inlineStr">
        <is>
          <t>Casual</t>
        </is>
      </c>
      <c r="K1208" s="23" t="inlineStr">
        <is>
          <t>5/26/2025</t>
        </is>
      </c>
      <c r="L1208" s="23" t="inlineStr">
        <is>
          <t>5/26/2025</t>
        </is>
      </c>
      <c r="O1208" t="n">
        <v>38</v>
      </c>
    </row>
    <row r="1209">
      <c r="A1209" t="inlineStr">
        <is>
          <t>AU23662</t>
        </is>
      </c>
      <c r="C1209" t="inlineStr">
        <is>
          <t>NSW-QLD</t>
        </is>
      </c>
      <c r="D1209" t="inlineStr">
        <is>
          <t>Virtus Health</t>
        </is>
      </c>
      <c r="E1209" t="inlineStr">
        <is>
          <t>Patient Support Officer</t>
        </is>
      </c>
      <c r="F1209" t="inlineStr">
        <is>
          <t>5/26/2025</t>
        </is>
      </c>
      <c r="H1209" t="inlineStr">
        <is>
          <t>IVFS2023</t>
        </is>
      </c>
      <c r="I1209" t="inlineStr">
        <is>
          <t>NSW</t>
        </is>
      </c>
      <c r="J1209" t="inlineStr">
        <is>
          <t>Part Time</t>
        </is>
      </c>
      <c r="K1209" s="23" t="inlineStr">
        <is>
          <t>5/26/2025</t>
        </is>
      </c>
      <c r="L1209" s="23" t="inlineStr">
        <is>
          <t>5/26/2025</t>
        </is>
      </c>
      <c r="O1209" t="n">
        <v>38</v>
      </c>
    </row>
    <row r="1210">
      <c r="A1210" t="inlineStr">
        <is>
          <t>AU23663</t>
        </is>
      </c>
      <c r="B1210" s="1" t="n"/>
      <c r="C1210" t="inlineStr">
        <is>
          <t>VIC-TAS</t>
        </is>
      </c>
      <c r="D1210" t="inlineStr">
        <is>
          <t>Virtus Health</t>
        </is>
      </c>
      <c r="E1210" t="inlineStr">
        <is>
          <t>Clinical Administrator</t>
        </is>
      </c>
      <c r="F1210" s="1" t="n">
        <v>45694</v>
      </c>
      <c r="H1210" t="inlineStr">
        <is>
          <t>MIVFS2022</t>
        </is>
      </c>
      <c r="I1210" t="inlineStr">
        <is>
          <t>VIC</t>
        </is>
      </c>
      <c r="J1210" t="inlineStr">
        <is>
          <t>Full Time</t>
        </is>
      </c>
      <c r="K1210" s="23" t="n">
        <v>45694</v>
      </c>
      <c r="L1210" s="23" t="n">
        <v>45694</v>
      </c>
      <c r="O1210" t="n">
        <v>38</v>
      </c>
    </row>
    <row r="1211">
      <c r="A1211" t="inlineStr">
        <is>
          <t>AU23664</t>
        </is>
      </c>
      <c r="C1211" t="inlineStr">
        <is>
          <t>VIC-TAS</t>
        </is>
      </c>
      <c r="D1211" t="inlineStr">
        <is>
          <t>Virtus Health</t>
        </is>
      </c>
      <c r="E1211" t="inlineStr">
        <is>
          <t>Receptionist</t>
        </is>
      </c>
      <c r="F1211" t="inlineStr">
        <is>
          <t>5/22/2025</t>
        </is>
      </c>
      <c r="H1211" t="inlineStr">
        <is>
          <t>MIVFS2022</t>
        </is>
      </c>
      <c r="I1211" t="inlineStr">
        <is>
          <t>VIC</t>
        </is>
      </c>
      <c r="J1211" t="inlineStr">
        <is>
          <t>Casual</t>
        </is>
      </c>
      <c r="K1211" s="23" t="inlineStr">
        <is>
          <t>5/22/2025</t>
        </is>
      </c>
      <c r="L1211" s="23" t="inlineStr">
        <is>
          <t>5/22/2025</t>
        </is>
      </c>
      <c r="O1211" t="n">
        <v>38</v>
      </c>
    </row>
    <row r="1212">
      <c r="A1212" t="inlineStr">
        <is>
          <t>AU23665</t>
        </is>
      </c>
      <c r="C1212" t="inlineStr">
        <is>
          <t>VIC-TAS</t>
        </is>
      </c>
      <c r="D1212" t="inlineStr">
        <is>
          <t>Virtus Health</t>
        </is>
      </c>
      <c r="E1212" t="inlineStr">
        <is>
          <t>Patient Liaison Administrator</t>
        </is>
      </c>
      <c r="F1212" t="inlineStr">
        <is>
          <t>5/26/2025</t>
        </is>
      </c>
      <c r="H1212" t="inlineStr">
        <is>
          <t>MIVFS2022</t>
        </is>
      </c>
      <c r="I1212" t="inlineStr">
        <is>
          <t>VIC</t>
        </is>
      </c>
      <c r="J1212" t="inlineStr">
        <is>
          <t>Part Time</t>
        </is>
      </c>
      <c r="K1212" s="23" t="inlineStr">
        <is>
          <t>5/26/2025</t>
        </is>
      </c>
      <c r="L1212" s="23" t="inlineStr">
        <is>
          <t>5/26/2025</t>
        </is>
      </c>
      <c r="O1212" t="n">
        <v>19</v>
      </c>
    </row>
    <row r="1213">
      <c r="A1213" t="inlineStr">
        <is>
          <t>AU23666</t>
        </is>
      </c>
      <c r="C1213" t="inlineStr">
        <is>
          <t>VIC-TAS</t>
        </is>
      </c>
      <c r="D1213" t="inlineStr">
        <is>
          <t>Virtus Health</t>
        </is>
      </c>
      <c r="E1213" t="inlineStr">
        <is>
          <t>Administration</t>
        </is>
      </c>
      <c r="F1213" t="inlineStr">
        <is>
          <t>5/26/2025</t>
        </is>
      </c>
      <c r="H1213" t="inlineStr">
        <is>
          <t>MIVFS2022</t>
        </is>
      </c>
      <c r="I1213" t="inlineStr">
        <is>
          <t>VIC</t>
        </is>
      </c>
      <c r="J1213" t="inlineStr">
        <is>
          <t>Casual</t>
        </is>
      </c>
      <c r="K1213" s="23" t="inlineStr">
        <is>
          <t>5/26/2025</t>
        </is>
      </c>
      <c r="L1213" s="23" t="inlineStr">
        <is>
          <t>5/26/2025</t>
        </is>
      </c>
      <c r="O1213" t="n">
        <v>38</v>
      </c>
    </row>
    <row r="1214">
      <c r="A1214" t="inlineStr">
        <is>
          <t>AU23667</t>
        </is>
      </c>
      <c r="B1214" s="1" t="n"/>
      <c r="C1214" t="inlineStr">
        <is>
          <t>NSW-QLD</t>
        </is>
      </c>
      <c r="D1214" t="inlineStr">
        <is>
          <t>Virtus Health</t>
        </is>
      </c>
      <c r="E1214" t="inlineStr">
        <is>
          <t>Nurse Coordinator</t>
        </is>
      </c>
      <c r="F1214" s="1" t="n">
        <v>45694</v>
      </c>
      <c r="H1214" t="inlineStr">
        <is>
          <t>IVFN2021</t>
        </is>
      </c>
      <c r="I1214" t="inlineStr">
        <is>
          <t>NSW</t>
        </is>
      </c>
      <c r="J1214" t="inlineStr">
        <is>
          <t>Full Time</t>
        </is>
      </c>
      <c r="K1214" s="23" t="n">
        <v>45694</v>
      </c>
      <c r="L1214" s="23" t="n">
        <v>45694</v>
      </c>
      <c r="O1214" t="n">
        <v>38</v>
      </c>
    </row>
    <row r="1215">
      <c r="A1215" t="inlineStr">
        <is>
          <t>AU23670</t>
        </is>
      </c>
      <c r="C1215" t="inlineStr">
        <is>
          <t>NSW-QLD</t>
        </is>
      </c>
      <c r="D1215" t="inlineStr">
        <is>
          <t>Virtus Health</t>
        </is>
      </c>
      <c r="E1215" t="inlineStr">
        <is>
          <t>Registered Nurse</t>
        </is>
      </c>
      <c r="F1215" t="inlineStr">
        <is>
          <t>6/16/2025</t>
        </is>
      </c>
      <c r="H1215" t="inlineStr">
        <is>
          <t>IVFN2021</t>
        </is>
      </c>
      <c r="I1215" t="inlineStr">
        <is>
          <t>NSW</t>
        </is>
      </c>
      <c r="J1215" t="inlineStr">
        <is>
          <t>Part Time</t>
        </is>
      </c>
      <c r="K1215" s="23" t="inlineStr">
        <is>
          <t>6/16/2025</t>
        </is>
      </c>
      <c r="L1215" s="23" t="inlineStr">
        <is>
          <t>6/16/2025</t>
        </is>
      </c>
      <c r="O1215" t="n">
        <v>30.4</v>
      </c>
    </row>
    <row r="1216">
      <c r="A1216" t="inlineStr">
        <is>
          <t>AU23671</t>
        </is>
      </c>
      <c r="C1216" t="inlineStr">
        <is>
          <t>NSW-QLD</t>
        </is>
      </c>
      <c r="D1216" t="inlineStr">
        <is>
          <t>Virtus Health</t>
        </is>
      </c>
      <c r="E1216" t="inlineStr">
        <is>
          <t>Registered Nurse</t>
        </is>
      </c>
      <c r="F1216" t="inlineStr">
        <is>
          <t>5/27/2025</t>
        </is>
      </c>
      <c r="H1216" t="inlineStr">
        <is>
          <t>QN2025</t>
        </is>
      </c>
      <c r="I1216" t="inlineStr">
        <is>
          <t>QLD</t>
        </is>
      </c>
      <c r="J1216" t="inlineStr">
        <is>
          <t>Casual</t>
        </is>
      </c>
      <c r="K1216" s="23" t="inlineStr">
        <is>
          <t>5/27/2025</t>
        </is>
      </c>
      <c r="L1216" s="23" t="inlineStr">
        <is>
          <t>5/27/2025</t>
        </is>
      </c>
      <c r="O1216" t="n">
        <v>38</v>
      </c>
    </row>
    <row r="1217">
      <c r="A1217" t="inlineStr">
        <is>
          <t>AU23672</t>
        </is>
      </c>
      <c r="C1217" t="inlineStr">
        <is>
          <t>VIC-TAS</t>
        </is>
      </c>
      <c r="D1217" t="inlineStr">
        <is>
          <t>Virtus Health</t>
        </is>
      </c>
      <c r="E1217" t="inlineStr">
        <is>
          <t>Executive Assistant</t>
        </is>
      </c>
      <c r="F1217" t="inlineStr">
        <is>
          <t>5/29/2025</t>
        </is>
      </c>
      <c r="H1217" t="inlineStr">
        <is>
          <t>VIC</t>
        </is>
      </c>
      <c r="I1217" t="inlineStr">
        <is>
          <t>VIC</t>
        </is>
      </c>
      <c r="J1217" t="inlineStr">
        <is>
          <t>Full Time</t>
        </is>
      </c>
      <c r="K1217" s="23" t="inlineStr">
        <is>
          <t>5/29/2025</t>
        </is>
      </c>
      <c r="L1217" s="23" t="inlineStr">
        <is>
          <t>5/29/2025</t>
        </is>
      </c>
      <c r="O1217" t="n">
        <v>38</v>
      </c>
    </row>
    <row r="1218">
      <c r="A1218" t="inlineStr">
        <is>
          <t>AU23674</t>
        </is>
      </c>
      <c r="B1218" s="1" t="n"/>
      <c r="C1218" t="inlineStr">
        <is>
          <t>NSW-QLD</t>
        </is>
      </c>
      <c r="D1218" t="inlineStr">
        <is>
          <t>Virtus Health</t>
        </is>
      </c>
      <c r="E1218" t="inlineStr">
        <is>
          <t>Deputy Chief Executive Officer &amp; Head of Internal</t>
        </is>
      </c>
      <c r="F1218" s="1" t="n">
        <v>45753</v>
      </c>
      <c r="H1218" t="inlineStr">
        <is>
          <t>VIC</t>
        </is>
      </c>
      <c r="I1218" t="inlineStr">
        <is>
          <t>VIC</t>
        </is>
      </c>
      <c r="J1218" t="inlineStr">
        <is>
          <t>Full Time</t>
        </is>
      </c>
      <c r="K1218" s="23" t="n">
        <v>45753</v>
      </c>
      <c r="L1218" s="23" t="n">
        <v>45753</v>
      </c>
      <c r="O1218" t="n">
        <v>25.75</v>
      </c>
    </row>
    <row r="1219">
      <c r="A1219" t="inlineStr">
        <is>
          <t>AU23675</t>
        </is>
      </c>
      <c r="B1219" s="1" t="n"/>
      <c r="C1219" t="inlineStr">
        <is>
          <t>NSW-QLD</t>
        </is>
      </c>
      <c r="D1219" t="inlineStr">
        <is>
          <t>Virtus Health</t>
        </is>
      </c>
      <c r="E1219" t="inlineStr">
        <is>
          <t>Theatre Orderly</t>
        </is>
      </c>
      <c r="F1219" s="1" t="n">
        <v>45694</v>
      </c>
      <c r="H1219" t="inlineStr">
        <is>
          <t>IVFS2023</t>
        </is>
      </c>
      <c r="I1219" t="inlineStr">
        <is>
          <t>NSW</t>
        </is>
      </c>
      <c r="J1219" t="inlineStr">
        <is>
          <t>Casual</t>
        </is>
      </c>
      <c r="K1219" s="23" t="n">
        <v>45694</v>
      </c>
      <c r="L1219" s="23" t="n">
        <v>45694</v>
      </c>
      <c r="O1219" t="n">
        <v>38</v>
      </c>
    </row>
    <row r="1220">
      <c r="A1220" t="inlineStr">
        <is>
          <t>AU23676</t>
        </is>
      </c>
      <c r="B1220" s="1" t="n"/>
      <c r="C1220" t="inlineStr">
        <is>
          <t>NSW-QLD</t>
        </is>
      </c>
      <c r="D1220" t="inlineStr">
        <is>
          <t>Virtus Health</t>
        </is>
      </c>
      <c r="E1220" t="inlineStr">
        <is>
          <t>Registered Nurse</t>
        </is>
      </c>
      <c r="F1220" s="1" t="n">
        <v>45661</v>
      </c>
      <c r="H1220" t="inlineStr">
        <is>
          <t>IVFN2021</t>
        </is>
      </c>
      <c r="I1220" t="inlineStr">
        <is>
          <t>NSW</t>
        </is>
      </c>
      <c r="J1220" t="inlineStr">
        <is>
          <t>Casual</t>
        </is>
      </c>
      <c r="K1220" s="23" t="n">
        <v>45661</v>
      </c>
      <c r="L1220" s="23" t="n">
        <v>45661</v>
      </c>
      <c r="O1220" t="n">
        <v>38</v>
      </c>
    </row>
    <row r="1221">
      <c r="A1221" t="inlineStr">
        <is>
          <t>AU23677</t>
        </is>
      </c>
      <c r="C1221" t="inlineStr">
        <is>
          <t>NSW-QLD</t>
        </is>
      </c>
      <c r="D1221" t="inlineStr">
        <is>
          <t>Virtus Health</t>
        </is>
      </c>
      <c r="E1221" t="inlineStr">
        <is>
          <t>Registered Nurse</t>
        </is>
      </c>
      <c r="F1221" t="inlineStr">
        <is>
          <t>6/23/2025</t>
        </is>
      </c>
      <c r="H1221" t="inlineStr">
        <is>
          <t>QN2025</t>
        </is>
      </c>
      <c r="I1221" t="inlineStr">
        <is>
          <t>QLD</t>
        </is>
      </c>
      <c r="J1221" t="inlineStr">
        <is>
          <t>Part Time</t>
        </is>
      </c>
      <c r="K1221" s="23" t="inlineStr">
        <is>
          <t>6/23/2025</t>
        </is>
      </c>
      <c r="L1221" s="23" t="inlineStr">
        <is>
          <t>6/23/2025</t>
        </is>
      </c>
      <c r="O1221" t="n">
        <v>38</v>
      </c>
    </row>
    <row r="1222">
      <c r="A1222" t="inlineStr">
        <is>
          <t>AU23678</t>
        </is>
      </c>
      <c r="B1222" s="1" t="n"/>
      <c r="C1222" t="inlineStr">
        <is>
          <t>NSW-QLD</t>
        </is>
      </c>
      <c r="D1222" t="inlineStr">
        <is>
          <t>Virtus Health</t>
        </is>
      </c>
      <c r="E1222" t="inlineStr">
        <is>
          <t>Andrologist</t>
        </is>
      </c>
      <c r="F1222" s="1" t="n">
        <v>45967</v>
      </c>
      <c r="H1222" t="inlineStr">
        <is>
          <t>QS2024</t>
        </is>
      </c>
      <c r="I1222" t="inlineStr">
        <is>
          <t>QLD</t>
        </is>
      </c>
      <c r="J1222" t="inlineStr">
        <is>
          <t>Casual</t>
        </is>
      </c>
      <c r="K1222" s="23" t="n">
        <v>45967</v>
      </c>
      <c r="L1222" s="23" t="n">
        <v>45967</v>
      </c>
      <c r="O1222" t="n">
        <v>38</v>
      </c>
    </row>
    <row r="1223">
      <c r="A1223" t="inlineStr">
        <is>
          <t>AU23680</t>
        </is>
      </c>
      <c r="C1223" t="inlineStr">
        <is>
          <t>NSW-QLD</t>
        </is>
      </c>
      <c r="D1223" t="inlineStr">
        <is>
          <t>Virtus Health</t>
        </is>
      </c>
      <c r="E1223" t="inlineStr">
        <is>
          <t>CSSD Tech</t>
        </is>
      </c>
      <c r="F1223" t="inlineStr">
        <is>
          <t>5/19/2025</t>
        </is>
      </c>
      <c r="H1223" t="inlineStr">
        <is>
          <t>IVFS2023</t>
        </is>
      </c>
      <c r="I1223" t="inlineStr">
        <is>
          <t>NSW</t>
        </is>
      </c>
      <c r="J1223" t="inlineStr">
        <is>
          <t>Casual</t>
        </is>
      </c>
      <c r="K1223" s="23" t="inlineStr">
        <is>
          <t>5/19/2025</t>
        </is>
      </c>
      <c r="L1223" s="23" t="inlineStr">
        <is>
          <t>5/19/2025</t>
        </is>
      </c>
      <c r="O1223" t="n">
        <v>38</v>
      </c>
    </row>
    <row r="1224">
      <c r="A1224" t="inlineStr">
        <is>
          <t>AU23681</t>
        </is>
      </c>
      <c r="B1224" s="1" t="n"/>
      <c r="C1224" t="inlineStr">
        <is>
          <t>NSW-QLD</t>
        </is>
      </c>
      <c r="D1224" t="inlineStr">
        <is>
          <t>Virtus Health</t>
        </is>
      </c>
      <c r="E1224" t="inlineStr">
        <is>
          <t>Registered Nurse</t>
        </is>
      </c>
      <c r="F1224" s="1" t="n">
        <v>45906</v>
      </c>
      <c r="H1224" t="inlineStr">
        <is>
          <t>QN2025</t>
        </is>
      </c>
      <c r="I1224" t="inlineStr">
        <is>
          <t>QLD</t>
        </is>
      </c>
      <c r="J1224" t="inlineStr">
        <is>
          <t>Casual</t>
        </is>
      </c>
      <c r="K1224" s="23" t="n">
        <v>45906</v>
      </c>
      <c r="L1224" s="23" t="n">
        <v>45906</v>
      </c>
      <c r="O1224" t="n">
        <v>38</v>
      </c>
    </row>
    <row r="1225">
      <c r="A1225" t="inlineStr">
        <is>
          <t>AU23682</t>
        </is>
      </c>
      <c r="C1225" t="inlineStr">
        <is>
          <t>NSW-QLD</t>
        </is>
      </c>
      <c r="D1225" t="inlineStr">
        <is>
          <t>Virtus Health</t>
        </is>
      </c>
      <c r="E1225" t="inlineStr">
        <is>
          <t>Registered Nurse</t>
        </is>
      </c>
      <c r="F1225" t="inlineStr">
        <is>
          <t>6/16/2025</t>
        </is>
      </c>
      <c r="H1225" t="inlineStr">
        <is>
          <t>QN2025</t>
        </is>
      </c>
      <c r="I1225" t="inlineStr">
        <is>
          <t>QLD</t>
        </is>
      </c>
      <c r="J1225" t="inlineStr">
        <is>
          <t>Part Time</t>
        </is>
      </c>
      <c r="K1225" s="23" t="inlineStr">
        <is>
          <t>6/16/2025</t>
        </is>
      </c>
      <c r="L1225" s="23" t="inlineStr">
        <is>
          <t>6/16/2025</t>
        </is>
      </c>
      <c r="O1225" t="n">
        <v>15</v>
      </c>
    </row>
    <row r="1226">
      <c r="A1226" t="inlineStr">
        <is>
          <t>AU23684</t>
        </is>
      </c>
      <c r="B1226" s="1" t="n"/>
      <c r="C1226" t="inlineStr">
        <is>
          <t>VIC-TAS</t>
        </is>
      </c>
      <c r="D1226" t="inlineStr">
        <is>
          <t>Virtus Health</t>
        </is>
      </c>
      <c r="E1226" t="inlineStr">
        <is>
          <t>Donor Administrator</t>
        </is>
      </c>
      <c r="F1226" s="1" t="n">
        <v>45936</v>
      </c>
      <c r="H1226" t="inlineStr">
        <is>
          <t>MIVFS2022</t>
        </is>
      </c>
      <c r="I1226" t="inlineStr">
        <is>
          <t>VIC</t>
        </is>
      </c>
      <c r="J1226" t="inlineStr">
        <is>
          <t>Full Time</t>
        </is>
      </c>
      <c r="K1226" s="23" t="n">
        <v>45936</v>
      </c>
      <c r="L1226" s="23" t="n">
        <v>45936</v>
      </c>
      <c r="O1226" t="n">
        <v>38</v>
      </c>
    </row>
    <row r="1227">
      <c r="A1227" t="inlineStr">
        <is>
          <t>AU23686</t>
        </is>
      </c>
      <c r="B1227" s="1" t="n"/>
      <c r="C1227" t="inlineStr">
        <is>
          <t>VIC-TAS</t>
        </is>
      </c>
      <c r="D1227" t="inlineStr">
        <is>
          <t>Virtus Health</t>
        </is>
      </c>
      <c r="E1227" t="inlineStr">
        <is>
          <t>Administration Clerk</t>
        </is>
      </c>
      <c r="F1227" s="1" t="n">
        <v>45906</v>
      </c>
      <c r="H1227" t="inlineStr">
        <is>
          <t>MIVFS2022</t>
        </is>
      </c>
      <c r="I1227" t="inlineStr">
        <is>
          <t>VIC</t>
        </is>
      </c>
      <c r="J1227" t="inlineStr">
        <is>
          <t>Full Time</t>
        </is>
      </c>
      <c r="K1227" s="23" t="n">
        <v>45906</v>
      </c>
      <c r="L1227" s="23" t="n">
        <v>45906</v>
      </c>
      <c r="O1227" t="n">
        <v>38</v>
      </c>
    </row>
    <row r="1228">
      <c r="A1228" t="inlineStr">
        <is>
          <t>AU23687</t>
        </is>
      </c>
      <c r="C1228" t="inlineStr">
        <is>
          <t>NSW-QLD</t>
        </is>
      </c>
      <c r="D1228" t="inlineStr">
        <is>
          <t>Virtus Health</t>
        </is>
      </c>
      <c r="E1228" t="inlineStr">
        <is>
          <t>CSSD Technician</t>
        </is>
      </c>
      <c r="F1228" t="inlineStr">
        <is>
          <t>9/14/2020</t>
        </is>
      </c>
      <c r="H1228" t="inlineStr">
        <is>
          <t>IVFS2023</t>
        </is>
      </c>
      <c r="I1228" t="inlineStr">
        <is>
          <t>NSW</t>
        </is>
      </c>
      <c r="J1228" t="inlineStr">
        <is>
          <t>Full Time</t>
        </is>
      </c>
      <c r="K1228" s="23" t="inlineStr">
        <is>
          <t>9/14/2020</t>
        </is>
      </c>
      <c r="L1228" s="23" t="inlineStr">
        <is>
          <t>9/14/2020</t>
        </is>
      </c>
      <c r="O1228" t="n">
        <v>24</v>
      </c>
    </row>
    <row r="1229">
      <c r="A1229" t="inlineStr">
        <is>
          <t>AU23688</t>
        </is>
      </c>
      <c r="C1229" t="inlineStr">
        <is>
          <t>NSW-QLD</t>
        </is>
      </c>
      <c r="D1229" t="inlineStr">
        <is>
          <t>Virtus Health</t>
        </is>
      </c>
      <c r="E1229" t="inlineStr">
        <is>
          <t>Laboratory Administration Assistant</t>
        </is>
      </c>
      <c r="F1229" t="inlineStr">
        <is>
          <t>7/14/2025</t>
        </is>
      </c>
      <c r="H1229" t="inlineStr">
        <is>
          <t>IVFS2023</t>
        </is>
      </c>
      <c r="I1229" t="inlineStr">
        <is>
          <t>QLD</t>
        </is>
      </c>
      <c r="J1229" t="inlineStr">
        <is>
          <t>Casual</t>
        </is>
      </c>
      <c r="K1229" s="23" t="inlineStr">
        <is>
          <t>7/14/2025</t>
        </is>
      </c>
      <c r="L1229" s="23" t="inlineStr">
        <is>
          <t>7/14/2025</t>
        </is>
      </c>
      <c r="O1229" t="n">
        <v>6</v>
      </c>
    </row>
    <row r="1230">
      <c r="A1230" t="inlineStr">
        <is>
          <t>AU23689</t>
        </is>
      </c>
      <c r="B1230" s="1" t="n"/>
      <c r="C1230" t="inlineStr">
        <is>
          <t>VIC-TAS</t>
        </is>
      </c>
      <c r="D1230" t="inlineStr">
        <is>
          <t>Virtus Health</t>
        </is>
      </c>
      <c r="E1230" t="inlineStr">
        <is>
          <t>Donor Administrator</t>
        </is>
      </c>
      <c r="F1230" s="1" t="n">
        <v>45936</v>
      </c>
      <c r="H1230" t="inlineStr">
        <is>
          <t>MIVFS2022</t>
        </is>
      </c>
      <c r="I1230" t="inlineStr">
        <is>
          <t>VIC</t>
        </is>
      </c>
      <c r="J1230" t="inlineStr">
        <is>
          <t>Full Time</t>
        </is>
      </c>
      <c r="K1230" s="23" t="n">
        <v>45936</v>
      </c>
      <c r="L1230" s="23" t="n">
        <v>45936</v>
      </c>
      <c r="O1230" t="n">
        <v>38</v>
      </c>
    </row>
    <row r="1231">
      <c r="A1231" t="inlineStr">
        <is>
          <t>AU23690</t>
        </is>
      </c>
      <c r="C1231" t="inlineStr">
        <is>
          <t>NSW-QLD</t>
        </is>
      </c>
      <c r="D1231" t="inlineStr">
        <is>
          <t>Virtus Health</t>
        </is>
      </c>
      <c r="E1231" t="inlineStr">
        <is>
          <t>Registered Nurse</t>
        </is>
      </c>
      <c r="F1231" t="inlineStr">
        <is>
          <t>6/16/2025</t>
        </is>
      </c>
      <c r="H1231" t="inlineStr">
        <is>
          <t>QN2025</t>
        </is>
      </c>
      <c r="I1231" t="inlineStr">
        <is>
          <t>QLD</t>
        </is>
      </c>
      <c r="J1231" t="inlineStr">
        <is>
          <t>Casual</t>
        </is>
      </c>
      <c r="K1231" s="23" t="inlineStr">
        <is>
          <t>6/16/2025</t>
        </is>
      </c>
      <c r="L1231" s="23" t="inlineStr">
        <is>
          <t>6/16/2025</t>
        </is>
      </c>
      <c r="O1231" t="n">
        <v>25.5</v>
      </c>
    </row>
    <row r="1232">
      <c r="A1232" t="inlineStr">
        <is>
          <t>AU23692</t>
        </is>
      </c>
      <c r="C1232" t="inlineStr">
        <is>
          <t>NSW-QLD</t>
        </is>
      </c>
      <c r="D1232" t="inlineStr">
        <is>
          <t>Virtus Health</t>
        </is>
      </c>
      <c r="E1232" t="inlineStr">
        <is>
          <t>Laboratory Support Assistant</t>
        </is>
      </c>
      <c r="F1232" t="inlineStr">
        <is>
          <t>6/16/2025</t>
        </is>
      </c>
      <c r="H1232" t="inlineStr">
        <is>
          <t>IVFT2024</t>
        </is>
      </c>
      <c r="I1232" t="inlineStr">
        <is>
          <t>NSW</t>
        </is>
      </c>
      <c r="J1232" t="inlineStr">
        <is>
          <t>Full Time</t>
        </is>
      </c>
      <c r="K1232" s="23" t="inlineStr">
        <is>
          <t>6/16/2025</t>
        </is>
      </c>
      <c r="L1232" s="23" t="inlineStr">
        <is>
          <t>6/16/2025</t>
        </is>
      </c>
      <c r="O1232" t="n">
        <v>38</v>
      </c>
    </row>
    <row r="1233">
      <c r="A1233" t="inlineStr">
        <is>
          <t>AU23693</t>
        </is>
      </c>
      <c r="C1233" t="inlineStr">
        <is>
          <t>NSW-QLD</t>
        </is>
      </c>
      <c r="D1233" t="inlineStr">
        <is>
          <t>Virtus Health</t>
        </is>
      </c>
      <c r="E1233" t="inlineStr">
        <is>
          <t>Nures Coordinator</t>
        </is>
      </c>
      <c r="F1233" t="inlineStr">
        <is>
          <t>6/23/2025</t>
        </is>
      </c>
      <c r="H1233" t="inlineStr">
        <is>
          <t>IVFN2021</t>
        </is>
      </c>
      <c r="I1233" t="inlineStr">
        <is>
          <t>NSW</t>
        </is>
      </c>
      <c r="J1233" t="inlineStr">
        <is>
          <t>Full Time</t>
        </is>
      </c>
      <c r="K1233" s="23" t="inlineStr">
        <is>
          <t>6/23/2025</t>
        </is>
      </c>
      <c r="L1233" s="23" t="inlineStr">
        <is>
          <t>6/23/2025</t>
        </is>
      </c>
      <c r="O1233" t="n">
        <v>38</v>
      </c>
    </row>
    <row r="1234">
      <c r="A1234" t="inlineStr">
        <is>
          <t>AU23694</t>
        </is>
      </c>
      <c r="B1234" s="1" t="n"/>
      <c r="C1234" t="inlineStr">
        <is>
          <t>NSW-QLD</t>
        </is>
      </c>
      <c r="D1234" t="inlineStr">
        <is>
          <t>Virtus Health</t>
        </is>
      </c>
      <c r="E1234" t="inlineStr">
        <is>
          <t>Internal Communication Manager</t>
        </is>
      </c>
      <c r="F1234" s="1" t="n">
        <v>45664</v>
      </c>
      <c r="H1234" t="inlineStr">
        <is>
          <t>VIC</t>
        </is>
      </c>
      <c r="I1234" t="inlineStr">
        <is>
          <t>VIC</t>
        </is>
      </c>
      <c r="J1234" t="inlineStr">
        <is>
          <t>Part Time</t>
        </is>
      </c>
      <c r="K1234" s="23" t="n">
        <v>45664</v>
      </c>
      <c r="L1234" s="23" t="n">
        <v>45664</v>
      </c>
      <c r="O1234" t="n">
        <v>38</v>
      </c>
    </row>
    <row r="1235">
      <c r="A1235" t="inlineStr">
        <is>
          <t>AU23696</t>
        </is>
      </c>
      <c r="C1235" t="inlineStr">
        <is>
          <t>NSW-QLD</t>
        </is>
      </c>
      <c r="D1235" t="inlineStr">
        <is>
          <t>Virtus Health</t>
        </is>
      </c>
      <c r="E1235" t="inlineStr">
        <is>
          <t>Registered Nurse</t>
        </is>
      </c>
      <c r="F1235" t="inlineStr">
        <is>
          <t>6/23/2025</t>
        </is>
      </c>
      <c r="H1235" t="inlineStr">
        <is>
          <t>IVFN2021</t>
        </is>
      </c>
      <c r="I1235" t="inlineStr">
        <is>
          <t>NSW</t>
        </is>
      </c>
      <c r="J1235" t="inlineStr">
        <is>
          <t>Part Time</t>
        </is>
      </c>
      <c r="K1235" s="23" t="inlineStr">
        <is>
          <t>6/23/2025</t>
        </is>
      </c>
      <c r="L1235" s="23" t="inlineStr">
        <is>
          <t>6/23/2025</t>
        </is>
      </c>
      <c r="O1235" t="n">
        <v>38</v>
      </c>
    </row>
    <row r="1236">
      <c r="A1236" t="inlineStr">
        <is>
          <t>AU23697</t>
        </is>
      </c>
      <c r="C1236" t="inlineStr">
        <is>
          <t>NSW-QLD</t>
        </is>
      </c>
      <c r="D1236" t="inlineStr">
        <is>
          <t>Virtus Health</t>
        </is>
      </c>
      <c r="E1236" t="inlineStr">
        <is>
          <t>Registered Nurse</t>
        </is>
      </c>
      <c r="F1236" t="inlineStr">
        <is>
          <t>6/16/2025</t>
        </is>
      </c>
      <c r="H1236" t="inlineStr">
        <is>
          <t>QN2025</t>
        </is>
      </c>
      <c r="I1236" t="inlineStr">
        <is>
          <t>QLD</t>
        </is>
      </c>
      <c r="J1236" t="inlineStr">
        <is>
          <t>Part Time</t>
        </is>
      </c>
      <c r="K1236" s="23" t="inlineStr">
        <is>
          <t>6/16/2025</t>
        </is>
      </c>
      <c r="L1236" s="23" t="inlineStr">
        <is>
          <t>6/16/2025</t>
        </is>
      </c>
      <c r="O1236" t="n">
        <v>38</v>
      </c>
    </row>
    <row r="1237">
      <c r="A1237" t="inlineStr">
        <is>
          <t>AU23698</t>
        </is>
      </c>
      <c r="C1237" t="inlineStr">
        <is>
          <t>NSW-QLD</t>
        </is>
      </c>
      <c r="D1237" t="inlineStr">
        <is>
          <t>Virtus Health</t>
        </is>
      </c>
      <c r="E1237" t="inlineStr">
        <is>
          <t>Nurse Coordinator</t>
        </is>
      </c>
      <c r="F1237" t="inlineStr">
        <is>
          <t>6/30/2025</t>
        </is>
      </c>
      <c r="H1237" t="inlineStr">
        <is>
          <t>IVFN2021</t>
        </is>
      </c>
      <c r="I1237" t="inlineStr">
        <is>
          <t>NSW</t>
        </is>
      </c>
      <c r="J1237" t="inlineStr">
        <is>
          <t>Casual</t>
        </is>
      </c>
      <c r="K1237" s="23" t="inlineStr">
        <is>
          <t>6/30/2025</t>
        </is>
      </c>
      <c r="L1237" s="23" t="inlineStr">
        <is>
          <t>6/30/2025</t>
        </is>
      </c>
      <c r="O1237" t="n">
        <v>38</v>
      </c>
    </row>
    <row r="1238">
      <c r="A1238" t="inlineStr">
        <is>
          <t>AU23699</t>
        </is>
      </c>
      <c r="C1238" t="inlineStr">
        <is>
          <t>NSW-QLD</t>
        </is>
      </c>
      <c r="D1238" t="inlineStr">
        <is>
          <t>Virtus Health</t>
        </is>
      </c>
      <c r="E1238" t="inlineStr">
        <is>
          <t>Laboratory Assistant</t>
        </is>
      </c>
      <c r="F1238" t="inlineStr">
        <is>
          <t>6/23/2025</t>
        </is>
      </c>
      <c r="H1238" t="inlineStr">
        <is>
          <t>QS2024</t>
        </is>
      </c>
      <c r="I1238" t="inlineStr">
        <is>
          <t>QLD</t>
        </is>
      </c>
      <c r="J1238" t="inlineStr">
        <is>
          <t>Part Time</t>
        </is>
      </c>
      <c r="K1238" s="23" t="inlineStr">
        <is>
          <t>6/23/2025</t>
        </is>
      </c>
      <c r="L1238" s="23" t="inlineStr">
        <is>
          <t>6/23/2025</t>
        </is>
      </c>
      <c r="O1238" t="n">
        <v>12</v>
      </c>
    </row>
    <row r="1239">
      <c r="A1239" t="inlineStr">
        <is>
          <t>AU23700</t>
        </is>
      </c>
      <c r="B1239" s="1" t="n"/>
      <c r="C1239" t="inlineStr">
        <is>
          <t>NSW-QLD</t>
        </is>
      </c>
      <c r="D1239" t="inlineStr">
        <is>
          <t>Virtus Health</t>
        </is>
      </c>
      <c r="E1239" t="inlineStr">
        <is>
          <t>Registered Nurse</t>
        </is>
      </c>
      <c r="F1239" s="1" t="n">
        <v>45754</v>
      </c>
      <c r="H1239" t="inlineStr">
        <is>
          <t>QN2025</t>
        </is>
      </c>
      <c r="I1239" t="inlineStr">
        <is>
          <t>QLD</t>
        </is>
      </c>
      <c r="J1239" t="inlineStr">
        <is>
          <t>Casual</t>
        </is>
      </c>
      <c r="K1239" s="23" t="n">
        <v>45754</v>
      </c>
      <c r="L1239" s="23" t="n">
        <v>45754</v>
      </c>
      <c r="O1239" t="n">
        <v>38</v>
      </c>
    </row>
    <row r="1240">
      <c r="A1240" t="inlineStr">
        <is>
          <t>AU23701</t>
        </is>
      </c>
      <c r="B1240" s="1" t="n"/>
      <c r="C1240" t="inlineStr">
        <is>
          <t>NSW-QLD</t>
        </is>
      </c>
      <c r="D1240" t="inlineStr">
        <is>
          <t>Virtus Health</t>
        </is>
      </c>
      <c r="E1240" t="inlineStr">
        <is>
          <t>Donor Nurse Practitioner</t>
        </is>
      </c>
      <c r="F1240" s="1" t="n">
        <v>45664</v>
      </c>
      <c r="H1240" t="inlineStr">
        <is>
          <t>NSW</t>
        </is>
      </c>
      <c r="I1240" t="inlineStr">
        <is>
          <t>NSW</t>
        </is>
      </c>
      <c r="J1240" t="inlineStr">
        <is>
          <t>Part Time</t>
        </is>
      </c>
      <c r="K1240" s="23" t="n">
        <v>45664</v>
      </c>
      <c r="L1240" s="23" t="n">
        <v>45664</v>
      </c>
      <c r="O1240" t="n">
        <v>15.2</v>
      </c>
    </row>
    <row r="1241">
      <c r="A1241" t="inlineStr">
        <is>
          <t>AU23702</t>
        </is>
      </c>
      <c r="C1241" t="inlineStr">
        <is>
          <t>NSW-QLD</t>
        </is>
      </c>
      <c r="D1241" t="inlineStr">
        <is>
          <t>Virtus Health</t>
        </is>
      </c>
      <c r="E1241" t="inlineStr">
        <is>
          <t>Theatre Orderly</t>
        </is>
      </c>
      <c r="F1241" t="inlineStr">
        <is>
          <t>6/30/2025</t>
        </is>
      </c>
      <c r="H1241" t="inlineStr">
        <is>
          <t>IVFS2023</t>
        </is>
      </c>
      <c r="I1241" t="inlineStr">
        <is>
          <t>QLD</t>
        </is>
      </c>
      <c r="J1241" t="inlineStr">
        <is>
          <t>Casual</t>
        </is>
      </c>
      <c r="K1241" s="23" t="inlineStr">
        <is>
          <t>6/30/2025</t>
        </is>
      </c>
      <c r="L1241" s="23" t="inlineStr">
        <is>
          <t>6/30/2025</t>
        </is>
      </c>
      <c r="O1241" t="n">
        <v>4</v>
      </c>
    </row>
    <row r="1242">
      <c r="A1242" t="inlineStr">
        <is>
          <t>AU23703</t>
        </is>
      </c>
      <c r="B1242" s="1" t="n"/>
      <c r="C1242" t="inlineStr">
        <is>
          <t>NSW-QLD</t>
        </is>
      </c>
      <c r="D1242" t="inlineStr">
        <is>
          <t>Virtus Health</t>
        </is>
      </c>
      <c r="E1242" t="inlineStr">
        <is>
          <t>Laboratory Support Assistant</t>
        </is>
      </c>
      <c r="F1242" s="1" t="n">
        <v>45845</v>
      </c>
      <c r="H1242" t="inlineStr">
        <is>
          <t>IVFT2024</t>
        </is>
      </c>
      <c r="I1242" t="inlineStr">
        <is>
          <t>NSW</t>
        </is>
      </c>
      <c r="J1242" t="inlineStr">
        <is>
          <t>Full Time</t>
        </is>
      </c>
      <c r="K1242" s="23" t="n">
        <v>45845</v>
      </c>
      <c r="L1242" s="23" t="n">
        <v>45845</v>
      </c>
      <c r="O1242" t="n">
        <v>38</v>
      </c>
    </row>
    <row r="1243">
      <c r="A1243" t="inlineStr">
        <is>
          <t>AU23704</t>
        </is>
      </c>
      <c r="C1243" t="inlineStr">
        <is>
          <t>NSW-QLD</t>
        </is>
      </c>
      <c r="D1243" t="inlineStr">
        <is>
          <t>Virtus Health</t>
        </is>
      </c>
      <c r="E1243" t="inlineStr">
        <is>
          <t>Donor Coordinator</t>
        </is>
      </c>
      <c r="F1243" t="inlineStr">
        <is>
          <t>6/23/2025</t>
        </is>
      </c>
      <c r="H1243" t="inlineStr">
        <is>
          <t>IVFS2023</t>
        </is>
      </c>
      <c r="I1243" t="inlineStr">
        <is>
          <t>NSW</t>
        </is>
      </c>
      <c r="J1243" t="inlineStr">
        <is>
          <t>Part Time</t>
        </is>
      </c>
      <c r="K1243" s="23" t="inlineStr">
        <is>
          <t>6/23/2025</t>
        </is>
      </c>
      <c r="L1243" s="23" t="inlineStr">
        <is>
          <t>6/23/2025</t>
        </is>
      </c>
      <c r="O1243" t="n">
        <v>10</v>
      </c>
    </row>
    <row r="1244">
      <c r="A1244" t="inlineStr">
        <is>
          <t>AU23705</t>
        </is>
      </c>
      <c r="B1244" s="1" t="n"/>
      <c r="C1244" t="inlineStr">
        <is>
          <t>VIC-TAS</t>
        </is>
      </c>
      <c r="D1244" t="inlineStr">
        <is>
          <t>Virtus Health</t>
        </is>
      </c>
      <c r="E1244" t="inlineStr">
        <is>
          <t>Administration Clerk</t>
        </is>
      </c>
      <c r="F1244" s="1" t="n">
        <v>45906</v>
      </c>
      <c r="H1244" t="inlineStr">
        <is>
          <t>MIVFS2022</t>
        </is>
      </c>
      <c r="I1244" t="inlineStr">
        <is>
          <t>VIC</t>
        </is>
      </c>
      <c r="J1244" t="inlineStr">
        <is>
          <t>Casual</t>
        </is>
      </c>
      <c r="K1244" s="23" t="n">
        <v>45906</v>
      </c>
      <c r="L1244" s="23" t="n">
        <v>45906</v>
      </c>
      <c r="O1244" t="n">
        <v>38</v>
      </c>
    </row>
    <row r="1245">
      <c r="A1245" t="inlineStr">
        <is>
          <t>AU23707</t>
        </is>
      </c>
      <c r="C1245" t="inlineStr">
        <is>
          <t>VIC-TAS</t>
        </is>
      </c>
      <c r="D1245" t="inlineStr">
        <is>
          <t>Virtus Health</t>
        </is>
      </c>
      <c r="E1245" t="inlineStr">
        <is>
          <t>Assistant in Nursing</t>
        </is>
      </c>
      <c r="F1245" t="inlineStr">
        <is>
          <t>6/25/2025</t>
        </is>
      </c>
      <c r="H1245" t="inlineStr">
        <is>
          <t>VIC</t>
        </is>
      </c>
      <c r="I1245" t="inlineStr">
        <is>
          <t>VIC</t>
        </is>
      </c>
      <c r="J1245" t="inlineStr">
        <is>
          <t>Casual</t>
        </is>
      </c>
      <c r="K1245" s="23" t="inlineStr">
        <is>
          <t>6/25/2025</t>
        </is>
      </c>
      <c r="L1245" s="23" t="inlineStr">
        <is>
          <t>6/25/2025</t>
        </is>
      </c>
      <c r="O1245" t="n">
        <v>38</v>
      </c>
    </row>
    <row r="1246">
      <c r="A1246" t="inlineStr">
        <is>
          <t>AU23708</t>
        </is>
      </c>
      <c r="C1246" t="inlineStr">
        <is>
          <t>NSW-QLD</t>
        </is>
      </c>
      <c r="D1246" t="inlineStr">
        <is>
          <t>Virtus Health</t>
        </is>
      </c>
      <c r="E1246" t="inlineStr">
        <is>
          <t>Assistant in Nursing</t>
        </is>
      </c>
      <c r="F1246" t="inlineStr">
        <is>
          <t>7/14/2025</t>
        </is>
      </c>
      <c r="H1246" t="inlineStr">
        <is>
          <t>IVFN2021</t>
        </is>
      </c>
      <c r="I1246" t="inlineStr">
        <is>
          <t>NSW</t>
        </is>
      </c>
      <c r="J1246" t="inlineStr">
        <is>
          <t>Part Time</t>
        </is>
      </c>
      <c r="K1246" s="23" t="inlineStr">
        <is>
          <t>7/14/2025</t>
        </is>
      </c>
      <c r="L1246" s="23" t="inlineStr">
        <is>
          <t>7/14/2025</t>
        </is>
      </c>
      <c r="O1246" t="n">
        <v>38</v>
      </c>
    </row>
    <row r="1247">
      <c r="A1247" t="inlineStr">
        <is>
          <t>AU23709</t>
        </is>
      </c>
      <c r="B1247" s="1" t="n"/>
      <c r="C1247" t="inlineStr">
        <is>
          <t>VIC-TAS</t>
        </is>
      </c>
      <c r="D1247" t="inlineStr">
        <is>
          <t>Virtus Health</t>
        </is>
      </c>
      <c r="E1247" t="inlineStr">
        <is>
          <t>Registered Nurse</t>
        </is>
      </c>
      <c r="F1247" s="1" t="n">
        <v>45845</v>
      </c>
      <c r="H1247" t="inlineStr">
        <is>
          <t>TIVF2024</t>
        </is>
      </c>
      <c r="I1247" t="inlineStr">
        <is>
          <t>TAS</t>
        </is>
      </c>
      <c r="J1247" t="inlineStr">
        <is>
          <t>Casual</t>
        </is>
      </c>
      <c r="K1247" s="23" t="n">
        <v>45845</v>
      </c>
      <c r="L1247" s="23" t="n">
        <v>45845</v>
      </c>
      <c r="O1247" t="n">
        <v>38</v>
      </c>
    </row>
    <row r="1248">
      <c r="A1248" t="inlineStr">
        <is>
          <t>AU23711</t>
        </is>
      </c>
      <c r="B1248" s="1" t="n"/>
      <c r="C1248" t="inlineStr">
        <is>
          <t>NSW-QLD</t>
        </is>
      </c>
      <c r="D1248" t="inlineStr">
        <is>
          <t>Virtus Health</t>
        </is>
      </c>
      <c r="E1248" t="inlineStr">
        <is>
          <t>CSSD Technician</t>
        </is>
      </c>
      <c r="F1248" s="1" t="n">
        <v>45874</v>
      </c>
      <c r="H1248" t="inlineStr">
        <is>
          <t>IVFS2023</t>
        </is>
      </c>
      <c r="I1248" t="inlineStr">
        <is>
          <t>NSW</t>
        </is>
      </c>
      <c r="J1248" t="inlineStr">
        <is>
          <t>Casual</t>
        </is>
      </c>
      <c r="K1248" s="23" t="n">
        <v>45874</v>
      </c>
      <c r="L1248" s="23" t="n">
        <v>45874</v>
      </c>
      <c r="O1248" t="n">
        <v>38</v>
      </c>
    </row>
    <row r="1249">
      <c r="A1249" t="inlineStr">
        <is>
          <t>AU23712</t>
        </is>
      </c>
      <c r="C1249" t="inlineStr">
        <is>
          <t>NSW-QLD</t>
        </is>
      </c>
      <c r="D1249" t="inlineStr">
        <is>
          <t>Virtus Health</t>
        </is>
      </c>
      <c r="E1249" t="inlineStr">
        <is>
          <t xml:space="preserve">Business Development Manager </t>
        </is>
      </c>
      <c r="F1249" t="inlineStr">
        <is>
          <t>6/30/2025</t>
        </is>
      </c>
      <c r="H1249" t="inlineStr">
        <is>
          <t>NSW</t>
        </is>
      </c>
      <c r="I1249" t="inlineStr">
        <is>
          <t>NSW</t>
        </is>
      </c>
      <c r="J1249" t="inlineStr">
        <is>
          <t>Full Time</t>
        </is>
      </c>
      <c r="K1249" s="23" t="inlineStr">
        <is>
          <t>6/30/2025</t>
        </is>
      </c>
      <c r="L1249" s="23" t="inlineStr">
        <is>
          <t>6/30/2025</t>
        </is>
      </c>
      <c r="O1249" t="n">
        <v>38</v>
      </c>
    </row>
    <row r="1250">
      <c r="A1250" t="inlineStr">
        <is>
          <t>AU23713</t>
        </is>
      </c>
      <c r="B1250" s="1" t="n"/>
      <c r="C1250" t="inlineStr">
        <is>
          <t>VIC-TAS</t>
        </is>
      </c>
      <c r="D1250" t="inlineStr">
        <is>
          <t>Virtus Health</t>
        </is>
      </c>
      <c r="E1250" t="inlineStr">
        <is>
          <t>IVF Laboratory Administrator</t>
        </is>
      </c>
      <c r="F1250" s="1" t="n">
        <v>45845</v>
      </c>
      <c r="H1250" t="inlineStr">
        <is>
          <t>MIVFS2022</t>
        </is>
      </c>
      <c r="I1250" t="inlineStr">
        <is>
          <t>VIC</t>
        </is>
      </c>
      <c r="J1250" t="inlineStr">
        <is>
          <t>Full Time</t>
        </is>
      </c>
      <c r="K1250" s="23" t="n">
        <v>45845</v>
      </c>
      <c r="L1250" s="23" t="n">
        <v>45845</v>
      </c>
      <c r="O1250" t="n">
        <v>38</v>
      </c>
    </row>
    <row r="1251">
      <c r="A1251" t="inlineStr">
        <is>
          <t>AU23714</t>
        </is>
      </c>
      <c r="C1251" t="inlineStr">
        <is>
          <t>NSW-QLD</t>
        </is>
      </c>
      <c r="D1251" t="inlineStr">
        <is>
          <t>Virtus Health</t>
        </is>
      </c>
      <c r="E1251" t="inlineStr">
        <is>
          <t>Assistant in Nursing</t>
        </is>
      </c>
      <c r="F1251" t="inlineStr">
        <is>
          <t>6/30/2025</t>
        </is>
      </c>
      <c r="H1251" t="inlineStr">
        <is>
          <t>IVFN2021</t>
        </is>
      </c>
      <c r="I1251" t="inlineStr">
        <is>
          <t>NSW</t>
        </is>
      </c>
      <c r="J1251" t="inlineStr">
        <is>
          <t>Part Time</t>
        </is>
      </c>
      <c r="K1251" s="23" t="inlineStr">
        <is>
          <t>6/30/2025</t>
        </is>
      </c>
      <c r="L1251" s="23" t="inlineStr">
        <is>
          <t>6/30/2025</t>
        </is>
      </c>
      <c r="O1251" t="n">
        <v>24</v>
      </c>
    </row>
    <row r="1252">
      <c r="A1252" t="inlineStr">
        <is>
          <t>AU23715</t>
        </is>
      </c>
      <c r="B1252" s="1" t="n"/>
      <c r="C1252" t="inlineStr">
        <is>
          <t>NSW-QLD</t>
        </is>
      </c>
      <c r="D1252" t="inlineStr">
        <is>
          <t>Virtus Health</t>
        </is>
      </c>
      <c r="E1252" t="inlineStr">
        <is>
          <t>Registered Nurse</t>
        </is>
      </c>
      <c r="F1252" s="1" t="n">
        <v>45754</v>
      </c>
      <c r="H1252" t="inlineStr">
        <is>
          <t>IVFN2021</t>
        </is>
      </c>
      <c r="I1252" t="inlineStr">
        <is>
          <t>NSW</t>
        </is>
      </c>
      <c r="J1252" t="inlineStr">
        <is>
          <t>Part Time</t>
        </is>
      </c>
      <c r="K1252" s="23" t="n">
        <v>45754</v>
      </c>
      <c r="L1252" s="23" t="n">
        <v>45754</v>
      </c>
      <c r="O1252" t="n">
        <v>38</v>
      </c>
    </row>
    <row r="1253">
      <c r="A1253" t="inlineStr">
        <is>
          <t>AU23716</t>
        </is>
      </c>
      <c r="C1253" t="inlineStr">
        <is>
          <t>NSW-QLD</t>
        </is>
      </c>
      <c r="D1253" t="inlineStr">
        <is>
          <t>Virtus Health</t>
        </is>
      </c>
      <c r="E1253" t="inlineStr">
        <is>
          <t>Assistant in Nursing</t>
        </is>
      </c>
      <c r="F1253" t="inlineStr">
        <is>
          <t>6/30/2025</t>
        </is>
      </c>
      <c r="H1253" t="inlineStr">
        <is>
          <t>IVFN2021</t>
        </is>
      </c>
      <c r="I1253" t="inlineStr">
        <is>
          <t>NSW</t>
        </is>
      </c>
      <c r="J1253" t="inlineStr">
        <is>
          <t>Part Time</t>
        </is>
      </c>
      <c r="K1253" s="23" t="inlineStr">
        <is>
          <t>6/30/2025</t>
        </is>
      </c>
      <c r="L1253" s="23" t="inlineStr">
        <is>
          <t>6/30/2025</t>
        </is>
      </c>
      <c r="O1253" t="n">
        <v>38</v>
      </c>
    </row>
    <row r="1254">
      <c r="A1254" t="inlineStr">
        <is>
          <t>AU23717</t>
        </is>
      </c>
      <c r="C1254" t="inlineStr">
        <is>
          <t>VIC-TAS</t>
        </is>
      </c>
      <c r="D1254" t="inlineStr">
        <is>
          <t>Virtus Health</t>
        </is>
      </c>
      <c r="E1254" t="inlineStr">
        <is>
          <t>Medical Secretary</t>
        </is>
      </c>
      <c r="F1254" t="inlineStr">
        <is>
          <t>7/21/2025</t>
        </is>
      </c>
      <c r="H1254" t="inlineStr">
        <is>
          <t>MIVFS2022</t>
        </is>
      </c>
      <c r="I1254" t="inlineStr">
        <is>
          <t>VIC</t>
        </is>
      </c>
      <c r="J1254" t="inlineStr">
        <is>
          <t>Full Time</t>
        </is>
      </c>
      <c r="K1254" s="23" t="inlineStr">
        <is>
          <t>7/21/2025</t>
        </is>
      </c>
      <c r="L1254" s="23" t="inlineStr">
        <is>
          <t>7/21/2025</t>
        </is>
      </c>
      <c r="O1254" t="n">
        <v>38</v>
      </c>
    </row>
    <row r="1255">
      <c r="A1255" t="inlineStr">
        <is>
          <t>AU23718</t>
        </is>
      </c>
      <c r="C1255" t="inlineStr">
        <is>
          <t>NSW-QLD</t>
        </is>
      </c>
      <c r="D1255" t="inlineStr">
        <is>
          <t>Virtus Health</t>
        </is>
      </c>
      <c r="E1255" t="inlineStr">
        <is>
          <t>Registered Nurse</t>
        </is>
      </c>
      <c r="F1255" t="inlineStr">
        <is>
          <t>6/16/2025</t>
        </is>
      </c>
      <c r="H1255" t="inlineStr">
        <is>
          <t>IVFN2021</t>
        </is>
      </c>
      <c r="I1255" t="inlineStr">
        <is>
          <t>NSW</t>
        </is>
      </c>
      <c r="J1255" t="inlineStr">
        <is>
          <t>Part Time</t>
        </is>
      </c>
      <c r="K1255" s="23" t="inlineStr">
        <is>
          <t>6/16/2025</t>
        </is>
      </c>
      <c r="L1255" s="23" t="inlineStr">
        <is>
          <t>6/16/2025</t>
        </is>
      </c>
      <c r="O1255" t="n">
        <v>19</v>
      </c>
    </row>
    <row r="1256">
      <c r="A1256" t="inlineStr">
        <is>
          <t>AU23719</t>
        </is>
      </c>
      <c r="B1256" s="1" t="n"/>
      <c r="C1256" t="inlineStr">
        <is>
          <t>NSW-QLD</t>
        </is>
      </c>
      <c r="D1256" t="inlineStr">
        <is>
          <t>Virtus Health</t>
        </is>
      </c>
      <c r="E1256" t="inlineStr">
        <is>
          <t>Registered Nurse</t>
        </is>
      </c>
      <c r="F1256" s="1" t="n">
        <v>45845</v>
      </c>
      <c r="H1256" t="inlineStr">
        <is>
          <t>IVFN2021</t>
        </is>
      </c>
      <c r="I1256" t="inlineStr">
        <is>
          <t>NSW</t>
        </is>
      </c>
      <c r="J1256" t="inlineStr">
        <is>
          <t>Casual</t>
        </is>
      </c>
      <c r="K1256" s="23" t="n">
        <v>45845</v>
      </c>
      <c r="L1256" s="23" t="n">
        <v>45845</v>
      </c>
      <c r="O1256" t="n">
        <v>20</v>
      </c>
    </row>
    <row r="1257">
      <c r="A1257" t="inlineStr">
        <is>
          <t>AU23721</t>
        </is>
      </c>
      <c r="C1257" t="inlineStr">
        <is>
          <t>NSW-QLD</t>
        </is>
      </c>
      <c r="D1257" t="inlineStr">
        <is>
          <t>Virtus Health</t>
        </is>
      </c>
      <c r="E1257" t="inlineStr">
        <is>
          <t>National Business Developement Manager</t>
        </is>
      </c>
      <c r="F1257" t="inlineStr">
        <is>
          <t>7/28/2025</t>
        </is>
      </c>
      <c r="H1257" t="inlineStr">
        <is>
          <t>VIC</t>
        </is>
      </c>
      <c r="I1257" t="inlineStr">
        <is>
          <t>VIC</t>
        </is>
      </c>
      <c r="J1257" t="inlineStr">
        <is>
          <t>Full Time</t>
        </is>
      </c>
      <c r="K1257" s="23" t="inlineStr">
        <is>
          <t>7/28/2025</t>
        </is>
      </c>
      <c r="L1257" s="23" t="inlineStr">
        <is>
          <t>7/28/2025</t>
        </is>
      </c>
      <c r="O1257" t="n">
        <v>38</v>
      </c>
    </row>
    <row r="1258">
      <c r="A1258" t="inlineStr">
        <is>
          <t>AU23722</t>
        </is>
      </c>
      <c r="C1258" t="inlineStr">
        <is>
          <t>NSW-QLD</t>
        </is>
      </c>
      <c r="D1258" t="inlineStr">
        <is>
          <t>Virtus Health</t>
        </is>
      </c>
      <c r="E1258" t="inlineStr">
        <is>
          <t>Technonogy Operations Engineer</t>
        </is>
      </c>
      <c r="F1258" t="inlineStr">
        <is>
          <t>7/21/2025</t>
        </is>
      </c>
      <c r="H1258" t="inlineStr">
        <is>
          <t>NSW</t>
        </is>
      </c>
      <c r="I1258" t="inlineStr">
        <is>
          <t>NSW</t>
        </is>
      </c>
      <c r="J1258" t="inlineStr">
        <is>
          <t>Full Time</t>
        </is>
      </c>
      <c r="K1258" s="23" t="inlineStr">
        <is>
          <t>7/21/2025</t>
        </is>
      </c>
      <c r="L1258" s="23" t="inlineStr">
        <is>
          <t>7/21/2025</t>
        </is>
      </c>
      <c r="O1258" t="n">
        <v>38</v>
      </c>
    </row>
    <row r="1259">
      <c r="A1259" t="inlineStr">
        <is>
          <t>AU23724</t>
        </is>
      </c>
      <c r="C1259" t="inlineStr">
        <is>
          <t>NSW-QLD</t>
        </is>
      </c>
      <c r="D1259" t="inlineStr">
        <is>
          <t>Virtus Health</t>
        </is>
      </c>
      <c r="E1259" t="inlineStr">
        <is>
          <t>Registered Nurse</t>
        </is>
      </c>
      <c r="F1259" t="inlineStr">
        <is>
          <t>7/14/2025</t>
        </is>
      </c>
      <c r="H1259" t="inlineStr">
        <is>
          <t>IVFN2021</t>
        </is>
      </c>
      <c r="I1259" t="inlineStr">
        <is>
          <t>ACT</t>
        </is>
      </c>
      <c r="J1259" t="inlineStr">
        <is>
          <t>Part Time</t>
        </is>
      </c>
      <c r="K1259" s="23" t="inlineStr">
        <is>
          <t>7/14/2025</t>
        </is>
      </c>
      <c r="L1259" s="23" t="inlineStr">
        <is>
          <t>7/14/2025</t>
        </is>
      </c>
      <c r="O1259" t="n">
        <v>38</v>
      </c>
    </row>
    <row r="1260">
      <c r="A1260" t="inlineStr">
        <is>
          <t>AU23725</t>
        </is>
      </c>
      <c r="C1260" t="inlineStr">
        <is>
          <t>VIC-TAS</t>
        </is>
      </c>
      <c r="D1260" t="inlineStr">
        <is>
          <t>Virtus Health</t>
        </is>
      </c>
      <c r="E1260" t="inlineStr">
        <is>
          <t>Registered Nurse</t>
        </is>
      </c>
      <c r="F1260" t="inlineStr">
        <is>
          <t>7/21/2025</t>
        </is>
      </c>
      <c r="H1260" t="inlineStr">
        <is>
          <t>MIVFN2023</t>
        </is>
      </c>
      <c r="I1260" t="inlineStr">
        <is>
          <t>VIC</t>
        </is>
      </c>
      <c r="J1260" t="inlineStr">
        <is>
          <t>Part Time</t>
        </is>
      </c>
      <c r="K1260" s="23" t="inlineStr">
        <is>
          <t>7/21/2025</t>
        </is>
      </c>
      <c r="L1260" s="23" t="inlineStr">
        <is>
          <t>7/21/2025</t>
        </is>
      </c>
      <c r="O1260" t="n">
        <v>30.4</v>
      </c>
    </row>
    <row r="1261">
      <c r="A1261" t="inlineStr">
        <is>
          <t>AU23726</t>
        </is>
      </c>
      <c r="B1261" s="1" t="n"/>
      <c r="C1261" t="inlineStr">
        <is>
          <t>NSW-QLD</t>
        </is>
      </c>
      <c r="D1261" t="inlineStr">
        <is>
          <t>Virtus Health</t>
        </is>
      </c>
      <c r="E1261" t="inlineStr">
        <is>
          <t>Social media Coordinator</t>
        </is>
      </c>
      <c r="F1261" s="1" t="n">
        <v>45845</v>
      </c>
      <c r="H1261" t="inlineStr">
        <is>
          <t>NSW</t>
        </is>
      </c>
      <c r="I1261" t="inlineStr">
        <is>
          <t>NSW</t>
        </is>
      </c>
      <c r="J1261" t="inlineStr">
        <is>
          <t>Full Time</t>
        </is>
      </c>
      <c r="K1261" s="23" t="n">
        <v>45845</v>
      </c>
      <c r="L1261" s="23" t="n">
        <v>45845</v>
      </c>
      <c r="O1261" t="n">
        <v>38</v>
      </c>
    </row>
    <row r="1262">
      <c r="A1262" t="inlineStr">
        <is>
          <t>AU23727</t>
        </is>
      </c>
      <c r="C1262" t="inlineStr">
        <is>
          <t>NSW-QLD</t>
        </is>
      </c>
      <c r="D1262" t="inlineStr">
        <is>
          <t>Virtus Health</t>
        </is>
      </c>
      <c r="E1262" t="inlineStr">
        <is>
          <t>Head of Property &amp;Facilities</t>
        </is>
      </c>
      <c r="F1262" t="inlineStr">
        <is>
          <t>7/14/2025</t>
        </is>
      </c>
      <c r="H1262" t="inlineStr">
        <is>
          <t>VIC</t>
        </is>
      </c>
      <c r="I1262" t="inlineStr">
        <is>
          <t>VIC</t>
        </is>
      </c>
      <c r="J1262" t="inlineStr">
        <is>
          <t>Full Time</t>
        </is>
      </c>
      <c r="K1262" s="23" t="inlineStr">
        <is>
          <t>7/14/2025</t>
        </is>
      </c>
      <c r="L1262" s="23" t="inlineStr">
        <is>
          <t>7/14/2025</t>
        </is>
      </c>
      <c r="O1262" t="n">
        <v>38</v>
      </c>
    </row>
    <row r="1263">
      <c r="A1263" t="inlineStr">
        <is>
          <t>AU23728</t>
        </is>
      </c>
      <c r="C1263" t="inlineStr">
        <is>
          <t>VIC-TAS</t>
        </is>
      </c>
      <c r="D1263" t="inlineStr">
        <is>
          <t>Virtus Health</t>
        </is>
      </c>
      <c r="E1263" t="inlineStr">
        <is>
          <t>Registered Nurse</t>
        </is>
      </c>
      <c r="F1263" t="inlineStr">
        <is>
          <t>7/14/2025</t>
        </is>
      </c>
      <c r="H1263" t="inlineStr">
        <is>
          <t>MIVFN2023</t>
        </is>
      </c>
      <c r="I1263" t="inlineStr">
        <is>
          <t>VIC</t>
        </is>
      </c>
      <c r="J1263" t="inlineStr">
        <is>
          <t>Part Time</t>
        </is>
      </c>
      <c r="K1263" s="23" t="inlineStr">
        <is>
          <t>7/14/2025</t>
        </is>
      </c>
      <c r="L1263" s="23" t="inlineStr">
        <is>
          <t>7/14/2025</t>
        </is>
      </c>
      <c r="O1263" t="n">
        <v>15.2</v>
      </c>
    </row>
    <row r="1264">
      <c r="A1264" t="inlineStr">
        <is>
          <t>AU23729</t>
        </is>
      </c>
      <c r="B1264" s="1" t="n"/>
      <c r="C1264" t="inlineStr">
        <is>
          <t>NSW-QLD</t>
        </is>
      </c>
      <c r="D1264" t="inlineStr">
        <is>
          <t>Virtus Health</t>
        </is>
      </c>
      <c r="E1264" t="inlineStr">
        <is>
          <t>Director of Nursing</t>
        </is>
      </c>
      <c r="F1264" s="1" t="n">
        <v>45755</v>
      </c>
      <c r="H1264" t="inlineStr">
        <is>
          <t>IVFN2021</t>
        </is>
      </c>
      <c r="I1264" t="inlineStr">
        <is>
          <t>NSW</t>
        </is>
      </c>
      <c r="J1264" t="inlineStr">
        <is>
          <t>Full Time</t>
        </is>
      </c>
      <c r="K1264" s="23" t="n">
        <v>45755</v>
      </c>
      <c r="L1264" s="23" t="n">
        <v>45755</v>
      </c>
      <c r="O1264" t="n">
        <v>38</v>
      </c>
    </row>
    <row r="1265">
      <c r="A1265" t="inlineStr">
        <is>
          <t>AU23731</t>
        </is>
      </c>
      <c r="C1265" t="inlineStr">
        <is>
          <t>NSW-QLD</t>
        </is>
      </c>
      <c r="D1265" t="inlineStr">
        <is>
          <t>Virtus Health</t>
        </is>
      </c>
      <c r="E1265" t="inlineStr">
        <is>
          <t>Trainee Embryologist</t>
        </is>
      </c>
      <c r="F1265" t="inlineStr">
        <is>
          <t>7/28/2025</t>
        </is>
      </c>
      <c r="H1265" t="inlineStr">
        <is>
          <t>QS2024</t>
        </is>
      </c>
      <c r="I1265" t="inlineStr">
        <is>
          <t>NSW</t>
        </is>
      </c>
      <c r="J1265" t="inlineStr">
        <is>
          <t>Full Time</t>
        </is>
      </c>
      <c r="K1265" s="23" t="inlineStr">
        <is>
          <t>7/28/2025</t>
        </is>
      </c>
      <c r="L1265" s="23" t="inlineStr">
        <is>
          <t>7/28/2025</t>
        </is>
      </c>
      <c r="O1265" t="n">
        <v>38</v>
      </c>
    </row>
    <row r="1266">
      <c r="A1266" t="inlineStr">
        <is>
          <t>AU23732</t>
        </is>
      </c>
      <c r="C1266" t="inlineStr">
        <is>
          <t>NSW-QLD</t>
        </is>
      </c>
      <c r="D1266" t="inlineStr">
        <is>
          <t>Virtus Health</t>
        </is>
      </c>
      <c r="E1266" t="inlineStr">
        <is>
          <t>Phlebotomist</t>
        </is>
      </c>
      <c r="F1266" t="inlineStr">
        <is>
          <t>7/28/2025</t>
        </is>
      </c>
      <c r="H1266" t="inlineStr">
        <is>
          <t>IVFS2023</t>
        </is>
      </c>
      <c r="I1266" t="inlineStr">
        <is>
          <t>QLD</t>
        </is>
      </c>
      <c r="J1266" t="inlineStr">
        <is>
          <t>Part Time</t>
        </is>
      </c>
      <c r="K1266" s="23" t="inlineStr">
        <is>
          <t>7/28/2025</t>
        </is>
      </c>
      <c r="L1266" s="23" t="inlineStr">
        <is>
          <t>7/28/2025</t>
        </is>
      </c>
      <c r="O1266" t="n">
        <v>38</v>
      </c>
    </row>
    <row r="1267">
      <c r="A1267" t="inlineStr">
        <is>
          <t>AU23733</t>
        </is>
      </c>
      <c r="C1267" t="inlineStr">
        <is>
          <t>NSW-QLD</t>
        </is>
      </c>
      <c r="D1267" t="inlineStr">
        <is>
          <t>Virtus Health</t>
        </is>
      </c>
      <c r="E1267" t="inlineStr">
        <is>
          <t>Phlebotomist</t>
        </is>
      </c>
      <c r="F1267" t="inlineStr">
        <is>
          <t>7/28/2025</t>
        </is>
      </c>
      <c r="H1267" t="inlineStr">
        <is>
          <t>IVFS2023</t>
        </is>
      </c>
      <c r="I1267" t="inlineStr">
        <is>
          <t>QLD</t>
        </is>
      </c>
      <c r="J1267" t="inlineStr">
        <is>
          <t>Part Time</t>
        </is>
      </c>
      <c r="K1267" s="23" t="inlineStr">
        <is>
          <t>7/28/2025</t>
        </is>
      </c>
      <c r="L1267" s="23" t="inlineStr">
        <is>
          <t>7/28/2025</t>
        </is>
      </c>
      <c r="O1267" t="n">
        <v>38</v>
      </c>
    </row>
    <row r="1268">
      <c r="A1268" t="inlineStr">
        <is>
          <t>AU23734</t>
        </is>
      </c>
      <c r="C1268" t="inlineStr">
        <is>
          <t>NSW-QLD</t>
        </is>
      </c>
      <c r="D1268" t="inlineStr">
        <is>
          <t>Virtus Health</t>
        </is>
      </c>
      <c r="E1268" t="inlineStr">
        <is>
          <t>Phlebotomist</t>
        </is>
      </c>
      <c r="F1268" t="inlineStr">
        <is>
          <t>7/28/2025</t>
        </is>
      </c>
      <c r="H1268" t="inlineStr">
        <is>
          <t>IVFS2023</t>
        </is>
      </c>
      <c r="I1268" t="inlineStr">
        <is>
          <t>QLD</t>
        </is>
      </c>
      <c r="J1268" t="inlineStr">
        <is>
          <t>Part Time</t>
        </is>
      </c>
      <c r="K1268" s="23" t="inlineStr">
        <is>
          <t>7/28/2025</t>
        </is>
      </c>
      <c r="L1268" s="23" t="inlineStr">
        <is>
          <t>7/28/2025</t>
        </is>
      </c>
      <c r="O1268" t="n">
        <v>38</v>
      </c>
    </row>
    <row r="1269">
      <c r="A1269" t="inlineStr">
        <is>
          <t>AU23736</t>
        </is>
      </c>
      <c r="C1269" t="inlineStr">
        <is>
          <t>VIC-TAS</t>
        </is>
      </c>
      <c r="D1269" t="inlineStr">
        <is>
          <t>Virtus Health</t>
        </is>
      </c>
      <c r="E1269" t="inlineStr">
        <is>
          <t>Registered Nurse</t>
        </is>
      </c>
      <c r="F1269" t="inlineStr">
        <is>
          <t>7/21/2025</t>
        </is>
      </c>
      <c r="H1269" t="inlineStr">
        <is>
          <t>MIVFN2023</t>
        </is>
      </c>
      <c r="I1269" t="inlineStr">
        <is>
          <t>VIC</t>
        </is>
      </c>
      <c r="J1269" t="inlineStr">
        <is>
          <t>Full Time</t>
        </is>
      </c>
      <c r="K1269" s="23" t="inlineStr">
        <is>
          <t>7/21/2025</t>
        </is>
      </c>
      <c r="L1269" s="23" t="inlineStr">
        <is>
          <t>7/21/2025</t>
        </is>
      </c>
      <c r="O1269" t="n">
        <v>38</v>
      </c>
    </row>
    <row r="1270">
      <c r="A1270" t="inlineStr">
        <is>
          <t>AU23738</t>
        </is>
      </c>
      <c r="B1270" s="1" t="n"/>
      <c r="C1270" t="inlineStr">
        <is>
          <t>NSW-QLD</t>
        </is>
      </c>
      <c r="D1270" t="inlineStr">
        <is>
          <t>Virtus Health</t>
        </is>
      </c>
      <c r="E1270" t="inlineStr">
        <is>
          <t>Technology Support Engineer</t>
        </is>
      </c>
      <c r="F1270" s="1" t="n">
        <v>45755</v>
      </c>
      <c r="H1270" t="inlineStr">
        <is>
          <t>NSW</t>
        </is>
      </c>
      <c r="I1270" t="inlineStr">
        <is>
          <t>NSW</t>
        </is>
      </c>
      <c r="J1270" t="inlineStr">
        <is>
          <t>Full Time</t>
        </is>
      </c>
      <c r="K1270" s="23" t="n">
        <v>45755</v>
      </c>
      <c r="L1270" s="23" t="n">
        <v>45755</v>
      </c>
      <c r="O1270" t="n">
        <v>38</v>
      </c>
    </row>
    <row r="1271">
      <c r="A1271" t="inlineStr">
        <is>
          <t>AU23739</t>
        </is>
      </c>
      <c r="B1271" s="1" t="n"/>
      <c r="C1271" t="inlineStr">
        <is>
          <t>NSW-QLD</t>
        </is>
      </c>
      <c r="D1271" t="inlineStr">
        <is>
          <t>Virtus Health</t>
        </is>
      </c>
      <c r="E1271" t="inlineStr">
        <is>
          <t>Head of legal</t>
        </is>
      </c>
      <c r="F1271" s="1" t="n">
        <v>45755</v>
      </c>
      <c r="H1271" t="inlineStr">
        <is>
          <t>NSW</t>
        </is>
      </c>
      <c r="I1271" t="inlineStr">
        <is>
          <t>NSW</t>
        </is>
      </c>
      <c r="J1271" t="inlineStr">
        <is>
          <t>Part Time</t>
        </is>
      </c>
      <c r="K1271" s="23" t="n">
        <v>45755</v>
      </c>
      <c r="L1271" s="23" t="n">
        <v>45755</v>
      </c>
      <c r="O1271" t="n">
        <v>38</v>
      </c>
    </row>
    <row r="1272">
      <c r="A1272" t="inlineStr">
        <is>
          <t>AU23740</t>
        </is>
      </c>
      <c r="C1272" t="inlineStr">
        <is>
          <t>NSW-QLD</t>
        </is>
      </c>
      <c r="D1272" t="inlineStr">
        <is>
          <t>Virtus Health</t>
        </is>
      </c>
      <c r="E1272" t="inlineStr">
        <is>
          <t>EVENTS COORDINATOR</t>
        </is>
      </c>
      <c r="F1272" t="inlineStr">
        <is>
          <t>7/22/2025</t>
        </is>
      </c>
      <c r="H1272" t="inlineStr">
        <is>
          <t>NSW</t>
        </is>
      </c>
      <c r="I1272" t="inlineStr">
        <is>
          <t>NSW</t>
        </is>
      </c>
      <c r="J1272" t="inlineStr">
        <is>
          <t>Full Time</t>
        </is>
      </c>
      <c r="K1272" s="23" t="inlineStr">
        <is>
          <t>7/22/2025</t>
        </is>
      </c>
      <c r="L1272" s="23" t="inlineStr">
        <is>
          <t>7/22/2025</t>
        </is>
      </c>
      <c r="O1272" t="n">
        <v>38</v>
      </c>
    </row>
    <row r="1273">
      <c r="A1273" t="inlineStr">
        <is>
          <t>AU23741</t>
        </is>
      </c>
      <c r="C1273" t="inlineStr">
        <is>
          <t>NSW-QLD</t>
        </is>
      </c>
      <c r="D1273" t="inlineStr">
        <is>
          <t>Virtus Health</t>
        </is>
      </c>
      <c r="E1273" t="inlineStr">
        <is>
          <t>Laboratory Administration Assistant</t>
        </is>
      </c>
      <c r="F1273" t="inlineStr">
        <is>
          <t>7/22/2025</t>
        </is>
      </c>
      <c r="H1273" t="inlineStr">
        <is>
          <t>IVFS2023</t>
        </is>
      </c>
      <c r="I1273" t="inlineStr">
        <is>
          <t>QLD</t>
        </is>
      </c>
      <c r="J1273" t="inlineStr">
        <is>
          <t>Casual</t>
        </is>
      </c>
      <c r="K1273" s="23" t="inlineStr">
        <is>
          <t>7/22/2025</t>
        </is>
      </c>
      <c r="L1273" s="23" t="inlineStr">
        <is>
          <t>7/22/2025</t>
        </is>
      </c>
      <c r="O1273" t="n">
        <v>38</v>
      </c>
    </row>
    <row r="1274">
      <c r="A1274" t="inlineStr">
        <is>
          <t>AU23742</t>
        </is>
      </c>
      <c r="C1274" t="inlineStr">
        <is>
          <t>NSW-QLD</t>
        </is>
      </c>
      <c r="D1274" t="inlineStr">
        <is>
          <t>Virtus Health</t>
        </is>
      </c>
      <c r="E1274" t="inlineStr">
        <is>
          <t>Administration Officer</t>
        </is>
      </c>
      <c r="F1274" t="inlineStr">
        <is>
          <t>7/21/2025</t>
        </is>
      </c>
      <c r="H1274" t="inlineStr">
        <is>
          <t>IVFS2023</t>
        </is>
      </c>
      <c r="I1274" t="inlineStr">
        <is>
          <t>ACT</t>
        </is>
      </c>
      <c r="J1274" t="inlineStr">
        <is>
          <t>Casual</t>
        </is>
      </c>
      <c r="K1274" s="23" t="inlineStr">
        <is>
          <t>7/21/2025</t>
        </is>
      </c>
      <c r="L1274" s="23" t="inlineStr">
        <is>
          <t>7/21/2025</t>
        </is>
      </c>
      <c r="O1274" t="n">
        <v>38</v>
      </c>
    </row>
    <row r="1275">
      <c r="A1275" t="inlineStr">
        <is>
          <t>AU23744</t>
        </is>
      </c>
      <c r="C1275" t="inlineStr">
        <is>
          <t>VIC-TAS</t>
        </is>
      </c>
      <c r="D1275" t="inlineStr">
        <is>
          <t>Virtus Health</t>
        </is>
      </c>
      <c r="E1275" t="inlineStr">
        <is>
          <t>Registered Nurse</t>
        </is>
      </c>
      <c r="F1275" t="inlineStr">
        <is>
          <t>6/16/2025</t>
        </is>
      </c>
      <c r="H1275" t="inlineStr">
        <is>
          <t>MIVFN2023</t>
        </is>
      </c>
      <c r="I1275" t="inlineStr">
        <is>
          <t>VIC</t>
        </is>
      </c>
      <c r="J1275" t="inlineStr">
        <is>
          <t>Part Time</t>
        </is>
      </c>
      <c r="K1275" s="23" t="inlineStr">
        <is>
          <t>6/16/2025</t>
        </is>
      </c>
      <c r="L1275" s="23" t="inlineStr">
        <is>
          <t>6/16/2025</t>
        </is>
      </c>
      <c r="O1275" t="n">
        <v>30.4</v>
      </c>
    </row>
    <row r="1276">
      <c r="A1276" t="inlineStr">
        <is>
          <t>AU23745</t>
        </is>
      </c>
      <c r="C1276" t="inlineStr">
        <is>
          <t>VIC-TAS</t>
        </is>
      </c>
      <c r="D1276" t="inlineStr">
        <is>
          <t>Virtus Health</t>
        </is>
      </c>
      <c r="E1276" t="inlineStr">
        <is>
          <t>Registered Nurse</t>
        </is>
      </c>
      <c r="F1276" t="inlineStr">
        <is>
          <t>7/14/2025</t>
        </is>
      </c>
      <c r="H1276" t="inlineStr">
        <is>
          <t>MIVFN2023</t>
        </is>
      </c>
      <c r="I1276" t="inlineStr">
        <is>
          <t>VIC</t>
        </is>
      </c>
      <c r="J1276" t="inlineStr">
        <is>
          <t>Full Time</t>
        </is>
      </c>
      <c r="K1276" s="23" t="inlineStr">
        <is>
          <t>7/14/2025</t>
        </is>
      </c>
      <c r="L1276" s="23" t="inlineStr">
        <is>
          <t>7/14/2025</t>
        </is>
      </c>
      <c r="O1276" t="n">
        <v>38</v>
      </c>
    </row>
    <row r="1277">
      <c r="A1277" t="inlineStr">
        <is>
          <t>AU23746</t>
        </is>
      </c>
      <c r="C1277" t="inlineStr">
        <is>
          <t>VIC-TAS</t>
        </is>
      </c>
      <c r="D1277" t="inlineStr">
        <is>
          <t>Virtus Health</t>
        </is>
      </c>
      <c r="E1277" t="inlineStr">
        <is>
          <t>Registered Nurse</t>
        </is>
      </c>
      <c r="F1277" t="inlineStr">
        <is>
          <t>7/14/2025</t>
        </is>
      </c>
      <c r="H1277" t="inlineStr">
        <is>
          <t>MIVFN2023</t>
        </is>
      </c>
      <c r="I1277" t="inlineStr">
        <is>
          <t>VIC</t>
        </is>
      </c>
      <c r="J1277" t="inlineStr">
        <is>
          <t>Casual</t>
        </is>
      </c>
      <c r="K1277" s="23" t="inlineStr">
        <is>
          <t>7/14/2025</t>
        </is>
      </c>
      <c r="L1277" s="23" t="inlineStr">
        <is>
          <t>7/14/2025</t>
        </is>
      </c>
      <c r="O1277" t="n">
        <v>38</v>
      </c>
    </row>
    <row r="1278">
      <c r="A1278" t="inlineStr">
        <is>
          <t>AU23747</t>
        </is>
      </c>
      <c r="C1278" t="inlineStr">
        <is>
          <t>VIC-TAS</t>
        </is>
      </c>
      <c r="D1278" t="inlineStr">
        <is>
          <t>Virtus Health</t>
        </is>
      </c>
      <c r="E1278" t="inlineStr">
        <is>
          <t>Registered Nurse</t>
        </is>
      </c>
      <c r="F1278" t="inlineStr">
        <is>
          <t>7/14/2025</t>
        </is>
      </c>
      <c r="H1278" t="inlineStr">
        <is>
          <t>MIVFN2023</t>
        </is>
      </c>
      <c r="I1278" t="inlineStr">
        <is>
          <t>VIC</t>
        </is>
      </c>
      <c r="J1278" t="inlineStr">
        <is>
          <t>Part Time</t>
        </is>
      </c>
      <c r="K1278" s="23" t="inlineStr">
        <is>
          <t>7/14/2025</t>
        </is>
      </c>
      <c r="L1278" s="23" t="inlineStr">
        <is>
          <t>7/14/2025</t>
        </is>
      </c>
      <c r="O1278" t="n">
        <v>30.4</v>
      </c>
    </row>
    <row r="1279">
      <c r="A1279" t="inlineStr">
        <is>
          <t>AU23748</t>
        </is>
      </c>
      <c r="C1279" t="inlineStr">
        <is>
          <t>NSW-QLD</t>
        </is>
      </c>
      <c r="D1279" t="inlineStr">
        <is>
          <t>Virtus Health</t>
        </is>
      </c>
      <c r="E1279" t="inlineStr">
        <is>
          <t>Senior Service Delivery Manager</t>
        </is>
      </c>
      <c r="F1279" t="inlineStr">
        <is>
          <t>8/25/2025</t>
        </is>
      </c>
      <c r="H1279" t="inlineStr">
        <is>
          <t>VIC</t>
        </is>
      </c>
      <c r="I1279" t="inlineStr">
        <is>
          <t>VIC</t>
        </is>
      </c>
      <c r="J1279" t="inlineStr">
        <is>
          <t>Full Time</t>
        </is>
      </c>
      <c r="K1279" s="23" t="inlineStr">
        <is>
          <t>8/25/2025</t>
        </is>
      </c>
      <c r="L1279" s="23" t="inlineStr">
        <is>
          <t>8/25/2025</t>
        </is>
      </c>
      <c r="O1279" t="n">
        <v>38</v>
      </c>
    </row>
    <row r="1280">
      <c r="A1280" t="inlineStr">
        <is>
          <t>AU23749</t>
        </is>
      </c>
      <c r="C1280" t="inlineStr">
        <is>
          <t>NSW-QLD</t>
        </is>
      </c>
      <c r="D1280" t="inlineStr">
        <is>
          <t>Virtus Health</t>
        </is>
      </c>
      <c r="E1280" t="inlineStr">
        <is>
          <t>Nurse Coordinator</t>
        </is>
      </c>
      <c r="F1280" t="inlineStr">
        <is>
          <t>7/28/2025</t>
        </is>
      </c>
      <c r="H1280" t="inlineStr">
        <is>
          <t>IVFN2021</t>
        </is>
      </c>
      <c r="I1280" t="inlineStr">
        <is>
          <t>NSW</t>
        </is>
      </c>
      <c r="J1280" t="inlineStr">
        <is>
          <t>Full Time</t>
        </is>
      </c>
      <c r="K1280" s="23" t="inlineStr">
        <is>
          <t>7/28/2025</t>
        </is>
      </c>
      <c r="L1280" s="23" t="inlineStr">
        <is>
          <t>7/28/2025</t>
        </is>
      </c>
      <c r="O1280" t="n">
        <v>38</v>
      </c>
    </row>
    <row r="1281">
      <c r="A1281" t="inlineStr">
        <is>
          <t>AU23750</t>
        </is>
      </c>
      <c r="C1281" t="inlineStr">
        <is>
          <t>NSW-QLD</t>
        </is>
      </c>
      <c r="D1281" t="inlineStr">
        <is>
          <t>Virtus Health</t>
        </is>
      </c>
      <c r="E1281" t="inlineStr">
        <is>
          <t>Laboratory Technician</t>
        </is>
      </c>
      <c r="F1281" t="inlineStr">
        <is>
          <t>7/28/2025</t>
        </is>
      </c>
      <c r="H1281" t="inlineStr">
        <is>
          <t>QS2024</t>
        </is>
      </c>
      <c r="I1281" t="inlineStr">
        <is>
          <t>QLD</t>
        </is>
      </c>
      <c r="J1281" t="inlineStr">
        <is>
          <t>Full Time</t>
        </is>
      </c>
      <c r="K1281" s="23" t="inlineStr">
        <is>
          <t>7/28/2025</t>
        </is>
      </c>
      <c r="L1281" s="23" t="inlineStr">
        <is>
          <t>7/28/2025</t>
        </is>
      </c>
      <c r="O1281" t="n">
        <v>38</v>
      </c>
    </row>
    <row r="1282">
      <c r="A1282" t="inlineStr">
        <is>
          <t>AU23751</t>
        </is>
      </c>
      <c r="C1282" t="inlineStr">
        <is>
          <t>NSW-QLD</t>
        </is>
      </c>
      <c r="D1282" t="inlineStr">
        <is>
          <t>Virtus Health</t>
        </is>
      </c>
      <c r="E1282" t="inlineStr">
        <is>
          <t>Nurses Coordinator</t>
        </is>
      </c>
      <c r="F1282" t="inlineStr">
        <is>
          <t>6/16/2025</t>
        </is>
      </c>
      <c r="H1282" t="inlineStr">
        <is>
          <t>QN2025</t>
        </is>
      </c>
      <c r="I1282" t="inlineStr">
        <is>
          <t>QLD</t>
        </is>
      </c>
      <c r="J1282" t="inlineStr">
        <is>
          <t>Part Time</t>
        </is>
      </c>
      <c r="K1282" s="23" t="inlineStr">
        <is>
          <t>6/16/2025</t>
        </is>
      </c>
      <c r="L1282" s="23" t="inlineStr">
        <is>
          <t>6/16/2025</t>
        </is>
      </c>
      <c r="O1282" t="n">
        <v>38</v>
      </c>
    </row>
    <row r="1283">
      <c r="A1283" t="inlineStr">
        <is>
          <t>AU23752</t>
        </is>
      </c>
      <c r="C1283" t="inlineStr">
        <is>
          <t>NSW-QLD</t>
        </is>
      </c>
      <c r="D1283" t="inlineStr">
        <is>
          <t>Virtus Health</t>
        </is>
      </c>
      <c r="E1283" t="inlineStr">
        <is>
          <t>Genetic Scientist</t>
        </is>
      </c>
      <c r="F1283" t="inlineStr">
        <is>
          <t>7/14/2025</t>
        </is>
      </c>
      <c r="H1283" t="inlineStr">
        <is>
          <t>QS2024</t>
        </is>
      </c>
      <c r="I1283" t="inlineStr">
        <is>
          <t>VIC</t>
        </is>
      </c>
      <c r="J1283" t="inlineStr">
        <is>
          <t>Casual</t>
        </is>
      </c>
      <c r="K1283" s="23" t="inlineStr">
        <is>
          <t>7/14/2025</t>
        </is>
      </c>
      <c r="L1283" s="23" t="inlineStr">
        <is>
          <t>7/14/2025</t>
        </is>
      </c>
      <c r="O1283" t="n">
        <v>38</v>
      </c>
    </row>
    <row r="1284">
      <c r="A1284" t="inlineStr">
        <is>
          <t>AU23753</t>
        </is>
      </c>
      <c r="C1284" t="inlineStr">
        <is>
          <t>NSW-QLD</t>
        </is>
      </c>
      <c r="D1284" t="inlineStr">
        <is>
          <t>Virtus Health</t>
        </is>
      </c>
      <c r="E1284" t="inlineStr">
        <is>
          <t>Assistant in Nursing</t>
        </is>
      </c>
      <c r="F1284" t="inlineStr">
        <is>
          <t>7/27/2025</t>
        </is>
      </c>
      <c r="H1284" t="inlineStr">
        <is>
          <t>IVFN2021</t>
        </is>
      </c>
      <c r="I1284" t="inlineStr">
        <is>
          <t>NSW</t>
        </is>
      </c>
      <c r="J1284" t="inlineStr">
        <is>
          <t>Casual</t>
        </is>
      </c>
      <c r="K1284" s="23" t="inlineStr">
        <is>
          <t>7/27/2025</t>
        </is>
      </c>
      <c r="L1284" s="23" t="inlineStr">
        <is>
          <t>7/27/2025</t>
        </is>
      </c>
      <c r="O1284" t="n">
        <v>38</v>
      </c>
    </row>
    <row r="1285">
      <c r="A1285" t="inlineStr">
        <is>
          <t>AU23754</t>
        </is>
      </c>
      <c r="C1285" t="inlineStr">
        <is>
          <t>VIC-TAS</t>
        </is>
      </c>
      <c r="D1285" t="inlineStr">
        <is>
          <t>Virtus Health</t>
        </is>
      </c>
      <c r="E1285" t="inlineStr">
        <is>
          <t>Genetics Intake Officer</t>
        </is>
      </c>
      <c r="F1285" t="inlineStr">
        <is>
          <t>7/28/2025</t>
        </is>
      </c>
      <c r="H1285" t="inlineStr">
        <is>
          <t>MIVFS2022</t>
        </is>
      </c>
      <c r="I1285" t="inlineStr">
        <is>
          <t>VIC</t>
        </is>
      </c>
      <c r="J1285" t="inlineStr">
        <is>
          <t>Part Time</t>
        </is>
      </c>
      <c r="K1285" s="23" t="inlineStr">
        <is>
          <t>7/28/2025</t>
        </is>
      </c>
      <c r="L1285" s="23" t="inlineStr">
        <is>
          <t>7/28/2025</t>
        </is>
      </c>
      <c r="O1285" t="n">
        <v>15.2</v>
      </c>
    </row>
    <row r="1286">
      <c r="A1286" t="inlineStr">
        <is>
          <t>AU23755</t>
        </is>
      </c>
      <c r="C1286" t="inlineStr">
        <is>
          <t>NSW-QLD</t>
        </is>
      </c>
      <c r="D1286" t="inlineStr">
        <is>
          <t>Virtus Health</t>
        </is>
      </c>
      <c r="E1286" t="inlineStr">
        <is>
          <t>Product Manager - Digital Experience</t>
        </is>
      </c>
      <c r="F1286" t="inlineStr">
        <is>
          <t>8/18/2025</t>
        </is>
      </c>
      <c r="H1286" t="inlineStr">
        <is>
          <t>NSW</t>
        </is>
      </c>
      <c r="I1286" t="inlineStr">
        <is>
          <t>NSW</t>
        </is>
      </c>
      <c r="J1286" t="inlineStr">
        <is>
          <t>Full Time</t>
        </is>
      </c>
      <c r="K1286" s="23" t="inlineStr">
        <is>
          <t>8/18/2025</t>
        </is>
      </c>
      <c r="L1286" s="23" t="inlineStr">
        <is>
          <t>8/18/2025</t>
        </is>
      </c>
      <c r="O1286" t="n">
        <v>22.8</v>
      </c>
    </row>
    <row r="1287">
      <c r="A1287" t="inlineStr">
        <is>
          <t>AU23756</t>
        </is>
      </c>
      <c r="B1287" s="1" t="n"/>
      <c r="C1287" t="inlineStr">
        <is>
          <t>VIC-TAS</t>
        </is>
      </c>
      <c r="D1287" t="inlineStr">
        <is>
          <t>Virtus Health</t>
        </is>
      </c>
      <c r="E1287" t="inlineStr">
        <is>
          <t>Director of Nursing - MIVFPC</t>
        </is>
      </c>
      <c r="F1287" s="1" t="n">
        <v>45755</v>
      </c>
      <c r="H1287" t="inlineStr">
        <is>
          <t>VIC</t>
        </is>
      </c>
      <c r="I1287" t="inlineStr">
        <is>
          <t>VIC</t>
        </is>
      </c>
      <c r="J1287" t="inlineStr">
        <is>
          <t>Part Time</t>
        </is>
      </c>
      <c r="K1287" s="23" t="n">
        <v>45755</v>
      </c>
      <c r="L1287" s="23" t="n">
        <v>45755</v>
      </c>
      <c r="O1287" t="n">
        <v>30</v>
      </c>
    </row>
    <row r="1288">
      <c r="A1288" t="inlineStr">
        <is>
          <t>AU23757</t>
        </is>
      </c>
      <c r="C1288" t="inlineStr">
        <is>
          <t>VIC-TAS</t>
        </is>
      </c>
      <c r="D1288" t="inlineStr">
        <is>
          <t>Virtus Health</t>
        </is>
      </c>
      <c r="E1288" t="inlineStr">
        <is>
          <t>Registered Nurse</t>
        </is>
      </c>
      <c r="F1288" t="inlineStr">
        <is>
          <t>7/28/2025</t>
        </is>
      </c>
      <c r="H1288" t="inlineStr">
        <is>
          <t>TIVF2024</t>
        </is>
      </c>
      <c r="I1288" t="inlineStr">
        <is>
          <t>TAS</t>
        </is>
      </c>
      <c r="J1288" t="inlineStr">
        <is>
          <t>Casual</t>
        </is>
      </c>
      <c r="K1288" s="23" t="inlineStr">
        <is>
          <t>7/28/2025</t>
        </is>
      </c>
      <c r="L1288" s="23" t="inlineStr">
        <is>
          <t>7/28/2025</t>
        </is>
      </c>
      <c r="O1288" t="n">
        <v>38</v>
      </c>
    </row>
    <row r="1289">
      <c r="A1289" t="inlineStr">
        <is>
          <t>AU23758</t>
        </is>
      </c>
      <c r="C1289" t="inlineStr">
        <is>
          <t>NSW-QLD</t>
        </is>
      </c>
      <c r="D1289" t="inlineStr">
        <is>
          <t>Virtus Health</t>
        </is>
      </c>
      <c r="E1289" t="inlineStr">
        <is>
          <t>Medical Secretary</t>
        </is>
      </c>
      <c r="F1289" t="inlineStr">
        <is>
          <t>7/28/2025</t>
        </is>
      </c>
      <c r="H1289" t="inlineStr">
        <is>
          <t>IVFS2023</t>
        </is>
      </c>
      <c r="I1289" t="inlineStr">
        <is>
          <t>NSW</t>
        </is>
      </c>
      <c r="J1289" t="inlineStr">
        <is>
          <t>Full Time</t>
        </is>
      </c>
      <c r="K1289" s="23" t="inlineStr">
        <is>
          <t>7/28/2025</t>
        </is>
      </c>
      <c r="L1289" s="23" t="inlineStr">
        <is>
          <t>7/28/2025</t>
        </is>
      </c>
      <c r="O1289" t="n">
        <v>38</v>
      </c>
    </row>
    <row r="1290">
      <c r="A1290" t="inlineStr">
        <is>
          <t>AU23759</t>
        </is>
      </c>
      <c r="C1290" t="inlineStr">
        <is>
          <t>NSW-QLD</t>
        </is>
      </c>
      <c r="D1290" t="inlineStr">
        <is>
          <t>Virtus Health</t>
        </is>
      </c>
      <c r="E1290" t="inlineStr">
        <is>
          <t>Administration Officer</t>
        </is>
      </c>
      <c r="F1290" t="inlineStr">
        <is>
          <t>7/28/2025</t>
        </is>
      </c>
      <c r="H1290" t="inlineStr">
        <is>
          <t>IVFS2023</t>
        </is>
      </c>
      <c r="I1290" t="inlineStr">
        <is>
          <t>NSW</t>
        </is>
      </c>
      <c r="J1290" t="inlineStr">
        <is>
          <t>Casual</t>
        </is>
      </c>
      <c r="K1290" s="23" t="inlineStr">
        <is>
          <t>7/28/2025</t>
        </is>
      </c>
      <c r="L1290" s="23" t="inlineStr">
        <is>
          <t>7/28/2025</t>
        </is>
      </c>
      <c r="O1290" t="n">
        <v>30.4</v>
      </c>
    </row>
    <row r="1291">
      <c r="A1291" t="inlineStr">
        <is>
          <t>AU23761</t>
        </is>
      </c>
      <c r="B1291" s="1" t="n"/>
      <c r="C1291" t="inlineStr">
        <is>
          <t>NSW-QLD</t>
        </is>
      </c>
      <c r="D1291" t="inlineStr">
        <is>
          <t>Virtus Health</t>
        </is>
      </c>
      <c r="E1291" t="inlineStr">
        <is>
          <t>Registered Nurse</t>
        </is>
      </c>
      <c r="F1291" s="1" t="n">
        <v>45755</v>
      </c>
      <c r="H1291" t="inlineStr">
        <is>
          <t>QN2025</t>
        </is>
      </c>
      <c r="I1291" t="inlineStr">
        <is>
          <t>QLD</t>
        </is>
      </c>
      <c r="J1291" t="inlineStr">
        <is>
          <t>Part Time</t>
        </is>
      </c>
      <c r="K1291" s="23" t="n">
        <v>45755</v>
      </c>
      <c r="L1291" s="23" t="n">
        <v>45755</v>
      </c>
      <c r="O1291" t="n">
        <v>38</v>
      </c>
    </row>
    <row r="1292">
      <c r="A1292" t="inlineStr">
        <is>
          <t>AU23762</t>
        </is>
      </c>
      <c r="C1292" t="inlineStr">
        <is>
          <t>VIC-TAS</t>
        </is>
      </c>
      <c r="D1292" t="inlineStr">
        <is>
          <t>Virtus Health</t>
        </is>
      </c>
      <c r="E1292" t="inlineStr">
        <is>
          <t>Patient Liaison Administrator</t>
        </is>
      </c>
      <c r="F1292" t="inlineStr">
        <is>
          <t>7/28/2025</t>
        </is>
      </c>
      <c r="H1292" t="inlineStr">
        <is>
          <t>MIVFS2022</t>
        </is>
      </c>
      <c r="I1292" t="inlineStr">
        <is>
          <t>VIC</t>
        </is>
      </c>
      <c r="J1292" t="inlineStr">
        <is>
          <t>Full Time</t>
        </is>
      </c>
      <c r="K1292" s="23" t="inlineStr">
        <is>
          <t>7/28/2025</t>
        </is>
      </c>
      <c r="L1292" s="23" t="inlineStr">
        <is>
          <t>7/28/2025</t>
        </is>
      </c>
      <c r="O1292" t="n">
        <v>38</v>
      </c>
    </row>
    <row r="1293">
      <c r="A1293" t="inlineStr">
        <is>
          <t>AU23763</t>
        </is>
      </c>
      <c r="B1293" s="1" t="n"/>
      <c r="C1293" t="inlineStr">
        <is>
          <t>VIC-TAS</t>
        </is>
      </c>
      <c r="D1293" t="inlineStr">
        <is>
          <t>Virtus Health</t>
        </is>
      </c>
      <c r="E1293" t="inlineStr">
        <is>
          <t>Medical Secretary</t>
        </is>
      </c>
      <c r="F1293" s="1" t="n">
        <v>45755</v>
      </c>
      <c r="H1293" t="inlineStr">
        <is>
          <t>MIVFS2022</t>
        </is>
      </c>
      <c r="I1293" t="inlineStr">
        <is>
          <t>VIC</t>
        </is>
      </c>
      <c r="J1293" t="inlineStr">
        <is>
          <t>Full Time</t>
        </is>
      </c>
      <c r="K1293" s="23" t="n">
        <v>45755</v>
      </c>
      <c r="L1293" s="23" t="n">
        <v>45755</v>
      </c>
      <c r="O1293" t="n">
        <v>38</v>
      </c>
    </row>
    <row r="1294">
      <c r="A1294" t="inlineStr">
        <is>
          <t>AU23764</t>
        </is>
      </c>
      <c r="B1294" s="1" t="n"/>
      <c r="C1294" t="inlineStr">
        <is>
          <t>NSW-QLD</t>
        </is>
      </c>
      <c r="D1294" t="inlineStr">
        <is>
          <t>Virtus Health</t>
        </is>
      </c>
      <c r="E1294" t="inlineStr">
        <is>
          <t>Chief People Officer</t>
        </is>
      </c>
      <c r="F1294" s="1" t="n">
        <v>45969</v>
      </c>
      <c r="H1294" t="inlineStr">
        <is>
          <t>VIC</t>
        </is>
      </c>
      <c r="I1294" t="inlineStr">
        <is>
          <t>VIC</t>
        </is>
      </c>
      <c r="J1294" t="inlineStr">
        <is>
          <t>Part Time</t>
        </is>
      </c>
      <c r="K1294" s="23" t="n">
        <v>45969</v>
      </c>
      <c r="L1294" s="23" t="n">
        <v>45969</v>
      </c>
      <c r="O1294" t="n">
        <v>32</v>
      </c>
    </row>
    <row r="1295">
      <c r="A1295" t="inlineStr">
        <is>
          <t>AU23765</t>
        </is>
      </c>
      <c r="B1295" s="1" t="n"/>
      <c r="C1295" t="inlineStr">
        <is>
          <t>VIC-TAS</t>
        </is>
      </c>
      <c r="D1295" t="inlineStr">
        <is>
          <t>Virtus Health</t>
        </is>
      </c>
      <c r="E1295" t="inlineStr">
        <is>
          <t>Clinical Embryologist</t>
        </is>
      </c>
      <c r="F1295" s="1" t="n">
        <v>45969</v>
      </c>
      <c r="H1295" t="inlineStr">
        <is>
          <t>MIVFS2022</t>
        </is>
      </c>
      <c r="I1295" t="inlineStr">
        <is>
          <t>VIC</t>
        </is>
      </c>
      <c r="J1295" t="inlineStr">
        <is>
          <t>Full Time</t>
        </is>
      </c>
      <c r="K1295" s="23" t="n">
        <v>45969</v>
      </c>
      <c r="L1295" s="23" t="n">
        <v>45969</v>
      </c>
      <c r="O1295" t="n">
        <v>38</v>
      </c>
    </row>
    <row r="1296">
      <c r="A1296" t="inlineStr">
        <is>
          <t>AU23766</t>
        </is>
      </c>
      <c r="B1296" s="1" t="n"/>
      <c r="C1296" t="inlineStr">
        <is>
          <t>NSW-QLD</t>
        </is>
      </c>
      <c r="D1296" t="inlineStr">
        <is>
          <t>Virtus Health</t>
        </is>
      </c>
      <c r="E1296" t="inlineStr">
        <is>
          <t>Head of Commercial Finance</t>
        </is>
      </c>
      <c r="F1296" s="1" t="n">
        <v>45969</v>
      </c>
      <c r="H1296" t="inlineStr">
        <is>
          <t>NSW</t>
        </is>
      </c>
      <c r="I1296" t="inlineStr">
        <is>
          <t>NSW</t>
        </is>
      </c>
      <c r="J1296" t="inlineStr">
        <is>
          <t>Full Time</t>
        </is>
      </c>
      <c r="K1296" s="23" t="n">
        <v>45969</v>
      </c>
      <c r="L1296" s="23" t="n">
        <v>45969</v>
      </c>
      <c r="O1296" t="n">
        <v>38</v>
      </c>
    </row>
    <row r="1297">
      <c r="A1297" t="inlineStr">
        <is>
          <t>AU23767</t>
        </is>
      </c>
      <c r="B1297" s="1" t="n"/>
      <c r="C1297" t="inlineStr">
        <is>
          <t>NSW-QLD</t>
        </is>
      </c>
      <c r="D1297" t="inlineStr">
        <is>
          <t>Virtus Health</t>
        </is>
      </c>
      <c r="E1297" t="inlineStr">
        <is>
          <t>Administration</t>
        </is>
      </c>
      <c r="F1297" s="1" t="n">
        <v>45755</v>
      </c>
      <c r="H1297" t="inlineStr">
        <is>
          <t>IVFS2023</t>
        </is>
      </c>
      <c r="I1297" t="inlineStr">
        <is>
          <t>QLD</t>
        </is>
      </c>
      <c r="J1297" t="inlineStr">
        <is>
          <t>Casual</t>
        </is>
      </c>
      <c r="K1297" s="23" t="n">
        <v>45755</v>
      </c>
      <c r="L1297" s="23" t="n">
        <v>45755</v>
      </c>
      <c r="O1297" t="n">
        <v>38</v>
      </c>
    </row>
    <row r="1298">
      <c r="A1298" t="inlineStr">
        <is>
          <t>AU23768</t>
        </is>
      </c>
      <c r="B1298" s="1" t="n"/>
      <c r="C1298" t="inlineStr">
        <is>
          <t>NSW-QLD</t>
        </is>
      </c>
      <c r="D1298" t="inlineStr">
        <is>
          <t>Virtus Health</t>
        </is>
      </c>
      <c r="E1298" t="inlineStr">
        <is>
          <t>Head of Finance- QFG, VHSD</t>
        </is>
      </c>
      <c r="F1298" s="1" t="n">
        <v>45969</v>
      </c>
      <c r="H1298" t="inlineStr">
        <is>
          <t>QLD</t>
        </is>
      </c>
      <c r="I1298" t="inlineStr">
        <is>
          <t>QLD</t>
        </is>
      </c>
      <c r="J1298" t="inlineStr">
        <is>
          <t>Full Time</t>
        </is>
      </c>
      <c r="K1298" s="23" t="n">
        <v>45969</v>
      </c>
      <c r="L1298" s="23" t="n">
        <v>45969</v>
      </c>
      <c r="O1298" t="n">
        <v>38</v>
      </c>
    </row>
    <row r="1299">
      <c r="A1299" t="inlineStr">
        <is>
          <t>AU23769</t>
        </is>
      </c>
      <c r="C1299" t="inlineStr">
        <is>
          <t>NSW-QLD</t>
        </is>
      </c>
      <c r="D1299" t="inlineStr">
        <is>
          <t>Virtus Health</t>
        </is>
      </c>
      <c r="E1299" t="inlineStr">
        <is>
          <t>Administration Officer</t>
        </is>
      </c>
      <c r="F1299" t="inlineStr">
        <is>
          <t>7/28/2025</t>
        </is>
      </c>
      <c r="H1299" t="inlineStr">
        <is>
          <t>IVFS2023</t>
        </is>
      </c>
      <c r="I1299" t="inlineStr">
        <is>
          <t>NSW</t>
        </is>
      </c>
      <c r="J1299" t="inlineStr">
        <is>
          <t>Full Time</t>
        </is>
      </c>
      <c r="K1299" s="23" t="inlineStr">
        <is>
          <t>7/28/2025</t>
        </is>
      </c>
      <c r="L1299" s="23" t="inlineStr">
        <is>
          <t>7/28/2025</t>
        </is>
      </c>
      <c r="O1299" t="n">
        <v>38</v>
      </c>
    </row>
    <row r="1300">
      <c r="A1300" t="inlineStr">
        <is>
          <t>AU23770</t>
        </is>
      </c>
      <c r="B1300" s="1" t="n"/>
      <c r="C1300" t="inlineStr">
        <is>
          <t>NSW-QLD</t>
        </is>
      </c>
      <c r="D1300" t="inlineStr">
        <is>
          <t>Virtus Health</t>
        </is>
      </c>
      <c r="E1300" t="inlineStr">
        <is>
          <t>Courier</t>
        </is>
      </c>
      <c r="F1300" s="1" t="n">
        <v>45969</v>
      </c>
      <c r="H1300" t="inlineStr">
        <is>
          <t>IVFS2023</t>
        </is>
      </c>
      <c r="I1300" t="inlineStr">
        <is>
          <t>NSW</t>
        </is>
      </c>
      <c r="J1300" t="inlineStr">
        <is>
          <t>Part Time</t>
        </is>
      </c>
      <c r="K1300" s="23" t="n">
        <v>45969</v>
      </c>
      <c r="L1300" s="23" t="n">
        <v>45969</v>
      </c>
      <c r="O1300" t="n">
        <v>24</v>
      </c>
    </row>
    <row r="1301">
      <c r="A1301" t="inlineStr">
        <is>
          <t>AU23771</t>
        </is>
      </c>
      <c r="B1301" s="1" t="n"/>
      <c r="C1301" t="inlineStr">
        <is>
          <t>NSW-QLD</t>
        </is>
      </c>
      <c r="D1301" t="inlineStr">
        <is>
          <t>Virtus Health</t>
        </is>
      </c>
      <c r="E1301" t="inlineStr">
        <is>
          <t>Nures Coordinator</t>
        </is>
      </c>
      <c r="F1301" s="1" t="n">
        <v>45969</v>
      </c>
      <c r="H1301" t="inlineStr">
        <is>
          <t>IVFN2021</t>
        </is>
      </c>
      <c r="I1301" t="inlineStr">
        <is>
          <t>NSW</t>
        </is>
      </c>
      <c r="J1301" t="inlineStr">
        <is>
          <t>Part Time</t>
        </is>
      </c>
      <c r="K1301" s="23" t="n">
        <v>45969</v>
      </c>
      <c r="L1301" s="23" t="n">
        <v>45969</v>
      </c>
      <c r="O1301" t="n">
        <v>38</v>
      </c>
    </row>
    <row r="1302">
      <c r="A1302" t="inlineStr">
        <is>
          <t>AU23772</t>
        </is>
      </c>
      <c r="B1302" s="1" t="n"/>
      <c r="C1302" t="inlineStr">
        <is>
          <t>NSW-QLD</t>
        </is>
      </c>
      <c r="D1302" t="inlineStr">
        <is>
          <t>Virtus Health</t>
        </is>
      </c>
      <c r="E1302" t="inlineStr">
        <is>
          <t>Assistant in Nursing</t>
        </is>
      </c>
      <c r="F1302" s="1" t="n">
        <v>45969</v>
      </c>
      <c r="H1302" t="inlineStr">
        <is>
          <t>QN2025</t>
        </is>
      </c>
      <c r="I1302" t="inlineStr">
        <is>
          <t>QLD</t>
        </is>
      </c>
      <c r="J1302" t="inlineStr">
        <is>
          <t>Casual</t>
        </is>
      </c>
      <c r="K1302" s="23" t="n">
        <v>45969</v>
      </c>
      <c r="L1302" s="23" t="n">
        <v>45969</v>
      </c>
      <c r="O1302" t="n">
        <v>28.5</v>
      </c>
    </row>
    <row r="1303">
      <c r="A1303" t="inlineStr">
        <is>
          <t>AU23773</t>
        </is>
      </c>
      <c r="B1303" s="1" t="n"/>
      <c r="C1303" t="inlineStr">
        <is>
          <t>NSW-QLD</t>
        </is>
      </c>
      <c r="D1303" t="inlineStr">
        <is>
          <t>Virtus Health</t>
        </is>
      </c>
      <c r="E1303" t="inlineStr">
        <is>
          <t>Laboratory Administration</t>
        </is>
      </c>
      <c r="F1303" s="1" t="n">
        <v>45969</v>
      </c>
      <c r="H1303" t="inlineStr">
        <is>
          <t>IVFS2023</t>
        </is>
      </c>
      <c r="I1303" t="inlineStr">
        <is>
          <t>QLD</t>
        </is>
      </c>
      <c r="J1303" t="inlineStr">
        <is>
          <t>Casual</t>
        </is>
      </c>
      <c r="K1303" s="23" t="n">
        <v>45969</v>
      </c>
      <c r="L1303" s="23" t="n">
        <v>45969</v>
      </c>
      <c r="O1303" t="n">
        <v>22.8</v>
      </c>
    </row>
    <row r="1304">
      <c r="A1304" t="inlineStr">
        <is>
          <t>AU23775</t>
        </is>
      </c>
      <c r="B1304" s="1" t="n"/>
      <c r="C1304" t="inlineStr">
        <is>
          <t>NSW-QLD</t>
        </is>
      </c>
      <c r="D1304" t="inlineStr">
        <is>
          <t>Virtus Health</t>
        </is>
      </c>
      <c r="E1304" t="inlineStr">
        <is>
          <t>Administration Assistant</t>
        </is>
      </c>
      <c r="F1304" s="1" t="n">
        <v>45969</v>
      </c>
      <c r="H1304" t="inlineStr">
        <is>
          <t>IVFS2023</t>
        </is>
      </c>
      <c r="I1304" t="inlineStr">
        <is>
          <t>QLD</t>
        </is>
      </c>
      <c r="J1304" t="inlineStr">
        <is>
          <t>Casual</t>
        </is>
      </c>
      <c r="K1304" s="23" t="n">
        <v>45969</v>
      </c>
      <c r="L1304" s="23" t="n">
        <v>45969</v>
      </c>
      <c r="O1304" t="n">
        <v>38</v>
      </c>
    </row>
    <row r="1305">
      <c r="A1305" t="inlineStr">
        <is>
          <t>AU23776</t>
        </is>
      </c>
      <c r="B1305" s="1" t="n"/>
      <c r="C1305" t="inlineStr">
        <is>
          <t>NSW-QLD</t>
        </is>
      </c>
      <c r="D1305" t="inlineStr">
        <is>
          <t>Virtus Health</t>
        </is>
      </c>
      <c r="E1305" t="inlineStr">
        <is>
          <t xml:space="preserve">Group Financial Planning &amp; Analysis Manager </t>
        </is>
      </c>
      <c r="F1305" s="1" t="n">
        <v>45878</v>
      </c>
      <c r="H1305" t="inlineStr">
        <is>
          <t>NSW</t>
        </is>
      </c>
      <c r="I1305" t="inlineStr">
        <is>
          <t>NSW</t>
        </is>
      </c>
      <c r="J1305" t="inlineStr">
        <is>
          <t>Full Time</t>
        </is>
      </c>
      <c r="K1305" s="23" t="n">
        <v>45878</v>
      </c>
      <c r="L1305" s="23" t="n">
        <v>45878</v>
      </c>
      <c r="O1305" t="n">
        <v>38</v>
      </c>
    </row>
    <row r="1306">
      <c r="A1306" t="inlineStr">
        <is>
          <t>AU23777</t>
        </is>
      </c>
      <c r="C1306" t="inlineStr">
        <is>
          <t>NSW-QLD</t>
        </is>
      </c>
      <c r="D1306" t="inlineStr">
        <is>
          <t>Virtus Health</t>
        </is>
      </c>
      <c r="E1306" t="inlineStr">
        <is>
          <t>Administration</t>
        </is>
      </c>
      <c r="F1306" t="inlineStr">
        <is>
          <t>8/15/2025</t>
        </is>
      </c>
      <c r="H1306" t="inlineStr">
        <is>
          <t>IVFS2023</t>
        </is>
      </c>
      <c r="I1306" t="inlineStr">
        <is>
          <t>QLD</t>
        </is>
      </c>
      <c r="J1306" t="inlineStr">
        <is>
          <t>Casual</t>
        </is>
      </c>
      <c r="K1306" s="23" t="inlineStr">
        <is>
          <t>8/15/2025</t>
        </is>
      </c>
      <c r="L1306" s="23" t="inlineStr">
        <is>
          <t>8/15/2025</t>
        </is>
      </c>
      <c r="O1306" t="n">
        <v>38</v>
      </c>
    </row>
    <row r="1307">
      <c r="A1307" t="inlineStr">
        <is>
          <t>AU23778</t>
        </is>
      </c>
      <c r="C1307" t="inlineStr">
        <is>
          <t>NSW-QLD</t>
        </is>
      </c>
      <c r="D1307" t="inlineStr">
        <is>
          <t>Virtus Health</t>
        </is>
      </c>
      <c r="E1307" t="inlineStr">
        <is>
          <t>HR &amp; Payroll Implementation Consultant</t>
        </is>
      </c>
      <c r="F1307" t="inlineStr">
        <is>
          <t>8/19/2025</t>
        </is>
      </c>
      <c r="H1307" t="inlineStr">
        <is>
          <t>NSW</t>
        </is>
      </c>
      <c r="I1307" t="inlineStr">
        <is>
          <t>NSW</t>
        </is>
      </c>
      <c r="J1307" t="inlineStr">
        <is>
          <t>Full Time</t>
        </is>
      </c>
      <c r="K1307" s="23" t="inlineStr">
        <is>
          <t>8/19/2025</t>
        </is>
      </c>
      <c r="L1307" s="23" t="inlineStr">
        <is>
          <t>8/19/2025</t>
        </is>
      </c>
      <c r="O1307" t="n">
        <v>38</v>
      </c>
    </row>
    <row r="1308">
      <c r="A1308" t="inlineStr">
        <is>
          <t>AU23780</t>
        </is>
      </c>
      <c r="C1308" t="inlineStr">
        <is>
          <t>VIC-TAS</t>
        </is>
      </c>
      <c r="D1308" t="inlineStr">
        <is>
          <t>Virtus Health</t>
        </is>
      </c>
      <c r="E1308" t="inlineStr">
        <is>
          <t>Patient Liaison Administrator</t>
        </is>
      </c>
      <c r="F1308" t="inlineStr">
        <is>
          <t>7/28/2025</t>
        </is>
      </c>
      <c r="H1308" t="inlineStr">
        <is>
          <t>MIVFS2022</t>
        </is>
      </c>
      <c r="I1308" t="inlineStr">
        <is>
          <t>VIC</t>
        </is>
      </c>
      <c r="J1308" t="inlineStr">
        <is>
          <t>Casual</t>
        </is>
      </c>
      <c r="K1308" s="23" t="inlineStr">
        <is>
          <t>7/28/2025</t>
        </is>
      </c>
      <c r="L1308" s="23" t="inlineStr">
        <is>
          <t>7/28/2025</t>
        </is>
      </c>
      <c r="O1308" t="n">
        <v>38</v>
      </c>
    </row>
    <row r="1309">
      <c r="A1309" t="inlineStr">
        <is>
          <t>AU23781</t>
        </is>
      </c>
      <c r="C1309" t="inlineStr">
        <is>
          <t>VIC-TAS</t>
        </is>
      </c>
      <c r="D1309" t="inlineStr">
        <is>
          <t>Virtus Health</t>
        </is>
      </c>
      <c r="E1309" t="inlineStr">
        <is>
          <t>Receptionist</t>
        </is>
      </c>
      <c r="F1309" t="inlineStr">
        <is>
          <t>8/18/2025</t>
        </is>
      </c>
      <c r="H1309" t="inlineStr">
        <is>
          <t>MIVFS2022</t>
        </is>
      </c>
      <c r="I1309" t="inlineStr">
        <is>
          <t>VIC</t>
        </is>
      </c>
      <c r="J1309" t="inlineStr">
        <is>
          <t>Full Time</t>
        </is>
      </c>
      <c r="K1309" s="23" t="inlineStr">
        <is>
          <t>8/18/2025</t>
        </is>
      </c>
      <c r="L1309" s="23" t="inlineStr">
        <is>
          <t>8/18/2025</t>
        </is>
      </c>
      <c r="O1309" t="n">
        <v>38</v>
      </c>
    </row>
    <row r="1310">
      <c r="A1310" t="inlineStr">
        <is>
          <t>AU23782</t>
        </is>
      </c>
      <c r="C1310" t="inlineStr">
        <is>
          <t>NSW-QLD</t>
        </is>
      </c>
      <c r="D1310" t="inlineStr">
        <is>
          <t>Virtus Health</t>
        </is>
      </c>
      <c r="E1310" t="inlineStr">
        <is>
          <t>Nurse Coordinator</t>
        </is>
      </c>
      <c r="F1310" t="inlineStr">
        <is>
          <t>7/28/2025</t>
        </is>
      </c>
      <c r="H1310" t="inlineStr">
        <is>
          <t>QN2025</t>
        </is>
      </c>
      <c r="I1310" t="inlineStr">
        <is>
          <t>QLD</t>
        </is>
      </c>
      <c r="J1310" t="inlineStr">
        <is>
          <t>Part Time</t>
        </is>
      </c>
      <c r="K1310" s="23" t="inlineStr">
        <is>
          <t>7/28/2025</t>
        </is>
      </c>
      <c r="L1310" s="23" t="inlineStr">
        <is>
          <t>7/28/2025</t>
        </is>
      </c>
      <c r="O1310" t="n">
        <v>38</v>
      </c>
    </row>
    <row r="1311">
      <c r="A1311" t="inlineStr">
        <is>
          <t>AU23783</t>
        </is>
      </c>
      <c r="C1311" t="inlineStr">
        <is>
          <t>NSW-QLD</t>
        </is>
      </c>
      <c r="D1311" t="inlineStr">
        <is>
          <t>Virtus Health</t>
        </is>
      </c>
      <c r="E1311" t="inlineStr">
        <is>
          <t>Registered Nurse</t>
        </is>
      </c>
      <c r="F1311" t="inlineStr">
        <is>
          <t>8/25/2025</t>
        </is>
      </c>
      <c r="H1311" t="inlineStr">
        <is>
          <t>QN2025</t>
        </is>
      </c>
      <c r="I1311" t="inlineStr">
        <is>
          <t>QLD</t>
        </is>
      </c>
      <c r="J1311" t="inlineStr">
        <is>
          <t>Part Time</t>
        </is>
      </c>
      <c r="K1311" s="23" t="inlineStr">
        <is>
          <t>8/25/2025</t>
        </is>
      </c>
      <c r="L1311" s="23" t="inlineStr">
        <is>
          <t>8/25/2025</t>
        </is>
      </c>
      <c r="O1311" t="n">
        <v>24</v>
      </c>
    </row>
    <row r="1312">
      <c r="A1312" t="inlineStr">
        <is>
          <t>AU23784</t>
        </is>
      </c>
      <c r="B1312" s="1" t="n"/>
      <c r="C1312" t="inlineStr">
        <is>
          <t>VIC-TAS</t>
        </is>
      </c>
      <c r="D1312" t="inlineStr">
        <is>
          <t>Virtus Health</t>
        </is>
      </c>
      <c r="E1312" t="inlineStr">
        <is>
          <t>Receptionist</t>
        </is>
      </c>
      <c r="F1312" s="1" t="n">
        <v>45878</v>
      </c>
      <c r="H1312" t="inlineStr">
        <is>
          <t>MIVFS2022</t>
        </is>
      </c>
      <c r="I1312" t="inlineStr">
        <is>
          <t>VIC</t>
        </is>
      </c>
      <c r="J1312" t="inlineStr">
        <is>
          <t>Full Time</t>
        </is>
      </c>
      <c r="K1312" s="23" t="n">
        <v>45878</v>
      </c>
      <c r="L1312" s="23" t="n">
        <v>45878</v>
      </c>
      <c r="O1312" t="n">
        <v>38</v>
      </c>
    </row>
    <row r="1313">
      <c r="A1313" t="inlineStr">
        <is>
          <t>AU23785</t>
        </is>
      </c>
      <c r="B1313" s="1" t="n"/>
      <c r="C1313" t="inlineStr">
        <is>
          <t>NSW-QLD</t>
        </is>
      </c>
      <c r="D1313" t="inlineStr">
        <is>
          <t>Virtus Health</t>
        </is>
      </c>
      <c r="E1313" t="inlineStr">
        <is>
          <t>Assistant in Nursing</t>
        </is>
      </c>
      <c r="F1313" s="1" t="n">
        <v>45666</v>
      </c>
      <c r="H1313" t="inlineStr">
        <is>
          <t>QN2025</t>
        </is>
      </c>
      <c r="I1313" t="inlineStr">
        <is>
          <t>QLD</t>
        </is>
      </c>
      <c r="J1313" t="inlineStr">
        <is>
          <t>Part Time</t>
        </is>
      </c>
      <c r="K1313" s="23" t="n">
        <v>45666</v>
      </c>
      <c r="L1313" s="23" t="n">
        <v>45666</v>
      </c>
      <c r="O1313" t="n">
        <v>8</v>
      </c>
    </row>
    <row r="1314">
      <c r="A1314" t="inlineStr">
        <is>
          <t>AU23786</t>
        </is>
      </c>
      <c r="C1314" t="inlineStr">
        <is>
          <t>VIC-TAS</t>
        </is>
      </c>
      <c r="D1314" t="inlineStr">
        <is>
          <t>Virtus Health</t>
        </is>
      </c>
      <c r="E1314" t="inlineStr">
        <is>
          <t>Registered Nurse</t>
        </is>
      </c>
      <c r="F1314" t="inlineStr">
        <is>
          <t>8/26/2025</t>
        </is>
      </c>
      <c r="H1314" t="inlineStr">
        <is>
          <t>MIVFN2023</t>
        </is>
      </c>
      <c r="I1314" t="inlineStr">
        <is>
          <t>VIC</t>
        </is>
      </c>
      <c r="J1314" t="inlineStr">
        <is>
          <t>Full Time</t>
        </is>
      </c>
      <c r="K1314" s="23" t="inlineStr">
        <is>
          <t>8/26/2025</t>
        </is>
      </c>
      <c r="L1314" s="23" t="inlineStr">
        <is>
          <t>8/26/2025</t>
        </is>
      </c>
      <c r="O1314" t="n">
        <v>38</v>
      </c>
    </row>
    <row r="1315">
      <c r="A1315" t="inlineStr">
        <is>
          <t>AU23787</t>
        </is>
      </c>
      <c r="C1315" t="inlineStr">
        <is>
          <t>NSW-QLD</t>
        </is>
      </c>
      <c r="D1315" t="inlineStr">
        <is>
          <t>Virtus Health</t>
        </is>
      </c>
      <c r="E1315" t="inlineStr">
        <is>
          <t>Accounts Officer</t>
        </is>
      </c>
      <c r="F1315" t="inlineStr">
        <is>
          <t>8/18/2025</t>
        </is>
      </c>
      <c r="H1315" t="inlineStr">
        <is>
          <t>IVFS2023</t>
        </is>
      </c>
      <c r="I1315" t="inlineStr">
        <is>
          <t>NSW</t>
        </is>
      </c>
      <c r="J1315" t="inlineStr">
        <is>
          <t>Part Time</t>
        </is>
      </c>
      <c r="K1315" s="23" t="inlineStr">
        <is>
          <t>8/18/2025</t>
        </is>
      </c>
      <c r="L1315" s="23" t="inlineStr">
        <is>
          <t>8/18/2025</t>
        </is>
      </c>
      <c r="O1315" t="n">
        <v>38</v>
      </c>
    </row>
    <row r="1316">
      <c r="A1316" t="inlineStr">
        <is>
          <t>AU23788</t>
        </is>
      </c>
      <c r="B1316" s="1" t="n"/>
      <c r="C1316" t="inlineStr">
        <is>
          <t>NSW-QLD</t>
        </is>
      </c>
      <c r="D1316" t="inlineStr">
        <is>
          <t>Virtus Health</t>
        </is>
      </c>
      <c r="E1316" t="inlineStr">
        <is>
          <t>Laboratory Technician</t>
        </is>
      </c>
      <c r="F1316" s="1" t="n">
        <v>45878</v>
      </c>
      <c r="H1316" t="inlineStr">
        <is>
          <t>QS2024</t>
        </is>
      </c>
      <c r="I1316" t="inlineStr">
        <is>
          <t>QLD</t>
        </is>
      </c>
      <c r="J1316" t="inlineStr">
        <is>
          <t>Full Time</t>
        </is>
      </c>
      <c r="K1316" s="23" t="n">
        <v>45878</v>
      </c>
      <c r="L1316" s="23" t="n">
        <v>45878</v>
      </c>
      <c r="O1316" t="n">
        <v>38</v>
      </c>
    </row>
    <row r="1317">
      <c r="A1317" t="inlineStr">
        <is>
          <t>AU23789</t>
        </is>
      </c>
      <c r="C1317" t="inlineStr">
        <is>
          <t>NSW-QLD</t>
        </is>
      </c>
      <c r="D1317" t="inlineStr">
        <is>
          <t>Virtus Health</t>
        </is>
      </c>
      <c r="E1317" t="inlineStr">
        <is>
          <t>HR Generalist</t>
        </is>
      </c>
      <c r="F1317" t="inlineStr">
        <is>
          <t>9/29/2025</t>
        </is>
      </c>
      <c r="H1317" t="inlineStr">
        <is>
          <t>NSW</t>
        </is>
      </c>
      <c r="I1317" t="inlineStr">
        <is>
          <t>NSW</t>
        </is>
      </c>
      <c r="J1317" t="inlineStr">
        <is>
          <t>Full Time</t>
        </is>
      </c>
      <c r="K1317" s="23" t="inlineStr">
        <is>
          <t>9/29/2025</t>
        </is>
      </c>
      <c r="L1317" s="23" t="inlineStr">
        <is>
          <t>9/29/2025</t>
        </is>
      </c>
      <c r="O1317" t="n">
        <v>38</v>
      </c>
    </row>
    <row r="1318">
      <c r="A1318" t="inlineStr">
        <is>
          <t>AU23790</t>
        </is>
      </c>
      <c r="C1318" t="inlineStr">
        <is>
          <t>NSW-QLD</t>
        </is>
      </c>
      <c r="D1318" t="inlineStr">
        <is>
          <t>Virtus Health</t>
        </is>
      </c>
      <c r="E1318" t="inlineStr">
        <is>
          <t>Administration Officer</t>
        </is>
      </c>
      <c r="F1318" t="inlineStr">
        <is>
          <t>8/25/2025</t>
        </is>
      </c>
      <c r="H1318" t="inlineStr">
        <is>
          <t>IVFS2023</t>
        </is>
      </c>
      <c r="I1318" t="inlineStr">
        <is>
          <t>NSW</t>
        </is>
      </c>
      <c r="J1318" t="inlineStr">
        <is>
          <t>Part Time</t>
        </is>
      </c>
      <c r="K1318" s="23" t="inlineStr">
        <is>
          <t>8/25/2025</t>
        </is>
      </c>
      <c r="L1318" s="23" t="inlineStr">
        <is>
          <t>8/25/2025</t>
        </is>
      </c>
      <c r="O1318" t="n">
        <v>38</v>
      </c>
    </row>
    <row r="1319">
      <c r="A1319" t="inlineStr">
        <is>
          <t>AU23791</t>
        </is>
      </c>
      <c r="C1319" t="inlineStr">
        <is>
          <t>NSW-QLD</t>
        </is>
      </c>
      <c r="D1319" t="inlineStr">
        <is>
          <t>Virtus Health</t>
        </is>
      </c>
      <c r="E1319" t="inlineStr">
        <is>
          <t>Genetic Scientist</t>
        </is>
      </c>
      <c r="F1319" t="inlineStr">
        <is>
          <t>7/28/2025</t>
        </is>
      </c>
      <c r="H1319" t="inlineStr">
        <is>
          <t>QS2024</t>
        </is>
      </c>
      <c r="I1319" t="inlineStr">
        <is>
          <t>QLD</t>
        </is>
      </c>
      <c r="J1319" t="inlineStr">
        <is>
          <t>Part Time</t>
        </is>
      </c>
      <c r="K1319" s="23" t="inlineStr">
        <is>
          <t>7/28/2025</t>
        </is>
      </c>
      <c r="L1319" s="23" t="inlineStr">
        <is>
          <t>7/28/2025</t>
        </is>
      </c>
      <c r="O1319" t="n">
        <v>20</v>
      </c>
    </row>
    <row r="1320">
      <c r="A1320" t="inlineStr">
        <is>
          <t>AU23792</t>
        </is>
      </c>
      <c r="B1320" s="1" t="n"/>
      <c r="C1320" t="inlineStr">
        <is>
          <t>VIC-TAS</t>
        </is>
      </c>
      <c r="D1320" t="inlineStr">
        <is>
          <t>Virtus Health</t>
        </is>
      </c>
      <c r="E1320" t="inlineStr">
        <is>
          <t>Patient Liaison Administrator</t>
        </is>
      </c>
      <c r="F1320" s="1" t="n">
        <v>45666</v>
      </c>
      <c r="H1320" t="inlineStr">
        <is>
          <t>MIVFS2022</t>
        </is>
      </c>
      <c r="I1320" t="inlineStr">
        <is>
          <t>VIC</t>
        </is>
      </c>
      <c r="J1320" t="inlineStr">
        <is>
          <t>Full Time</t>
        </is>
      </c>
      <c r="K1320" s="23" t="n">
        <v>45666</v>
      </c>
      <c r="L1320" s="23" t="n">
        <v>45666</v>
      </c>
      <c r="O1320" t="n">
        <v>38</v>
      </c>
    </row>
    <row r="1321">
      <c r="A1321" t="inlineStr">
        <is>
          <t>AU23793</t>
        </is>
      </c>
      <c r="B1321" s="1" t="n"/>
      <c r="C1321" t="inlineStr">
        <is>
          <t>NSW-QLD</t>
        </is>
      </c>
      <c r="D1321" t="inlineStr">
        <is>
          <t>Virtus Health</t>
        </is>
      </c>
      <c r="E1321" t="inlineStr">
        <is>
          <t>Assistant in Nursing</t>
        </is>
      </c>
      <c r="F1321" s="1" t="n">
        <v>45666</v>
      </c>
      <c r="H1321" t="inlineStr">
        <is>
          <t>IVFN2021</t>
        </is>
      </c>
      <c r="I1321" t="inlineStr">
        <is>
          <t>NSW</t>
        </is>
      </c>
      <c r="J1321" t="inlineStr">
        <is>
          <t>Full Time</t>
        </is>
      </c>
      <c r="K1321" s="23" t="n">
        <v>45666</v>
      </c>
      <c r="L1321" s="23" t="n">
        <v>45666</v>
      </c>
      <c r="O1321" t="n">
        <v>38</v>
      </c>
    </row>
    <row r="1322">
      <c r="A1322" t="inlineStr">
        <is>
          <t>AU23794</t>
        </is>
      </c>
      <c r="C1322" t="inlineStr">
        <is>
          <t>NSW-QLD</t>
        </is>
      </c>
      <c r="D1322" t="inlineStr">
        <is>
          <t>Virtus Health</t>
        </is>
      </c>
      <c r="E1322" t="inlineStr">
        <is>
          <t>Scientific Director</t>
        </is>
      </c>
      <c r="F1322" t="inlineStr">
        <is>
          <t>9/17/2025</t>
        </is>
      </c>
      <c r="H1322" t="inlineStr">
        <is>
          <t>NSW</t>
        </is>
      </c>
      <c r="I1322" t="inlineStr">
        <is>
          <t>NSW</t>
        </is>
      </c>
      <c r="J1322" t="inlineStr">
        <is>
          <t>Full Time</t>
        </is>
      </c>
      <c r="K1322" s="23" t="inlineStr">
        <is>
          <t>9/17/2025</t>
        </is>
      </c>
      <c r="L1322" s="23" t="inlineStr">
        <is>
          <t>9/17/2025</t>
        </is>
      </c>
      <c r="O1322" t="n">
        <v>38</v>
      </c>
    </row>
    <row r="1323">
      <c r="A1323" t="inlineStr">
        <is>
          <t>AU23795</t>
        </is>
      </c>
      <c r="B1323" s="1" t="n"/>
      <c r="C1323" t="inlineStr">
        <is>
          <t>VIC-TAS</t>
        </is>
      </c>
      <c r="D1323" t="inlineStr">
        <is>
          <t>Virtus Health</t>
        </is>
      </c>
      <c r="E1323" t="inlineStr">
        <is>
          <t>Phlebotomist</t>
        </is>
      </c>
      <c r="F1323" s="1" t="n">
        <v>45878</v>
      </c>
      <c r="H1323" t="inlineStr">
        <is>
          <t>IVFS2023</t>
        </is>
      </c>
      <c r="I1323" t="inlineStr">
        <is>
          <t>VIC</t>
        </is>
      </c>
      <c r="J1323" t="inlineStr">
        <is>
          <t>Part Time</t>
        </is>
      </c>
      <c r="K1323" s="23" t="n">
        <v>45878</v>
      </c>
      <c r="L1323" s="23" t="n">
        <v>45878</v>
      </c>
      <c r="O1323" t="n">
        <v>22.8</v>
      </c>
    </row>
    <row r="1324">
      <c r="A1324" t="inlineStr">
        <is>
          <t>AU23797</t>
        </is>
      </c>
      <c r="C1324" t="inlineStr">
        <is>
          <t>NSW-QLD</t>
        </is>
      </c>
      <c r="D1324" t="inlineStr">
        <is>
          <t>Virtus Health</t>
        </is>
      </c>
      <c r="E1324" t="inlineStr">
        <is>
          <t>Senior Scientist</t>
        </is>
      </c>
      <c r="F1324" t="inlineStr">
        <is>
          <t>8/25/2025</t>
        </is>
      </c>
      <c r="H1324" t="inlineStr">
        <is>
          <t>QS2024</t>
        </is>
      </c>
      <c r="I1324" t="inlineStr">
        <is>
          <t>QLD</t>
        </is>
      </c>
      <c r="J1324" t="inlineStr">
        <is>
          <t>Full Time</t>
        </is>
      </c>
      <c r="K1324" s="23" t="inlineStr">
        <is>
          <t>8/25/2025</t>
        </is>
      </c>
      <c r="L1324" s="23" t="inlineStr">
        <is>
          <t>8/25/2025</t>
        </is>
      </c>
      <c r="O1324" t="n">
        <v>38</v>
      </c>
    </row>
    <row r="1325">
      <c r="A1325" t="inlineStr">
        <is>
          <t>AU23799</t>
        </is>
      </c>
      <c r="B1325" s="1" t="n"/>
      <c r="C1325" t="inlineStr">
        <is>
          <t>VIC-TAS</t>
        </is>
      </c>
      <c r="D1325" t="inlineStr">
        <is>
          <t>Virtus Health</t>
        </is>
      </c>
      <c r="E1325" t="inlineStr">
        <is>
          <t>Phlebotomist</t>
        </is>
      </c>
      <c r="F1325" s="1" t="n">
        <v>45666</v>
      </c>
      <c r="H1325" t="inlineStr">
        <is>
          <t>IVFS2023</t>
        </is>
      </c>
      <c r="I1325" t="inlineStr">
        <is>
          <t>VIC</t>
        </is>
      </c>
      <c r="J1325" t="inlineStr">
        <is>
          <t>Casual</t>
        </is>
      </c>
      <c r="K1325" s="23" t="n">
        <v>45666</v>
      </c>
      <c r="L1325" s="23" t="n">
        <v>45666</v>
      </c>
      <c r="O1325" t="n">
        <v>38</v>
      </c>
    </row>
    <row r="1326">
      <c r="A1326" t="inlineStr">
        <is>
          <t>AU23800</t>
        </is>
      </c>
      <c r="C1326" t="inlineStr">
        <is>
          <t>NSW-QLD</t>
        </is>
      </c>
      <c r="D1326" t="inlineStr">
        <is>
          <t>Virtus Health</t>
        </is>
      </c>
      <c r="E1326" t="inlineStr">
        <is>
          <t>PMO Analyst</t>
        </is>
      </c>
      <c r="F1326" t="inlineStr">
        <is>
          <t>8/25/2025</t>
        </is>
      </c>
      <c r="H1326" t="inlineStr">
        <is>
          <t>VIC</t>
        </is>
      </c>
      <c r="I1326" t="inlineStr">
        <is>
          <t>VIC</t>
        </is>
      </c>
      <c r="J1326" t="inlineStr">
        <is>
          <t>Full Time</t>
        </is>
      </c>
      <c r="K1326" s="23" t="inlineStr">
        <is>
          <t>8/25/2025</t>
        </is>
      </c>
      <c r="L1326" s="23" t="inlineStr">
        <is>
          <t>8/25/2025</t>
        </is>
      </c>
      <c r="O1326" t="n">
        <v>38</v>
      </c>
    </row>
    <row r="1327">
      <c r="A1327" t="inlineStr">
        <is>
          <t>AU23802</t>
        </is>
      </c>
      <c r="B1327" s="1" t="n"/>
      <c r="C1327" t="inlineStr">
        <is>
          <t>NSW-QLD</t>
        </is>
      </c>
      <c r="D1327" t="inlineStr">
        <is>
          <t>Virtus Health</t>
        </is>
      </c>
      <c r="E1327" t="inlineStr">
        <is>
          <t>Administration Officer</t>
        </is>
      </c>
      <c r="F1327" s="1" t="n">
        <v>45666</v>
      </c>
      <c r="H1327" t="inlineStr">
        <is>
          <t>IVFS2023</t>
        </is>
      </c>
      <c r="I1327" t="inlineStr">
        <is>
          <t>NSW</t>
        </is>
      </c>
      <c r="J1327" t="inlineStr">
        <is>
          <t>Full Time</t>
        </is>
      </c>
      <c r="K1327" s="23" t="n">
        <v>45666</v>
      </c>
      <c r="L1327" s="23" t="n">
        <v>45666</v>
      </c>
      <c r="O1327" t="n">
        <v>38</v>
      </c>
    </row>
    <row r="1328">
      <c r="A1328" t="inlineStr">
        <is>
          <t>AU23803</t>
        </is>
      </c>
      <c r="B1328" s="1" t="n"/>
      <c r="C1328" t="inlineStr">
        <is>
          <t>NSW-QLD</t>
        </is>
      </c>
      <c r="D1328" t="inlineStr">
        <is>
          <t>Virtus Health</t>
        </is>
      </c>
      <c r="E1328" t="inlineStr">
        <is>
          <t>HR Administrator</t>
        </is>
      </c>
      <c r="F1328" s="1" t="n">
        <v>45756</v>
      </c>
      <c r="H1328" t="inlineStr">
        <is>
          <t>NSW</t>
        </is>
      </c>
      <c r="I1328" t="inlineStr">
        <is>
          <t>NSW</t>
        </is>
      </c>
      <c r="J1328" t="inlineStr">
        <is>
          <t>Casual</t>
        </is>
      </c>
      <c r="K1328" s="23" t="n">
        <v>45756</v>
      </c>
      <c r="L1328" s="23" t="n">
        <v>45756</v>
      </c>
      <c r="O1328" t="n">
        <v>38</v>
      </c>
    </row>
    <row r="1329">
      <c r="A1329" t="inlineStr">
        <is>
          <t>AU23804</t>
        </is>
      </c>
      <c r="B1329" s="1" t="n"/>
      <c r="C1329" t="inlineStr">
        <is>
          <t>NSW-QLD</t>
        </is>
      </c>
      <c r="D1329" t="inlineStr">
        <is>
          <t>Virtus Health</t>
        </is>
      </c>
      <c r="E1329" t="inlineStr">
        <is>
          <t>Nurses  Coordinator</t>
        </is>
      </c>
      <c r="F1329" s="1" t="n">
        <v>45848</v>
      </c>
      <c r="H1329" t="inlineStr">
        <is>
          <t>QN2025</t>
        </is>
      </c>
      <c r="I1329" t="inlineStr">
        <is>
          <t>QLD</t>
        </is>
      </c>
      <c r="J1329" t="inlineStr">
        <is>
          <t>Full Time</t>
        </is>
      </c>
      <c r="K1329" s="23" t="n">
        <v>45848</v>
      </c>
      <c r="L1329" s="23" t="n">
        <v>45848</v>
      </c>
      <c r="O1329" t="n">
        <v>38</v>
      </c>
    </row>
    <row r="1330">
      <c r="A1330" t="inlineStr">
        <is>
          <t>AU23805</t>
        </is>
      </c>
      <c r="C1330" t="inlineStr">
        <is>
          <t>NSW-QLD</t>
        </is>
      </c>
      <c r="D1330" t="inlineStr">
        <is>
          <t>Virtus Health</t>
        </is>
      </c>
      <c r="E1330" t="inlineStr">
        <is>
          <t xml:space="preserve">National Accounts Payable Manager </t>
        </is>
      </c>
      <c r="F1330" t="inlineStr">
        <is>
          <t>9/22/2025</t>
        </is>
      </c>
      <c r="H1330" t="inlineStr">
        <is>
          <t>NSW</t>
        </is>
      </c>
      <c r="I1330" t="inlineStr">
        <is>
          <t>NSW</t>
        </is>
      </c>
      <c r="J1330" t="inlineStr">
        <is>
          <t>Full Time</t>
        </is>
      </c>
      <c r="K1330" s="23" t="inlineStr">
        <is>
          <t>9/22/2025</t>
        </is>
      </c>
      <c r="L1330" s="23" t="inlineStr">
        <is>
          <t>9/22/2025</t>
        </is>
      </c>
      <c r="O1330" t="n">
        <v>38</v>
      </c>
    </row>
    <row r="1331">
      <c r="A1331" t="inlineStr">
        <is>
          <t>AU23806</t>
        </is>
      </c>
      <c r="C1331" t="inlineStr">
        <is>
          <t>NSW-QLD</t>
        </is>
      </c>
      <c r="D1331" t="inlineStr">
        <is>
          <t>Virtus Health</t>
        </is>
      </c>
      <c r="E1331" t="inlineStr">
        <is>
          <t>Data Governance &amp; Platform Manager</t>
        </is>
      </c>
      <c r="F1331" t="inlineStr">
        <is>
          <t>9/22/2025</t>
        </is>
      </c>
      <c r="H1331" t="inlineStr">
        <is>
          <t>VIC</t>
        </is>
      </c>
      <c r="I1331" t="inlineStr">
        <is>
          <t>VIC</t>
        </is>
      </c>
      <c r="J1331" t="inlineStr">
        <is>
          <t>Full Time</t>
        </is>
      </c>
      <c r="K1331" s="23" t="inlineStr">
        <is>
          <t>9/22/2025</t>
        </is>
      </c>
      <c r="L1331" s="23" t="inlineStr">
        <is>
          <t>9/22/2025</t>
        </is>
      </c>
      <c r="O1331" t="n">
        <v>38</v>
      </c>
    </row>
    <row r="1332">
      <c r="A1332" t="inlineStr">
        <is>
          <t>AU23807</t>
        </is>
      </c>
      <c r="B1332" s="1" t="n"/>
      <c r="C1332" t="inlineStr">
        <is>
          <t>NSW-QLD</t>
        </is>
      </c>
      <c r="D1332" t="inlineStr">
        <is>
          <t>Virtus Health</t>
        </is>
      </c>
      <c r="E1332" t="inlineStr">
        <is>
          <t>Facilities and Projects manager</t>
        </is>
      </c>
      <c r="F1332" s="1" t="n">
        <v>45909</v>
      </c>
      <c r="H1332" t="inlineStr">
        <is>
          <t>NSW</t>
        </is>
      </c>
      <c r="I1332" t="inlineStr">
        <is>
          <t>NSW</t>
        </is>
      </c>
      <c r="J1332" t="inlineStr">
        <is>
          <t>Full Time</t>
        </is>
      </c>
      <c r="K1332" s="23" t="n">
        <v>45909</v>
      </c>
      <c r="L1332" s="23" t="n">
        <v>45909</v>
      </c>
      <c r="O1332" t="n">
        <v>38</v>
      </c>
    </row>
    <row r="1333">
      <c r="A1333" t="inlineStr">
        <is>
          <t>AU23808</t>
        </is>
      </c>
      <c r="C1333" t="inlineStr">
        <is>
          <t>NSW-QLD</t>
        </is>
      </c>
      <c r="D1333" t="inlineStr">
        <is>
          <t>Virtus Health</t>
        </is>
      </c>
      <c r="E1333" t="inlineStr">
        <is>
          <t>Nurse Coordinator</t>
        </is>
      </c>
      <c r="F1333" t="inlineStr">
        <is>
          <t>8/25/2025</t>
        </is>
      </c>
      <c r="H1333" t="inlineStr">
        <is>
          <t>IVFN2021</t>
        </is>
      </c>
      <c r="I1333" t="inlineStr">
        <is>
          <t>NSW</t>
        </is>
      </c>
      <c r="J1333" t="inlineStr">
        <is>
          <t>Full Time</t>
        </is>
      </c>
      <c r="K1333" s="23" t="inlineStr">
        <is>
          <t>8/25/2025</t>
        </is>
      </c>
      <c r="L1333" s="23" t="inlineStr">
        <is>
          <t>8/25/2025</t>
        </is>
      </c>
      <c r="O1333" t="n">
        <v>25</v>
      </c>
    </row>
    <row r="1334">
      <c r="A1334" t="inlineStr">
        <is>
          <t>AU23809</t>
        </is>
      </c>
      <c r="B1334" s="1" t="n"/>
      <c r="C1334" t="inlineStr">
        <is>
          <t>NSW-QLD</t>
        </is>
      </c>
      <c r="D1334" t="inlineStr">
        <is>
          <t>Virtus Health</t>
        </is>
      </c>
      <c r="E1334" t="inlineStr">
        <is>
          <t>Registered Nurse</t>
        </is>
      </c>
      <c r="F1334" s="1" t="n">
        <v>45879</v>
      </c>
      <c r="H1334" t="inlineStr">
        <is>
          <t>IVFN2021</t>
        </is>
      </c>
      <c r="I1334" t="inlineStr">
        <is>
          <t>NSW</t>
        </is>
      </c>
      <c r="J1334" t="inlineStr">
        <is>
          <t>Part Time</t>
        </is>
      </c>
      <c r="K1334" s="23" t="n">
        <v>45879</v>
      </c>
      <c r="L1334" s="23" t="n">
        <v>45879</v>
      </c>
      <c r="O1334" t="n">
        <v>38</v>
      </c>
    </row>
    <row r="1335">
      <c r="A1335" t="inlineStr">
        <is>
          <t>AU23810</t>
        </is>
      </c>
      <c r="B1335" s="1" t="n"/>
      <c r="C1335" t="inlineStr">
        <is>
          <t>NSW-QLD</t>
        </is>
      </c>
      <c r="D1335" t="inlineStr">
        <is>
          <t>Virtus Health</t>
        </is>
      </c>
      <c r="E1335" t="inlineStr">
        <is>
          <t>Nurse Unit Manager</t>
        </is>
      </c>
      <c r="F1335" s="1" t="n">
        <v>45909</v>
      </c>
      <c r="H1335" t="inlineStr">
        <is>
          <t>IVFN2021</t>
        </is>
      </c>
      <c r="I1335" t="inlineStr">
        <is>
          <t>NSW</t>
        </is>
      </c>
      <c r="J1335" t="inlineStr">
        <is>
          <t>Full Time</t>
        </is>
      </c>
      <c r="K1335" s="23" t="n">
        <v>45909</v>
      </c>
      <c r="L1335" s="23" t="n">
        <v>45909</v>
      </c>
      <c r="O1335" t="n">
        <v>34.2</v>
      </c>
    </row>
    <row r="1336">
      <c r="A1336" t="inlineStr">
        <is>
          <t>AU23811</t>
        </is>
      </c>
      <c r="B1336" s="1" t="n"/>
      <c r="C1336" t="inlineStr">
        <is>
          <t>NSW-QLD</t>
        </is>
      </c>
      <c r="D1336" t="inlineStr">
        <is>
          <t>Virtus Health</t>
        </is>
      </c>
      <c r="E1336" t="inlineStr">
        <is>
          <t>Laboratory Supervisor</t>
        </is>
      </c>
      <c r="F1336" s="1" t="n">
        <v>45909</v>
      </c>
      <c r="H1336" t="inlineStr">
        <is>
          <t>NSW</t>
        </is>
      </c>
      <c r="I1336" t="inlineStr">
        <is>
          <t>NSW</t>
        </is>
      </c>
      <c r="J1336" t="inlineStr">
        <is>
          <t>Part Time</t>
        </is>
      </c>
      <c r="K1336" s="23" t="n">
        <v>45909</v>
      </c>
      <c r="L1336" s="23" t="n">
        <v>45909</v>
      </c>
      <c r="O1336" t="n">
        <v>8</v>
      </c>
    </row>
    <row r="1337">
      <c r="A1337" t="inlineStr">
        <is>
          <t>AU23812</t>
        </is>
      </c>
      <c r="C1337" t="inlineStr">
        <is>
          <t>NSW-QLD</t>
        </is>
      </c>
      <c r="D1337" t="inlineStr">
        <is>
          <t>Virtus Health</t>
        </is>
      </c>
      <c r="E1337" t="inlineStr">
        <is>
          <t>Clinic Manager</t>
        </is>
      </c>
      <c r="F1337" t="inlineStr">
        <is>
          <t>9/22/2025</t>
        </is>
      </c>
      <c r="H1337" t="inlineStr">
        <is>
          <t>NSW</t>
        </is>
      </c>
      <c r="I1337" t="inlineStr">
        <is>
          <t>NSW</t>
        </is>
      </c>
      <c r="J1337" t="inlineStr">
        <is>
          <t>Full Time</t>
        </is>
      </c>
      <c r="K1337" s="23" t="inlineStr">
        <is>
          <t>9/22/2025</t>
        </is>
      </c>
      <c r="L1337" s="23" t="inlineStr">
        <is>
          <t>9/22/2025</t>
        </is>
      </c>
      <c r="O1337" t="n">
        <v>32</v>
      </c>
    </row>
    <row r="1338">
      <c r="A1338" t="inlineStr">
        <is>
          <t>AU23813</t>
        </is>
      </c>
      <c r="C1338" t="inlineStr">
        <is>
          <t>NSW-QLD</t>
        </is>
      </c>
      <c r="D1338" t="inlineStr">
        <is>
          <t>Virtus Health</t>
        </is>
      </c>
      <c r="E1338" t="inlineStr">
        <is>
          <t>Registered Nurse</t>
        </is>
      </c>
      <c r="F1338" t="inlineStr">
        <is>
          <t>9/22/2025</t>
        </is>
      </c>
      <c r="H1338" t="inlineStr">
        <is>
          <t>IVFN2021</t>
        </is>
      </c>
      <c r="I1338" t="inlineStr">
        <is>
          <t>NSW</t>
        </is>
      </c>
      <c r="J1338" t="inlineStr">
        <is>
          <t>Full Time</t>
        </is>
      </c>
      <c r="K1338" s="23" t="inlineStr">
        <is>
          <t>9/22/2025</t>
        </is>
      </c>
      <c r="L1338" s="23" t="inlineStr">
        <is>
          <t>9/22/2025</t>
        </is>
      </c>
      <c r="O1338" t="n">
        <v>38</v>
      </c>
    </row>
    <row r="1339">
      <c r="A1339" t="inlineStr">
        <is>
          <t>AU23814</t>
        </is>
      </c>
      <c r="B1339" s="1" t="n"/>
      <c r="C1339" t="inlineStr">
        <is>
          <t>NSW-QLD</t>
        </is>
      </c>
      <c r="D1339" t="inlineStr">
        <is>
          <t>Virtus Health</t>
        </is>
      </c>
      <c r="E1339" t="inlineStr">
        <is>
          <t>Senior Scientist</t>
        </is>
      </c>
      <c r="F1339" s="1" t="n">
        <v>45667</v>
      </c>
      <c r="H1339" t="inlineStr">
        <is>
          <t>IVFT2024</t>
        </is>
      </c>
      <c r="I1339" t="inlineStr">
        <is>
          <t>NSW</t>
        </is>
      </c>
      <c r="J1339" t="inlineStr">
        <is>
          <t>Part Time</t>
        </is>
      </c>
      <c r="K1339" s="23" t="n">
        <v>45667</v>
      </c>
      <c r="L1339" s="23" t="n">
        <v>45667</v>
      </c>
      <c r="O1339" t="n">
        <v>38</v>
      </c>
    </row>
    <row r="1340">
      <c r="A1340" t="inlineStr">
        <is>
          <t>AU23815</t>
        </is>
      </c>
      <c r="B1340" s="1" t="n"/>
      <c r="C1340" t="inlineStr">
        <is>
          <t>NSW-QLD</t>
        </is>
      </c>
      <c r="D1340" t="inlineStr">
        <is>
          <t>Virtus Health</t>
        </is>
      </c>
      <c r="E1340" t="inlineStr">
        <is>
          <t>PMO Manager</t>
        </is>
      </c>
      <c r="F1340" s="1" t="n">
        <v>45878</v>
      </c>
      <c r="H1340" t="inlineStr">
        <is>
          <t>VIC</t>
        </is>
      </c>
      <c r="I1340" t="inlineStr">
        <is>
          <t>VIC</t>
        </is>
      </c>
      <c r="J1340" t="inlineStr">
        <is>
          <t>Part Time</t>
        </is>
      </c>
      <c r="K1340" s="23" t="n">
        <v>45878</v>
      </c>
      <c r="L1340" s="23" t="n">
        <v>45878</v>
      </c>
      <c r="O1340" t="n">
        <v>38</v>
      </c>
    </row>
    <row r="1341">
      <c r="A1341" t="inlineStr">
        <is>
          <t>AU23816</t>
        </is>
      </c>
      <c r="B1341" s="1" t="n"/>
      <c r="C1341" t="inlineStr">
        <is>
          <t>VIC-TAS</t>
        </is>
      </c>
      <c r="D1341" t="inlineStr">
        <is>
          <t>Virtus Health</t>
        </is>
      </c>
      <c r="E1341" t="inlineStr">
        <is>
          <t>Administration</t>
        </is>
      </c>
      <c r="F1341" s="1" t="n">
        <v>45847</v>
      </c>
      <c r="H1341" t="inlineStr">
        <is>
          <t>MIVFS2022</t>
        </is>
      </c>
      <c r="I1341" t="inlineStr">
        <is>
          <t>VIC</t>
        </is>
      </c>
      <c r="J1341" t="inlineStr">
        <is>
          <t>Casual</t>
        </is>
      </c>
      <c r="K1341" s="23" t="n">
        <v>45847</v>
      </c>
      <c r="L1341" s="23" t="n">
        <v>45847</v>
      </c>
      <c r="O1341" t="n">
        <v>38</v>
      </c>
    </row>
    <row r="1342">
      <c r="A1342" t="inlineStr">
        <is>
          <t>AU23817</t>
        </is>
      </c>
      <c r="B1342" s="1" t="n"/>
      <c r="C1342" t="inlineStr">
        <is>
          <t>NSW-QLD</t>
        </is>
      </c>
      <c r="D1342" t="inlineStr">
        <is>
          <t>Virtus Health</t>
        </is>
      </c>
      <c r="E1342" t="inlineStr">
        <is>
          <t>Donor Administrator</t>
        </is>
      </c>
      <c r="F1342" s="1" t="n">
        <v>45878</v>
      </c>
      <c r="H1342" t="inlineStr">
        <is>
          <t>IVFS2023</t>
        </is>
      </c>
      <c r="I1342" t="inlineStr">
        <is>
          <t>QLD</t>
        </is>
      </c>
      <c r="J1342" t="inlineStr">
        <is>
          <t>Full Time</t>
        </is>
      </c>
      <c r="K1342" s="23" t="n">
        <v>45878</v>
      </c>
      <c r="L1342" s="23" t="n">
        <v>45878</v>
      </c>
      <c r="O1342" t="n">
        <v>38</v>
      </c>
    </row>
    <row r="1343">
      <c r="A1343" t="inlineStr">
        <is>
          <t>AU23818</t>
        </is>
      </c>
      <c r="C1343" t="inlineStr">
        <is>
          <t>NSW-QLD</t>
        </is>
      </c>
      <c r="D1343" t="inlineStr">
        <is>
          <t>Virtus Health</t>
        </is>
      </c>
      <c r="E1343" t="inlineStr">
        <is>
          <t>Registered Nurse</t>
        </is>
      </c>
      <c r="F1343" t="inlineStr">
        <is>
          <t>9/29/2025</t>
        </is>
      </c>
      <c r="H1343" t="inlineStr">
        <is>
          <t>IVFN2021</t>
        </is>
      </c>
      <c r="I1343" t="inlineStr">
        <is>
          <t>NSW</t>
        </is>
      </c>
      <c r="J1343" t="inlineStr">
        <is>
          <t>Part Time</t>
        </is>
      </c>
      <c r="K1343" s="23" t="inlineStr">
        <is>
          <t>9/29/2025</t>
        </is>
      </c>
      <c r="L1343" s="23" t="inlineStr">
        <is>
          <t>9/29/2025</t>
        </is>
      </c>
      <c r="O1343" t="n">
        <v>38</v>
      </c>
    </row>
    <row r="1344">
      <c r="A1344" t="inlineStr">
        <is>
          <t>AU23819</t>
        </is>
      </c>
      <c r="C1344" t="inlineStr">
        <is>
          <t>NSW-QLD</t>
        </is>
      </c>
      <c r="D1344" t="inlineStr">
        <is>
          <t>Virtus Health</t>
        </is>
      </c>
      <c r="E1344" t="inlineStr">
        <is>
          <t>Registered Nurse</t>
        </is>
      </c>
      <c r="F1344" t="inlineStr">
        <is>
          <t>9/22/2025</t>
        </is>
      </c>
      <c r="H1344" t="inlineStr">
        <is>
          <t>QN2025</t>
        </is>
      </c>
      <c r="I1344" t="inlineStr">
        <is>
          <t>QLD</t>
        </is>
      </c>
      <c r="J1344" t="inlineStr">
        <is>
          <t>Part Time</t>
        </is>
      </c>
      <c r="K1344" s="23" t="inlineStr">
        <is>
          <t>9/22/2025</t>
        </is>
      </c>
      <c r="L1344" s="23" t="inlineStr">
        <is>
          <t>9/22/2025</t>
        </is>
      </c>
      <c r="O1344" t="n">
        <v>38</v>
      </c>
    </row>
    <row r="1345">
      <c r="A1345" t="inlineStr">
        <is>
          <t>AU23820</t>
        </is>
      </c>
      <c r="C1345" t="inlineStr">
        <is>
          <t>NSW-QLD</t>
        </is>
      </c>
      <c r="D1345" t="inlineStr">
        <is>
          <t>Virtus Health</t>
        </is>
      </c>
      <c r="E1345" t="inlineStr">
        <is>
          <t>Registered Nurse</t>
        </is>
      </c>
      <c r="F1345" t="inlineStr">
        <is>
          <t>9/29/2025</t>
        </is>
      </c>
      <c r="H1345" t="inlineStr">
        <is>
          <t>IVFN2021</t>
        </is>
      </c>
      <c r="I1345" t="inlineStr">
        <is>
          <t>NSW</t>
        </is>
      </c>
      <c r="J1345" t="inlineStr">
        <is>
          <t>Part Time</t>
        </is>
      </c>
      <c r="K1345" s="23" t="inlineStr">
        <is>
          <t>9/29/2025</t>
        </is>
      </c>
      <c r="L1345" s="23" t="inlineStr">
        <is>
          <t>9/29/2025</t>
        </is>
      </c>
      <c r="O1345" t="n">
        <v>24</v>
      </c>
    </row>
    <row r="1346">
      <c r="A1346" t="inlineStr">
        <is>
          <t>AU23821</t>
        </is>
      </c>
      <c r="C1346" t="inlineStr">
        <is>
          <t>NSW-QLD</t>
        </is>
      </c>
      <c r="D1346" t="inlineStr">
        <is>
          <t>Virtus Health</t>
        </is>
      </c>
      <c r="E1346" t="inlineStr">
        <is>
          <t>Technology Support Engineer</t>
        </is>
      </c>
      <c r="F1346" t="inlineStr">
        <is>
          <t>7/21/2025</t>
        </is>
      </c>
      <c r="H1346" t="inlineStr">
        <is>
          <t>VIC</t>
        </is>
      </c>
      <c r="I1346" t="inlineStr">
        <is>
          <t>VIC</t>
        </is>
      </c>
      <c r="J1346" t="inlineStr">
        <is>
          <t>Full Time</t>
        </is>
      </c>
      <c r="K1346" s="23" t="inlineStr">
        <is>
          <t>7/21/2025</t>
        </is>
      </c>
      <c r="L1346" s="23" t="inlineStr">
        <is>
          <t>7/21/2025</t>
        </is>
      </c>
      <c r="O1346" t="n">
        <v>38</v>
      </c>
    </row>
    <row r="1347">
      <c r="A1347" t="inlineStr">
        <is>
          <t>AU23822</t>
        </is>
      </c>
      <c r="C1347" t="inlineStr">
        <is>
          <t>NSW-QLD</t>
        </is>
      </c>
      <c r="D1347" t="inlineStr">
        <is>
          <t>Virtus Health</t>
        </is>
      </c>
      <c r="E1347" t="inlineStr">
        <is>
          <t>Clinical Nurse Specialist</t>
        </is>
      </c>
      <c r="F1347" t="inlineStr">
        <is>
          <t>9/24/2025</t>
        </is>
      </c>
      <c r="H1347" t="inlineStr">
        <is>
          <t>IVFN2021</t>
        </is>
      </c>
      <c r="I1347" t="inlineStr">
        <is>
          <t>NSW</t>
        </is>
      </c>
      <c r="J1347" t="inlineStr">
        <is>
          <t>Part Time</t>
        </is>
      </c>
      <c r="K1347" s="23" t="inlineStr">
        <is>
          <t>9/24/2025</t>
        </is>
      </c>
      <c r="L1347" s="23" t="inlineStr">
        <is>
          <t>9/24/2025</t>
        </is>
      </c>
      <c r="O1347" t="n">
        <v>38</v>
      </c>
    </row>
    <row r="1348">
      <c r="A1348" t="inlineStr">
        <is>
          <t>AU23823</t>
        </is>
      </c>
      <c r="B1348" s="1" t="n"/>
      <c r="C1348" t="inlineStr">
        <is>
          <t>NSW-QLD</t>
        </is>
      </c>
      <c r="D1348" t="inlineStr">
        <is>
          <t>Virtus Health</t>
        </is>
      </c>
      <c r="E1348" t="inlineStr">
        <is>
          <t xml:space="preserve">Facilities Manager VIC/TAS </t>
        </is>
      </c>
      <c r="F1348" s="1" t="n">
        <v>45878</v>
      </c>
      <c r="H1348" t="inlineStr">
        <is>
          <t>VIC</t>
        </is>
      </c>
      <c r="I1348" t="inlineStr">
        <is>
          <t>VIC</t>
        </is>
      </c>
      <c r="J1348" t="inlineStr">
        <is>
          <t>Full Time</t>
        </is>
      </c>
      <c r="K1348" s="23" t="n">
        <v>45878</v>
      </c>
      <c r="L1348" s="23" t="n">
        <v>45878</v>
      </c>
      <c r="O1348" t="n">
        <v>38</v>
      </c>
    </row>
    <row r="1349">
      <c r="A1349" t="inlineStr">
        <is>
          <t>AU23824</t>
        </is>
      </c>
      <c r="C1349" t="inlineStr">
        <is>
          <t>NSW-QLD</t>
        </is>
      </c>
      <c r="D1349" t="inlineStr">
        <is>
          <t>Virtus Health</t>
        </is>
      </c>
      <c r="E1349" t="inlineStr">
        <is>
          <t>Technology Operations Engineer</t>
        </is>
      </c>
      <c r="F1349" t="inlineStr">
        <is>
          <t>9/15/2025</t>
        </is>
      </c>
      <c r="H1349" t="inlineStr">
        <is>
          <t>NSW</t>
        </is>
      </c>
      <c r="I1349" t="inlineStr">
        <is>
          <t>NSW</t>
        </is>
      </c>
      <c r="J1349" t="inlineStr">
        <is>
          <t>Full Time</t>
        </is>
      </c>
      <c r="K1349" s="23" t="inlineStr">
        <is>
          <t>9/15/2025</t>
        </is>
      </c>
      <c r="L1349" s="23" t="inlineStr">
        <is>
          <t>9/15/2025</t>
        </is>
      </c>
      <c r="O1349" t="n">
        <v>38</v>
      </c>
    </row>
    <row r="1350">
      <c r="A1350" t="inlineStr">
        <is>
          <t>AU23825</t>
        </is>
      </c>
      <c r="C1350" t="inlineStr">
        <is>
          <t>NSW-QLD</t>
        </is>
      </c>
      <c r="D1350" t="inlineStr">
        <is>
          <t>Virtus Health</t>
        </is>
      </c>
      <c r="E1350" t="inlineStr">
        <is>
          <t>Registered Nurse</t>
        </is>
      </c>
      <c r="F1350" t="inlineStr">
        <is>
          <t>9/15/2025</t>
        </is>
      </c>
      <c r="H1350" t="inlineStr">
        <is>
          <t>IVFN2021</t>
        </is>
      </c>
      <c r="I1350" t="inlineStr">
        <is>
          <t>NSW</t>
        </is>
      </c>
      <c r="J1350" t="inlineStr">
        <is>
          <t>Full Time</t>
        </is>
      </c>
      <c r="K1350" s="23" t="inlineStr">
        <is>
          <t>9/15/2025</t>
        </is>
      </c>
      <c r="L1350" s="23" t="inlineStr">
        <is>
          <t>9/15/2025</t>
        </is>
      </c>
      <c r="O1350" t="n">
        <v>38</v>
      </c>
    </row>
    <row r="1351">
      <c r="A1351" t="inlineStr">
        <is>
          <t>AU23826</t>
        </is>
      </c>
      <c r="B1351" s="1" t="n"/>
      <c r="C1351" t="inlineStr">
        <is>
          <t>NSW-QLD</t>
        </is>
      </c>
      <c r="D1351" t="inlineStr">
        <is>
          <t>Virtus Health</t>
        </is>
      </c>
      <c r="E1351" t="inlineStr">
        <is>
          <t>Administration</t>
        </is>
      </c>
      <c r="F1351" s="1" t="n">
        <v>45818</v>
      </c>
      <c r="H1351" t="inlineStr">
        <is>
          <t>IVFS2023</t>
        </is>
      </c>
      <c r="I1351" t="inlineStr">
        <is>
          <t>NSW</t>
        </is>
      </c>
      <c r="J1351" t="inlineStr">
        <is>
          <t>Full Time</t>
        </is>
      </c>
      <c r="K1351" s="23" t="n">
        <v>45818</v>
      </c>
      <c r="L1351" s="23" t="n">
        <v>45818</v>
      </c>
      <c r="O1351" t="n">
        <v>38</v>
      </c>
    </row>
    <row r="1352">
      <c r="A1352" t="inlineStr">
        <is>
          <t>AU23827</t>
        </is>
      </c>
      <c r="B1352" s="1" t="n"/>
      <c r="C1352" t="inlineStr">
        <is>
          <t>NSW-QLD</t>
        </is>
      </c>
      <c r="D1352" t="inlineStr">
        <is>
          <t>Virtus Health</t>
        </is>
      </c>
      <c r="E1352" t="inlineStr">
        <is>
          <t>Collections Officer</t>
        </is>
      </c>
      <c r="F1352" s="1" t="n">
        <v>45848</v>
      </c>
      <c r="H1352" t="inlineStr">
        <is>
          <t>NSW</t>
        </is>
      </c>
      <c r="I1352" t="inlineStr">
        <is>
          <t>NSW</t>
        </is>
      </c>
      <c r="J1352" t="inlineStr">
        <is>
          <t>Full Time</t>
        </is>
      </c>
      <c r="K1352" s="23" t="n">
        <v>45848</v>
      </c>
      <c r="L1352" s="23" t="n">
        <v>45848</v>
      </c>
      <c r="O1352" t="n">
        <v>38</v>
      </c>
    </row>
    <row r="1353">
      <c r="A1353" t="inlineStr">
        <is>
          <t>AU23828</t>
        </is>
      </c>
      <c r="C1353" t="inlineStr">
        <is>
          <t>VIC-TAS</t>
        </is>
      </c>
      <c r="D1353" t="inlineStr">
        <is>
          <t>Virtus Health</t>
        </is>
      </c>
      <c r="E1353" t="inlineStr">
        <is>
          <t>Administration Clerk</t>
        </is>
      </c>
      <c r="F1353" t="inlineStr">
        <is>
          <t>9/15/2025</t>
        </is>
      </c>
      <c r="H1353" t="inlineStr">
        <is>
          <t>MIVFS2022</t>
        </is>
      </c>
      <c r="I1353" t="inlineStr">
        <is>
          <t>VIC</t>
        </is>
      </c>
      <c r="J1353" t="inlineStr">
        <is>
          <t>Full Time</t>
        </is>
      </c>
      <c r="K1353" s="23" t="inlineStr">
        <is>
          <t>9/15/2025</t>
        </is>
      </c>
      <c r="L1353" s="23" t="inlineStr">
        <is>
          <t>9/15/2025</t>
        </is>
      </c>
      <c r="O1353" t="n">
        <v>38</v>
      </c>
    </row>
    <row r="1354">
      <c r="A1354" t="inlineStr">
        <is>
          <t>AU23829</t>
        </is>
      </c>
      <c r="C1354" t="inlineStr">
        <is>
          <t>NSW-QLD</t>
        </is>
      </c>
      <c r="D1354" t="inlineStr">
        <is>
          <t>Virtus Health</t>
        </is>
      </c>
      <c r="E1354" t="inlineStr">
        <is>
          <t>Patient Support Officer</t>
        </is>
      </c>
      <c r="F1354" t="inlineStr">
        <is>
          <t>9/16/2025</t>
        </is>
      </c>
      <c r="H1354" t="inlineStr">
        <is>
          <t>IVFS2023</t>
        </is>
      </c>
      <c r="I1354" t="inlineStr">
        <is>
          <t>NSW</t>
        </is>
      </c>
      <c r="J1354" t="inlineStr">
        <is>
          <t>Part Time</t>
        </is>
      </c>
      <c r="K1354" s="23" t="inlineStr">
        <is>
          <t>9/16/2025</t>
        </is>
      </c>
      <c r="L1354" s="23" t="inlineStr">
        <is>
          <t>9/16/2025</t>
        </is>
      </c>
      <c r="O1354" t="n">
        <v>19</v>
      </c>
    </row>
    <row r="1355">
      <c r="A1355" t="inlineStr">
        <is>
          <t>AU23830</t>
        </is>
      </c>
      <c r="C1355" t="inlineStr">
        <is>
          <t>VIC-TAS</t>
        </is>
      </c>
      <c r="D1355" t="inlineStr">
        <is>
          <t>Virtus Health</t>
        </is>
      </c>
      <c r="E1355" t="inlineStr">
        <is>
          <t>Registered Nurse</t>
        </is>
      </c>
      <c r="F1355" t="inlineStr">
        <is>
          <t>9/22/2025</t>
        </is>
      </c>
      <c r="H1355" t="inlineStr">
        <is>
          <t>MIVFN2023</t>
        </is>
      </c>
      <c r="I1355" t="inlineStr">
        <is>
          <t>VIC</t>
        </is>
      </c>
      <c r="J1355" t="inlineStr">
        <is>
          <t>Part Time</t>
        </is>
      </c>
      <c r="K1355" s="23" t="inlineStr">
        <is>
          <t>9/22/2025</t>
        </is>
      </c>
      <c r="L1355" s="23" t="inlineStr">
        <is>
          <t>9/22/2025</t>
        </is>
      </c>
      <c r="O1355" t="n">
        <v>15</v>
      </c>
    </row>
    <row r="1356">
      <c r="A1356" t="inlineStr">
        <is>
          <t>AU23831</t>
        </is>
      </c>
      <c r="C1356" t="inlineStr">
        <is>
          <t>NSW-QLD</t>
        </is>
      </c>
      <c r="D1356" t="inlineStr">
        <is>
          <t>Virtus Health</t>
        </is>
      </c>
      <c r="E1356" t="inlineStr">
        <is>
          <t>Genetic Scientist</t>
        </is>
      </c>
      <c r="F1356" t="inlineStr">
        <is>
          <t>9/15/2025</t>
        </is>
      </c>
      <c r="H1356" t="inlineStr">
        <is>
          <t>QS2024</t>
        </is>
      </c>
      <c r="I1356" t="inlineStr">
        <is>
          <t>QLD</t>
        </is>
      </c>
      <c r="J1356" t="inlineStr">
        <is>
          <t>Full Time</t>
        </is>
      </c>
      <c r="K1356" s="23" t="inlineStr">
        <is>
          <t>9/15/2025</t>
        </is>
      </c>
      <c r="L1356" s="23" t="inlineStr">
        <is>
          <t>9/15/2025</t>
        </is>
      </c>
      <c r="O1356" t="n">
        <v>38</v>
      </c>
    </row>
    <row r="1357">
      <c r="A1357" t="inlineStr">
        <is>
          <t>AU23833</t>
        </is>
      </c>
      <c r="C1357" t="inlineStr">
        <is>
          <t>NSW-QLD</t>
        </is>
      </c>
      <c r="D1357" t="inlineStr">
        <is>
          <t>Virtus Health</t>
        </is>
      </c>
      <c r="E1357" t="inlineStr">
        <is>
          <t>Facilities and Projects manager</t>
        </is>
      </c>
      <c r="F1357" t="inlineStr">
        <is>
          <t>9/15/2025</t>
        </is>
      </c>
      <c r="H1357" t="inlineStr">
        <is>
          <t>QLD</t>
        </is>
      </c>
      <c r="I1357" t="inlineStr">
        <is>
          <t>QLD</t>
        </is>
      </c>
      <c r="J1357" t="inlineStr">
        <is>
          <t>Full Time</t>
        </is>
      </c>
      <c r="K1357" s="23" t="inlineStr">
        <is>
          <t>9/15/2025</t>
        </is>
      </c>
      <c r="L1357" s="23" t="inlineStr">
        <is>
          <t>9/15/2025</t>
        </is>
      </c>
      <c r="O1357" t="n">
        <v>38</v>
      </c>
    </row>
    <row r="1358">
      <c r="A1358" t="inlineStr">
        <is>
          <t>AU23834</t>
        </is>
      </c>
      <c r="C1358" t="inlineStr">
        <is>
          <t>NSW-QLD</t>
        </is>
      </c>
      <c r="D1358" t="inlineStr">
        <is>
          <t>Virtus Health</t>
        </is>
      </c>
      <c r="E1358" t="inlineStr">
        <is>
          <t>Registered Nurse</t>
        </is>
      </c>
      <c r="F1358" t="inlineStr">
        <is>
          <t>9/29/2025</t>
        </is>
      </c>
      <c r="H1358" t="inlineStr">
        <is>
          <t>QN2025</t>
        </is>
      </c>
      <c r="I1358" t="inlineStr">
        <is>
          <t>QLD</t>
        </is>
      </c>
      <c r="J1358" t="inlineStr">
        <is>
          <t>Part Time</t>
        </is>
      </c>
      <c r="K1358" s="23" t="inlineStr">
        <is>
          <t>9/29/2025</t>
        </is>
      </c>
      <c r="L1358" s="23" t="inlineStr">
        <is>
          <t>9/29/2025</t>
        </is>
      </c>
      <c r="O1358" t="n">
        <v>16</v>
      </c>
    </row>
    <row r="1359">
      <c r="A1359" t="inlineStr">
        <is>
          <t>AU23835</t>
        </is>
      </c>
      <c r="C1359" t="inlineStr">
        <is>
          <t>NSW-QLD</t>
        </is>
      </c>
      <c r="D1359" t="inlineStr">
        <is>
          <t>Virtus Health</t>
        </is>
      </c>
      <c r="E1359" t="inlineStr">
        <is>
          <t xml:space="preserve"> Embryologist</t>
        </is>
      </c>
      <c r="F1359" t="inlineStr">
        <is>
          <t>9/15/2025</t>
        </is>
      </c>
      <c r="H1359" t="inlineStr">
        <is>
          <t>IVFT2024</t>
        </is>
      </c>
      <c r="I1359" t="inlineStr">
        <is>
          <t>NSW</t>
        </is>
      </c>
      <c r="J1359" t="inlineStr">
        <is>
          <t>Full Time</t>
        </is>
      </c>
      <c r="K1359" s="23" t="inlineStr">
        <is>
          <t>9/15/2025</t>
        </is>
      </c>
      <c r="L1359" s="23" t="inlineStr">
        <is>
          <t>9/15/2025</t>
        </is>
      </c>
      <c r="O1359" t="n">
        <v>38</v>
      </c>
    </row>
    <row r="1360">
      <c r="A1360" t="inlineStr">
        <is>
          <t>AU23836</t>
        </is>
      </c>
      <c r="B1360" s="1" t="n"/>
      <c r="C1360" t="inlineStr">
        <is>
          <t>NSW-QLD</t>
        </is>
      </c>
      <c r="D1360" t="inlineStr">
        <is>
          <t>Virtus Health</t>
        </is>
      </c>
      <c r="E1360" t="inlineStr">
        <is>
          <t>Registered Nurse</t>
        </is>
      </c>
      <c r="F1360" s="1" t="n">
        <v>45878</v>
      </c>
      <c r="H1360" t="inlineStr">
        <is>
          <t>IVFN2021</t>
        </is>
      </c>
      <c r="I1360" t="inlineStr">
        <is>
          <t>NSW</t>
        </is>
      </c>
      <c r="J1360" t="inlineStr">
        <is>
          <t>Part Time</t>
        </is>
      </c>
      <c r="K1360" s="23" t="n">
        <v>45878</v>
      </c>
      <c r="L1360" s="23" t="n">
        <v>45878</v>
      </c>
      <c r="O1360" t="n">
        <v>38</v>
      </c>
    </row>
    <row r="1361">
      <c r="A1361" t="inlineStr">
        <is>
          <t>AU23837</t>
        </is>
      </c>
      <c r="C1361" t="inlineStr">
        <is>
          <t>NSW-QLD</t>
        </is>
      </c>
      <c r="D1361" t="inlineStr">
        <is>
          <t>Virtus Health</t>
        </is>
      </c>
      <c r="E1361" t="inlineStr">
        <is>
          <t>Registered Nurse</t>
        </is>
      </c>
      <c r="F1361" t="inlineStr">
        <is>
          <t>9/15/2025</t>
        </is>
      </c>
      <c r="H1361" t="inlineStr">
        <is>
          <t>QN2025</t>
        </is>
      </c>
      <c r="I1361" t="inlineStr">
        <is>
          <t>QLD</t>
        </is>
      </c>
      <c r="J1361" t="inlineStr">
        <is>
          <t>Casual</t>
        </is>
      </c>
      <c r="K1361" s="23" t="inlineStr">
        <is>
          <t>9/15/2025</t>
        </is>
      </c>
      <c r="L1361" s="23" t="inlineStr">
        <is>
          <t>9/15/2025</t>
        </is>
      </c>
      <c r="O1361" t="n">
        <v>22.8</v>
      </c>
    </row>
    <row r="1362">
      <c r="A1362" t="inlineStr">
        <is>
          <t>AU23838</t>
        </is>
      </c>
      <c r="B1362" s="1" t="n"/>
      <c r="C1362" t="inlineStr">
        <is>
          <t>NSW-QLD</t>
        </is>
      </c>
      <c r="D1362" t="inlineStr">
        <is>
          <t>Virtus Health</t>
        </is>
      </c>
      <c r="E1362" t="inlineStr">
        <is>
          <t>Administration</t>
        </is>
      </c>
      <c r="F1362" s="1" t="n">
        <v>45878</v>
      </c>
      <c r="H1362" t="inlineStr">
        <is>
          <t>IVFS2023</t>
        </is>
      </c>
      <c r="I1362" t="inlineStr">
        <is>
          <t>QLD</t>
        </is>
      </c>
      <c r="J1362" t="inlineStr">
        <is>
          <t>Full Time</t>
        </is>
      </c>
      <c r="K1362" s="23" t="n">
        <v>45878</v>
      </c>
      <c r="L1362" s="23" t="n">
        <v>45878</v>
      </c>
      <c r="O1362" t="n">
        <v>38</v>
      </c>
    </row>
    <row r="1363">
      <c r="A1363" t="inlineStr">
        <is>
          <t>AU23839</t>
        </is>
      </c>
      <c r="B1363" s="1" t="n"/>
      <c r="C1363" t="inlineStr">
        <is>
          <t>NSW-QLD</t>
        </is>
      </c>
      <c r="D1363" t="inlineStr">
        <is>
          <t>Virtus Health</t>
        </is>
      </c>
      <c r="E1363" t="inlineStr">
        <is>
          <t>Registered Nurse</t>
        </is>
      </c>
      <c r="F1363" s="1" t="n">
        <v>45878</v>
      </c>
      <c r="H1363" t="inlineStr">
        <is>
          <t>IVFN2021</t>
        </is>
      </c>
      <c r="I1363" t="inlineStr">
        <is>
          <t>NSW</t>
        </is>
      </c>
      <c r="J1363" t="inlineStr">
        <is>
          <t>Part Time</t>
        </is>
      </c>
      <c r="K1363" s="23" t="n">
        <v>45878</v>
      </c>
      <c r="L1363" s="23" t="n">
        <v>45878</v>
      </c>
      <c r="O1363" t="n">
        <v>38</v>
      </c>
    </row>
    <row r="1364">
      <c r="A1364" t="inlineStr">
        <is>
          <t>AU23840</t>
        </is>
      </c>
      <c r="C1364" t="inlineStr">
        <is>
          <t>NSW-QLD</t>
        </is>
      </c>
      <c r="D1364" t="inlineStr">
        <is>
          <t>Virtus Health</t>
        </is>
      </c>
      <c r="E1364" t="inlineStr">
        <is>
          <t>Assistant in Nursing</t>
        </is>
      </c>
      <c r="F1364" t="inlineStr">
        <is>
          <t>9/22/2025</t>
        </is>
      </c>
      <c r="H1364" t="inlineStr">
        <is>
          <t>IVFN2021</t>
        </is>
      </c>
      <c r="I1364" t="inlineStr">
        <is>
          <t>NSW</t>
        </is>
      </c>
      <c r="J1364" t="inlineStr">
        <is>
          <t>Part Time</t>
        </is>
      </c>
      <c r="K1364" s="23" t="inlineStr">
        <is>
          <t>9/22/2025</t>
        </is>
      </c>
      <c r="L1364" s="23" t="inlineStr">
        <is>
          <t>9/22/2025</t>
        </is>
      </c>
      <c r="O1364" t="n">
        <v>38</v>
      </c>
    </row>
    <row r="1365">
      <c r="A1365" t="inlineStr">
        <is>
          <t>AU23841</t>
        </is>
      </c>
      <c r="C1365" t="inlineStr">
        <is>
          <t>NSW-QLD</t>
        </is>
      </c>
      <c r="D1365" t="inlineStr">
        <is>
          <t>Virtus Health</t>
        </is>
      </c>
      <c r="E1365" t="inlineStr">
        <is>
          <t>Registered Nurse</t>
        </is>
      </c>
      <c r="F1365" t="inlineStr">
        <is>
          <t>9/15/2025</t>
        </is>
      </c>
      <c r="H1365" t="inlineStr">
        <is>
          <t>QN2025</t>
        </is>
      </c>
      <c r="I1365" t="inlineStr">
        <is>
          <t>QLD</t>
        </is>
      </c>
      <c r="J1365" t="inlineStr">
        <is>
          <t>Casual</t>
        </is>
      </c>
      <c r="K1365" s="23" t="inlineStr">
        <is>
          <t>9/15/2025</t>
        </is>
      </c>
      <c r="L1365" s="23" t="inlineStr">
        <is>
          <t>9/15/2025</t>
        </is>
      </c>
      <c r="O1365" t="n">
        <v>38</v>
      </c>
    </row>
    <row r="1366">
      <c r="A1366" t="inlineStr">
        <is>
          <t>AU23842</t>
        </is>
      </c>
      <c r="B1366" s="1" t="n"/>
      <c r="C1366" t="inlineStr">
        <is>
          <t>NSW-QLD</t>
        </is>
      </c>
      <c r="D1366" t="inlineStr">
        <is>
          <t>Virtus Health</t>
        </is>
      </c>
      <c r="E1366" t="inlineStr">
        <is>
          <t>Courier</t>
        </is>
      </c>
      <c r="F1366" s="1" t="n">
        <v>45878</v>
      </c>
      <c r="H1366" t="inlineStr">
        <is>
          <t>IVFS2023</t>
        </is>
      </c>
      <c r="I1366" t="inlineStr">
        <is>
          <t>NSW</t>
        </is>
      </c>
      <c r="J1366" t="inlineStr">
        <is>
          <t>Part Time</t>
        </is>
      </c>
      <c r="K1366" s="23" t="n">
        <v>45878</v>
      </c>
      <c r="L1366" s="23" t="n">
        <v>45878</v>
      </c>
      <c r="O1366" t="n">
        <v>24</v>
      </c>
    </row>
    <row r="1367">
      <c r="A1367" t="inlineStr">
        <is>
          <t>AU23843</t>
        </is>
      </c>
      <c r="B1367" s="1" t="n"/>
      <c r="C1367" t="inlineStr">
        <is>
          <t>NSW-QLD</t>
        </is>
      </c>
      <c r="D1367" t="inlineStr">
        <is>
          <t>Virtus Health</t>
        </is>
      </c>
      <c r="E1367" t="inlineStr">
        <is>
          <t>Registered Nurse</t>
        </is>
      </c>
      <c r="F1367" s="1" t="n">
        <v>45878</v>
      </c>
      <c r="H1367" t="inlineStr">
        <is>
          <t>IVFN2021</t>
        </is>
      </c>
      <c r="I1367" t="inlineStr">
        <is>
          <t>NSW</t>
        </is>
      </c>
      <c r="J1367" t="inlineStr">
        <is>
          <t>Full Time</t>
        </is>
      </c>
      <c r="K1367" s="23" t="n">
        <v>45878</v>
      </c>
      <c r="L1367" s="23" t="n">
        <v>45878</v>
      </c>
      <c r="O1367" t="n">
        <v>16</v>
      </c>
    </row>
    <row r="1368">
      <c r="A1368" t="inlineStr">
        <is>
          <t>AU23844</t>
        </is>
      </c>
      <c r="B1368" s="1" t="n"/>
      <c r="C1368" t="inlineStr">
        <is>
          <t>NSW-QLD</t>
        </is>
      </c>
      <c r="D1368" t="inlineStr">
        <is>
          <t>Virtus Health</t>
        </is>
      </c>
      <c r="E1368" t="inlineStr">
        <is>
          <t>Technology Operations Engineer</t>
        </is>
      </c>
      <c r="F1368" s="1" t="n">
        <v>45878</v>
      </c>
      <c r="H1368" t="inlineStr">
        <is>
          <t>VIC</t>
        </is>
      </c>
      <c r="I1368" t="inlineStr">
        <is>
          <t>VIC</t>
        </is>
      </c>
      <c r="J1368" t="inlineStr">
        <is>
          <t>Full Time</t>
        </is>
      </c>
      <c r="K1368" s="23" t="n">
        <v>45878</v>
      </c>
      <c r="L1368" s="23" t="n">
        <v>45878</v>
      </c>
      <c r="O1368" t="n">
        <v>38</v>
      </c>
    </row>
    <row r="1369">
      <c r="A1369" t="inlineStr">
        <is>
          <t>AU23845</t>
        </is>
      </c>
      <c r="B1369" s="1" t="n"/>
      <c r="C1369" t="inlineStr">
        <is>
          <t>NSW-QLD</t>
        </is>
      </c>
      <c r="D1369" t="inlineStr">
        <is>
          <t>Virtus Health</t>
        </is>
      </c>
      <c r="E1369" t="inlineStr">
        <is>
          <t>Registered Nurse</t>
        </is>
      </c>
      <c r="F1369" s="1" t="n">
        <v>45878</v>
      </c>
      <c r="H1369" t="inlineStr">
        <is>
          <t>IVFN2021</t>
        </is>
      </c>
      <c r="I1369" t="inlineStr">
        <is>
          <t>NSW</t>
        </is>
      </c>
      <c r="J1369" t="inlineStr">
        <is>
          <t>Part Time</t>
        </is>
      </c>
      <c r="K1369" s="23" t="n">
        <v>45878</v>
      </c>
      <c r="L1369" s="23" t="n">
        <v>45878</v>
      </c>
      <c r="O1369" t="n">
        <v>32</v>
      </c>
    </row>
    <row r="1370">
      <c r="A1370" t="inlineStr">
        <is>
          <t>AU23846</t>
        </is>
      </c>
      <c r="C1370" t="inlineStr">
        <is>
          <t>NSW-QLD</t>
        </is>
      </c>
      <c r="D1370" t="inlineStr">
        <is>
          <t>Virtus Health</t>
        </is>
      </c>
      <c r="E1370" t="inlineStr">
        <is>
          <t>Administration</t>
        </is>
      </c>
      <c r="F1370" t="inlineStr">
        <is>
          <t>9/22/2025</t>
        </is>
      </c>
      <c r="H1370" t="inlineStr">
        <is>
          <t>IVFS2023</t>
        </is>
      </c>
      <c r="I1370" t="inlineStr">
        <is>
          <t>QLD</t>
        </is>
      </c>
      <c r="J1370" t="inlineStr">
        <is>
          <t>Full Time</t>
        </is>
      </c>
      <c r="K1370" s="23" t="inlineStr">
        <is>
          <t>9/22/2025</t>
        </is>
      </c>
      <c r="L1370" s="23" t="inlineStr">
        <is>
          <t>9/22/2025</t>
        </is>
      </c>
      <c r="O1370" t="n">
        <v>38</v>
      </c>
    </row>
    <row r="1371">
      <c r="A1371" t="inlineStr">
        <is>
          <t>AU23847</t>
        </is>
      </c>
      <c r="C1371" t="inlineStr">
        <is>
          <t>VIC-TAS</t>
        </is>
      </c>
      <c r="D1371" t="inlineStr">
        <is>
          <t>Virtus Health</t>
        </is>
      </c>
      <c r="E1371" t="inlineStr">
        <is>
          <t>Andrologist</t>
        </is>
      </c>
      <c r="F1371" t="inlineStr">
        <is>
          <t>9/22/2025</t>
        </is>
      </c>
      <c r="H1371" t="inlineStr">
        <is>
          <t>MIVFS2022</t>
        </is>
      </c>
      <c r="I1371" t="inlineStr">
        <is>
          <t>VIC</t>
        </is>
      </c>
      <c r="J1371" t="inlineStr">
        <is>
          <t>Full Time</t>
        </is>
      </c>
      <c r="K1371" s="23" t="inlineStr">
        <is>
          <t>9/22/2025</t>
        </is>
      </c>
      <c r="L1371" s="23" t="inlineStr">
        <is>
          <t>9/22/2025</t>
        </is>
      </c>
      <c r="O1371" t="n">
        <v>38</v>
      </c>
    </row>
    <row r="1372">
      <c r="A1372" t="inlineStr">
        <is>
          <t>AU23849</t>
        </is>
      </c>
      <c r="C1372" t="inlineStr">
        <is>
          <t>NSW-QLD</t>
        </is>
      </c>
      <c r="D1372" t="inlineStr">
        <is>
          <t>Virtus Health</t>
        </is>
      </c>
      <c r="E1372" t="inlineStr">
        <is>
          <t>Administration</t>
        </is>
      </c>
      <c r="F1372" t="inlineStr">
        <is>
          <t>9/22/2025</t>
        </is>
      </c>
      <c r="H1372" t="inlineStr">
        <is>
          <t>IVFS2023</t>
        </is>
      </c>
      <c r="I1372" t="inlineStr">
        <is>
          <t>NSW</t>
        </is>
      </c>
      <c r="J1372" t="inlineStr">
        <is>
          <t>Part Time</t>
        </is>
      </c>
      <c r="K1372" s="23" t="inlineStr">
        <is>
          <t>9/22/2025</t>
        </is>
      </c>
      <c r="L1372" s="23" t="inlineStr">
        <is>
          <t>9/22/2025</t>
        </is>
      </c>
      <c r="O1372" t="n">
        <v>16</v>
      </c>
    </row>
    <row r="1373">
      <c r="A1373" t="inlineStr">
        <is>
          <t>AU23850</t>
        </is>
      </c>
      <c r="C1373" t="inlineStr">
        <is>
          <t>NSW-QLD</t>
        </is>
      </c>
      <c r="D1373" t="inlineStr">
        <is>
          <t>Virtus Health</t>
        </is>
      </c>
      <c r="E1373" t="inlineStr">
        <is>
          <t xml:space="preserve">Theatre Nurse </t>
        </is>
      </c>
      <c r="F1373" t="inlineStr">
        <is>
          <t>9/15/2025</t>
        </is>
      </c>
      <c r="H1373" t="inlineStr">
        <is>
          <t>QN2025</t>
        </is>
      </c>
      <c r="I1373" t="inlineStr">
        <is>
          <t>QLD</t>
        </is>
      </c>
      <c r="J1373" t="inlineStr">
        <is>
          <t>Casual</t>
        </is>
      </c>
      <c r="K1373" s="23" t="inlineStr">
        <is>
          <t>9/15/2025</t>
        </is>
      </c>
      <c r="L1373" s="23" t="inlineStr">
        <is>
          <t>9/15/2025</t>
        </is>
      </c>
      <c r="O1373" t="n">
        <v>38</v>
      </c>
    </row>
    <row r="1374">
      <c r="A1374" t="inlineStr">
        <is>
          <t>AU23851</t>
        </is>
      </c>
      <c r="C1374" t="inlineStr">
        <is>
          <t>NSW-QLD</t>
        </is>
      </c>
      <c r="D1374" t="inlineStr">
        <is>
          <t>Virtus Health</t>
        </is>
      </c>
      <c r="E1374" t="inlineStr">
        <is>
          <t>Administration</t>
        </is>
      </c>
      <c r="F1374" t="inlineStr">
        <is>
          <t>9/24/2025</t>
        </is>
      </c>
      <c r="H1374" t="inlineStr">
        <is>
          <t>IVFS2023</t>
        </is>
      </c>
      <c r="I1374" t="inlineStr">
        <is>
          <t>QLD</t>
        </is>
      </c>
      <c r="J1374" t="inlineStr">
        <is>
          <t>Casual</t>
        </is>
      </c>
      <c r="K1374" s="23" t="inlineStr">
        <is>
          <t>9/24/2025</t>
        </is>
      </c>
      <c r="L1374" s="23" t="inlineStr">
        <is>
          <t>9/24/2025</t>
        </is>
      </c>
      <c r="O1374" t="n">
        <v>38</v>
      </c>
    </row>
    <row r="1375">
      <c r="A1375" t="inlineStr">
        <is>
          <t>AU23852</t>
        </is>
      </c>
      <c r="C1375" t="inlineStr">
        <is>
          <t>NSW-QLD</t>
        </is>
      </c>
      <c r="D1375" t="inlineStr">
        <is>
          <t>Virtus Health</t>
        </is>
      </c>
      <c r="E1375" t="inlineStr">
        <is>
          <t>Administration</t>
        </is>
      </c>
      <c r="F1375" t="inlineStr">
        <is>
          <t>9/22/2025</t>
        </is>
      </c>
      <c r="H1375" t="inlineStr">
        <is>
          <t>IVFS2023</t>
        </is>
      </c>
      <c r="I1375" t="inlineStr">
        <is>
          <t>QLD</t>
        </is>
      </c>
      <c r="J1375" t="inlineStr">
        <is>
          <t>Casual</t>
        </is>
      </c>
      <c r="K1375" s="23" t="inlineStr">
        <is>
          <t>9/22/2025</t>
        </is>
      </c>
      <c r="L1375" s="23" t="inlineStr">
        <is>
          <t>9/22/2025</t>
        </is>
      </c>
      <c r="O1375" t="n">
        <v>38</v>
      </c>
    </row>
    <row r="1376">
      <c r="A1376" t="inlineStr">
        <is>
          <t>AU23853</t>
        </is>
      </c>
      <c r="C1376" t="inlineStr">
        <is>
          <t>NSW-QLD</t>
        </is>
      </c>
      <c r="D1376" t="inlineStr">
        <is>
          <t>Virtus Health</t>
        </is>
      </c>
      <c r="E1376" t="inlineStr">
        <is>
          <t>Administration</t>
        </is>
      </c>
      <c r="F1376" t="inlineStr">
        <is>
          <t>9/22/2025</t>
        </is>
      </c>
      <c r="H1376" t="inlineStr">
        <is>
          <t>IVFS2023</t>
        </is>
      </c>
      <c r="I1376" t="inlineStr">
        <is>
          <t>QLD</t>
        </is>
      </c>
      <c r="J1376" t="inlineStr">
        <is>
          <t>Casual</t>
        </is>
      </c>
      <c r="K1376" s="23" t="inlineStr">
        <is>
          <t>9/22/2025</t>
        </is>
      </c>
      <c r="L1376" s="23" t="inlineStr">
        <is>
          <t>9/22/2025</t>
        </is>
      </c>
      <c r="O1376" t="n">
        <v>38</v>
      </c>
    </row>
    <row r="1377">
      <c r="A1377" t="inlineStr">
        <is>
          <t>AU23854</t>
        </is>
      </c>
      <c r="C1377" t="inlineStr">
        <is>
          <t>NSW-QLD</t>
        </is>
      </c>
      <c r="D1377" t="inlineStr">
        <is>
          <t>Virtus Health</t>
        </is>
      </c>
      <c r="E1377" t="inlineStr">
        <is>
          <t>Courier</t>
        </is>
      </c>
      <c r="F1377" t="inlineStr">
        <is>
          <t>9/15/2025</t>
        </is>
      </c>
      <c r="H1377" t="inlineStr">
        <is>
          <t>IVFS2023</t>
        </is>
      </c>
      <c r="I1377" t="inlineStr">
        <is>
          <t>NSW</t>
        </is>
      </c>
      <c r="J1377" t="inlineStr">
        <is>
          <t>Casual</t>
        </is>
      </c>
      <c r="K1377" s="23" t="inlineStr">
        <is>
          <t>9/15/2025</t>
        </is>
      </c>
      <c r="L1377" s="23" t="inlineStr">
        <is>
          <t>9/15/2025</t>
        </is>
      </c>
      <c r="O1377" t="n">
        <v>38</v>
      </c>
    </row>
    <row r="1378">
      <c r="A1378" t="inlineStr">
        <is>
          <t>AU23855</t>
        </is>
      </c>
      <c r="C1378" t="inlineStr">
        <is>
          <t>NSW-QLD</t>
        </is>
      </c>
      <c r="D1378" t="inlineStr">
        <is>
          <t>Virtus Health</t>
        </is>
      </c>
      <c r="E1378" t="inlineStr">
        <is>
          <t>Patient Support Officer</t>
        </is>
      </c>
      <c r="F1378" t="inlineStr">
        <is>
          <t>9/29/2025</t>
        </is>
      </c>
      <c r="H1378" t="inlineStr">
        <is>
          <t>IVFS2023</t>
        </is>
      </c>
      <c r="I1378" t="inlineStr">
        <is>
          <t>NSW</t>
        </is>
      </c>
      <c r="J1378" t="inlineStr">
        <is>
          <t>Part Time</t>
        </is>
      </c>
      <c r="K1378" s="23" t="inlineStr">
        <is>
          <t>9/29/2025</t>
        </is>
      </c>
      <c r="L1378" s="23" t="inlineStr">
        <is>
          <t>9/29/2025</t>
        </is>
      </c>
      <c r="O1378" t="n">
        <v>38</v>
      </c>
    </row>
    <row r="1379">
      <c r="A1379" t="inlineStr">
        <is>
          <t>AU23856</t>
        </is>
      </c>
      <c r="C1379" t="inlineStr">
        <is>
          <t>NSW-QLD</t>
        </is>
      </c>
      <c r="D1379" t="inlineStr">
        <is>
          <t>Virtus Health</t>
        </is>
      </c>
      <c r="E1379" t="inlineStr">
        <is>
          <t>Administration</t>
        </is>
      </c>
      <c r="F1379" t="inlineStr">
        <is>
          <t>9/29/2025</t>
        </is>
      </c>
      <c r="H1379" t="inlineStr">
        <is>
          <t>IVFS2023</t>
        </is>
      </c>
      <c r="I1379" t="inlineStr">
        <is>
          <t>QLD</t>
        </is>
      </c>
      <c r="J1379" t="inlineStr">
        <is>
          <t>Full Time</t>
        </is>
      </c>
      <c r="K1379" s="23" t="inlineStr">
        <is>
          <t>9/29/2025</t>
        </is>
      </c>
      <c r="L1379" s="23" t="inlineStr">
        <is>
          <t>9/29/2025</t>
        </is>
      </c>
      <c r="O1379" t="n">
        <v>38</v>
      </c>
    </row>
    <row r="1380">
      <c r="A1380" t="inlineStr">
        <is>
          <t>AU23857</t>
        </is>
      </c>
      <c r="C1380" t="inlineStr">
        <is>
          <t>NSW-QLD</t>
        </is>
      </c>
      <c r="D1380" t="inlineStr">
        <is>
          <t>Virtus Health</t>
        </is>
      </c>
      <c r="E1380" t="inlineStr">
        <is>
          <t>Administration</t>
        </is>
      </c>
      <c r="F1380" t="inlineStr">
        <is>
          <t>9/29/2025</t>
        </is>
      </c>
      <c r="H1380" t="inlineStr">
        <is>
          <t>IVFS2023</t>
        </is>
      </c>
      <c r="I1380" t="inlineStr">
        <is>
          <t>QLD</t>
        </is>
      </c>
      <c r="J1380" t="inlineStr">
        <is>
          <t>Full Time</t>
        </is>
      </c>
      <c r="K1380" s="23" t="inlineStr">
        <is>
          <t>9/29/2025</t>
        </is>
      </c>
      <c r="L1380" s="23" t="inlineStr">
        <is>
          <t>9/29/2025</t>
        </is>
      </c>
      <c r="O1380" t="n">
        <v>38</v>
      </c>
    </row>
    <row r="1381">
      <c r="A1381" t="inlineStr">
        <is>
          <t>AU23858</t>
        </is>
      </c>
      <c r="C1381" t="inlineStr">
        <is>
          <t>VIC-TAS</t>
        </is>
      </c>
      <c r="D1381" t="inlineStr">
        <is>
          <t>Virtus Health</t>
        </is>
      </c>
      <c r="E1381" t="inlineStr">
        <is>
          <t>Registered Nurse</t>
        </is>
      </c>
      <c r="F1381" t="inlineStr">
        <is>
          <t>9/29/2025</t>
        </is>
      </c>
      <c r="H1381" t="inlineStr">
        <is>
          <t>MIVFN2023</t>
        </is>
      </c>
      <c r="I1381" t="inlineStr">
        <is>
          <t>VIC</t>
        </is>
      </c>
      <c r="J1381" t="inlineStr">
        <is>
          <t>Part Time</t>
        </is>
      </c>
      <c r="K1381" s="23" t="inlineStr">
        <is>
          <t>9/29/2025</t>
        </is>
      </c>
      <c r="L1381" s="23" t="inlineStr">
        <is>
          <t>9/29/2025</t>
        </is>
      </c>
      <c r="O1381" t="n">
        <v>30.4</v>
      </c>
    </row>
    <row r="1382">
      <c r="A1382" t="inlineStr">
        <is>
          <t>AU23859</t>
        </is>
      </c>
      <c r="C1382" t="inlineStr">
        <is>
          <t>NSW-QLD</t>
        </is>
      </c>
      <c r="D1382" t="inlineStr">
        <is>
          <t>Virtus Health</t>
        </is>
      </c>
      <c r="E1382" t="inlineStr">
        <is>
          <t>Technology Operations Engineer</t>
        </is>
      </c>
      <c r="F1382" t="inlineStr">
        <is>
          <t>9/29/2025</t>
        </is>
      </c>
      <c r="H1382" t="inlineStr">
        <is>
          <t>VIC</t>
        </is>
      </c>
      <c r="I1382" t="inlineStr">
        <is>
          <t>VIC</t>
        </is>
      </c>
      <c r="J1382" t="inlineStr">
        <is>
          <t>Full Time</t>
        </is>
      </c>
      <c r="K1382" s="23" t="inlineStr">
        <is>
          <t>9/29/2025</t>
        </is>
      </c>
      <c r="L1382" s="23" t="inlineStr">
        <is>
          <t>9/29/2025</t>
        </is>
      </c>
      <c r="O1382" t="n">
        <v>38</v>
      </c>
    </row>
    <row r="1383">
      <c r="A1383" t="inlineStr">
        <is>
          <t>AU23860</t>
        </is>
      </c>
      <c r="C1383" t="inlineStr">
        <is>
          <t>NSW-QLD</t>
        </is>
      </c>
      <c r="D1383" t="inlineStr">
        <is>
          <t>Virtus Health</t>
        </is>
      </c>
      <c r="E1383" t="inlineStr">
        <is>
          <t>Administration Clerk</t>
        </is>
      </c>
      <c r="F1383" t="inlineStr">
        <is>
          <t>9/22/2025</t>
        </is>
      </c>
      <c r="H1383" t="inlineStr">
        <is>
          <t>IVFS2023</t>
        </is>
      </c>
      <c r="I1383" t="inlineStr">
        <is>
          <t>NSW</t>
        </is>
      </c>
      <c r="J1383" t="inlineStr">
        <is>
          <t>Part Time</t>
        </is>
      </c>
      <c r="K1383" s="23" t="inlineStr">
        <is>
          <t>9/22/2025</t>
        </is>
      </c>
      <c r="L1383" s="23" t="inlineStr">
        <is>
          <t>9/22/2025</t>
        </is>
      </c>
      <c r="O1383" t="n">
        <v>38</v>
      </c>
    </row>
    <row r="1384">
      <c r="A1384" t="inlineStr">
        <is>
          <t>AU23861</t>
        </is>
      </c>
      <c r="C1384" t="inlineStr">
        <is>
          <t>NSW-QLD</t>
        </is>
      </c>
      <c r="D1384" t="inlineStr">
        <is>
          <t>Virtus Health</t>
        </is>
      </c>
      <c r="E1384" t="inlineStr">
        <is>
          <t>Registered Nurse</t>
        </is>
      </c>
      <c r="F1384" t="inlineStr">
        <is>
          <t>9/22/2025</t>
        </is>
      </c>
      <c r="H1384" t="inlineStr">
        <is>
          <t>QN2025</t>
        </is>
      </c>
      <c r="I1384" t="inlineStr">
        <is>
          <t>QLD</t>
        </is>
      </c>
      <c r="J1384" t="inlineStr">
        <is>
          <t>Casual</t>
        </is>
      </c>
      <c r="K1384" s="23" t="inlineStr">
        <is>
          <t>9/22/2025</t>
        </is>
      </c>
      <c r="L1384" s="23" t="inlineStr">
        <is>
          <t>9/22/2025</t>
        </is>
      </c>
      <c r="O1384" t="n">
        <v>22.5</v>
      </c>
    </row>
    <row r="1385">
      <c r="A1385" t="inlineStr">
        <is>
          <t>AU23862</t>
        </is>
      </c>
      <c r="C1385" t="inlineStr">
        <is>
          <t>NSW-QLD</t>
        </is>
      </c>
      <c r="D1385" t="inlineStr">
        <is>
          <t>Virtus Health</t>
        </is>
      </c>
      <c r="E1385" t="inlineStr">
        <is>
          <t>Registered Nurse</t>
        </is>
      </c>
      <c r="F1385" t="inlineStr">
        <is>
          <t>9/25/2025</t>
        </is>
      </c>
      <c r="H1385" t="inlineStr">
        <is>
          <t>IVFN2021</t>
        </is>
      </c>
      <c r="I1385" t="inlineStr">
        <is>
          <t>NSW</t>
        </is>
      </c>
      <c r="J1385" t="inlineStr">
        <is>
          <t>Casual</t>
        </is>
      </c>
      <c r="K1385" s="23" t="inlineStr">
        <is>
          <t>9/25/2025</t>
        </is>
      </c>
      <c r="L1385" s="23" t="inlineStr">
        <is>
          <t>9/25/2025</t>
        </is>
      </c>
      <c r="O1385" t="n">
        <v>32</v>
      </c>
    </row>
    <row r="1386">
      <c r="A1386" t="inlineStr">
        <is>
          <t>AU23863</t>
        </is>
      </c>
      <c r="C1386" t="inlineStr">
        <is>
          <t>NSW-QLD</t>
        </is>
      </c>
      <c r="D1386" t="inlineStr">
        <is>
          <t>Virtus Health</t>
        </is>
      </c>
      <c r="E1386" t="inlineStr">
        <is>
          <t>Phlebotomist</t>
        </is>
      </c>
      <c r="F1386" t="inlineStr">
        <is>
          <t>9/24/2025</t>
        </is>
      </c>
      <c r="H1386" t="inlineStr">
        <is>
          <t>IVFS2023</t>
        </is>
      </c>
      <c r="I1386" t="inlineStr">
        <is>
          <t>NSW</t>
        </is>
      </c>
      <c r="J1386" t="inlineStr">
        <is>
          <t>Part Time</t>
        </is>
      </c>
      <c r="K1386" s="23" t="inlineStr">
        <is>
          <t>9/24/2025</t>
        </is>
      </c>
      <c r="L1386" s="23" t="inlineStr">
        <is>
          <t>9/24/2025</t>
        </is>
      </c>
      <c r="O1386" t="n">
        <v>38</v>
      </c>
    </row>
    <row r="1387">
      <c r="A1387" t="inlineStr">
        <is>
          <t>AU23864</t>
        </is>
      </c>
      <c r="C1387" t="inlineStr">
        <is>
          <t>NSW-QLD</t>
        </is>
      </c>
      <c r="D1387" t="inlineStr">
        <is>
          <t>Virtus Health</t>
        </is>
      </c>
      <c r="E1387" t="inlineStr">
        <is>
          <t>Quality Compliance &amp; Risk Manager</t>
        </is>
      </c>
      <c r="F1387" t="inlineStr">
        <is>
          <t>9/29/2025</t>
        </is>
      </c>
      <c r="H1387" t="inlineStr">
        <is>
          <t>NSW</t>
        </is>
      </c>
      <c r="I1387" t="inlineStr">
        <is>
          <t>NSW</t>
        </is>
      </c>
      <c r="J1387" t="inlineStr">
        <is>
          <t>Full Time</t>
        </is>
      </c>
      <c r="K1387" s="23" t="inlineStr">
        <is>
          <t>9/29/2025</t>
        </is>
      </c>
      <c r="L1387" s="23" t="inlineStr">
        <is>
          <t>9/29/2025</t>
        </is>
      </c>
      <c r="O1387" t="n">
        <v>38</v>
      </c>
    </row>
    <row r="1388">
      <c r="A1388" t="inlineStr">
        <is>
          <t>AU23865</t>
        </is>
      </c>
      <c r="C1388" t="inlineStr">
        <is>
          <t>VIC-TAS</t>
        </is>
      </c>
      <c r="D1388" t="inlineStr">
        <is>
          <t>Virtus Health</t>
        </is>
      </c>
      <c r="E1388" t="inlineStr">
        <is>
          <t>Embryologist</t>
        </is>
      </c>
      <c r="F1388" t="inlineStr">
        <is>
          <t>10/13/2025</t>
        </is>
      </c>
      <c r="H1388" t="inlineStr">
        <is>
          <t>MIVFS2022</t>
        </is>
      </c>
      <c r="I1388" t="inlineStr">
        <is>
          <t>VIC</t>
        </is>
      </c>
      <c r="J1388" t="inlineStr">
        <is>
          <t>Full Time</t>
        </is>
      </c>
      <c r="K1388" s="23" t="inlineStr">
        <is>
          <t>10/13/2025</t>
        </is>
      </c>
      <c r="L1388" s="23" t="inlineStr">
        <is>
          <t>10/13/2025</t>
        </is>
      </c>
      <c r="O1388" t="n">
        <v>38</v>
      </c>
    </row>
    <row r="1389">
      <c r="A1389" t="inlineStr">
        <is>
          <t>AU23868</t>
        </is>
      </c>
      <c r="C1389" t="inlineStr">
        <is>
          <t>NSW-QLD</t>
        </is>
      </c>
      <c r="D1389" t="inlineStr">
        <is>
          <t>Virtus Health</t>
        </is>
      </c>
      <c r="E1389" t="inlineStr">
        <is>
          <t>Nures Coordinator</t>
        </is>
      </c>
      <c r="F1389" t="inlineStr">
        <is>
          <t>10/13/2025</t>
        </is>
      </c>
      <c r="H1389" t="inlineStr">
        <is>
          <t>IVFN2021</t>
        </is>
      </c>
      <c r="I1389" t="inlineStr">
        <is>
          <t>NSW</t>
        </is>
      </c>
      <c r="J1389" t="inlineStr">
        <is>
          <t>Full Time</t>
        </is>
      </c>
      <c r="K1389" s="23" t="inlineStr">
        <is>
          <t>10/13/2025</t>
        </is>
      </c>
      <c r="L1389" s="23" t="inlineStr">
        <is>
          <t>10/13/2025</t>
        </is>
      </c>
      <c r="O1389" t="n">
        <v>38</v>
      </c>
    </row>
    <row r="1390">
      <c r="A1390" t="inlineStr">
        <is>
          <t>AU23872</t>
        </is>
      </c>
      <c r="C1390" t="inlineStr">
        <is>
          <t>VIC-TAS</t>
        </is>
      </c>
      <c r="D1390" t="inlineStr">
        <is>
          <t>Virtus Health</t>
        </is>
      </c>
      <c r="E1390" t="inlineStr">
        <is>
          <t>Patient Liaison Administrator</t>
        </is>
      </c>
      <c r="F1390" t="inlineStr">
        <is>
          <t>10/20/2025</t>
        </is>
      </c>
      <c r="H1390" t="inlineStr">
        <is>
          <t>TIVF2024</t>
        </is>
      </c>
      <c r="I1390" t="inlineStr">
        <is>
          <t>TAS</t>
        </is>
      </c>
      <c r="J1390" t="inlineStr">
        <is>
          <t>Part Time</t>
        </is>
      </c>
      <c r="K1390" s="23" t="inlineStr">
        <is>
          <t>10/20/2025</t>
        </is>
      </c>
      <c r="L1390" s="23" t="inlineStr">
        <is>
          <t>10/20/2025</t>
        </is>
      </c>
      <c r="O1390" t="n">
        <v>15</v>
      </c>
    </row>
    <row r="1391">
      <c r="A1391" t="inlineStr">
        <is>
          <t>AU23873</t>
        </is>
      </c>
      <c r="B1391" s="1" t="n"/>
      <c r="C1391" t="inlineStr">
        <is>
          <t>NSW-QLD</t>
        </is>
      </c>
      <c r="D1391" t="inlineStr">
        <is>
          <t>Virtus Health</t>
        </is>
      </c>
      <c r="E1391" t="inlineStr">
        <is>
          <t>Nurse Coordinator</t>
        </is>
      </c>
      <c r="F1391" s="1" t="n">
        <v>45879</v>
      </c>
      <c r="H1391" t="inlineStr">
        <is>
          <t>IVFN2021</t>
        </is>
      </c>
      <c r="I1391" t="inlineStr">
        <is>
          <t>ACT</t>
        </is>
      </c>
      <c r="J1391" t="inlineStr">
        <is>
          <t>Part Time</t>
        </is>
      </c>
      <c r="K1391" s="23" t="n">
        <v>45879</v>
      </c>
      <c r="L1391" s="23" t="n">
        <v>45879</v>
      </c>
      <c r="O1391" t="n">
        <v>38</v>
      </c>
    </row>
    <row r="1392">
      <c r="A1392" t="inlineStr">
        <is>
          <t>AU23874</t>
        </is>
      </c>
      <c r="B1392" s="1" t="n"/>
      <c r="C1392" t="inlineStr">
        <is>
          <t>VIC-TAS</t>
        </is>
      </c>
      <c r="D1392" t="inlineStr">
        <is>
          <t>Virtus Health</t>
        </is>
      </c>
      <c r="E1392" t="inlineStr">
        <is>
          <t>Clinical Technologist</t>
        </is>
      </c>
      <c r="F1392" s="1" t="n">
        <v>45818</v>
      </c>
      <c r="H1392" t="inlineStr">
        <is>
          <t>MIVFS2022</t>
        </is>
      </c>
      <c r="I1392" t="inlineStr">
        <is>
          <t>VIC</t>
        </is>
      </c>
      <c r="J1392" t="inlineStr">
        <is>
          <t>Full Time</t>
        </is>
      </c>
      <c r="K1392" s="23" t="n">
        <v>45818</v>
      </c>
      <c r="L1392" s="23" t="n">
        <v>45818</v>
      </c>
      <c r="O1392" t="n">
        <v>38</v>
      </c>
    </row>
    <row r="1393">
      <c r="A1393" t="inlineStr">
        <is>
          <t>AU23875</t>
        </is>
      </c>
      <c r="C1393" t="inlineStr">
        <is>
          <t>NSW-QLD</t>
        </is>
      </c>
      <c r="D1393" t="inlineStr">
        <is>
          <t>Virtus Health</t>
        </is>
      </c>
      <c r="E1393" t="inlineStr">
        <is>
          <t>Administration Clerk</t>
        </is>
      </c>
      <c r="F1393" t="inlineStr">
        <is>
          <t>10/27/2025</t>
        </is>
      </c>
      <c r="H1393" s="25" t="n"/>
      <c r="I1393" t="inlineStr">
        <is>
          <t>QLD</t>
        </is>
      </c>
      <c r="J1393" t="inlineStr">
        <is>
          <t>Full Time</t>
        </is>
      </c>
      <c r="K1393" s="23" t="inlineStr">
        <is>
          <t>10/27/2025</t>
        </is>
      </c>
      <c r="L1393" s="23" t="inlineStr">
        <is>
          <t>10/27/2025</t>
        </is>
      </c>
      <c r="O1393" t="n">
        <v>38</v>
      </c>
    </row>
    <row r="1394">
      <c r="A1394" t="inlineStr">
        <is>
          <t>AU23876</t>
        </is>
      </c>
      <c r="C1394" t="inlineStr">
        <is>
          <t>NSW-QLD</t>
        </is>
      </c>
      <c r="D1394" t="inlineStr">
        <is>
          <t>Virtus Health</t>
        </is>
      </c>
      <c r="E1394" t="inlineStr">
        <is>
          <t>Andrologist</t>
        </is>
      </c>
      <c r="F1394" t="inlineStr">
        <is>
          <t>10/13/2025</t>
        </is>
      </c>
      <c r="H1394" t="inlineStr">
        <is>
          <t>IVFT2024</t>
        </is>
      </c>
      <c r="I1394" t="inlineStr">
        <is>
          <t>NSW</t>
        </is>
      </c>
      <c r="J1394" t="inlineStr">
        <is>
          <t>Full Time</t>
        </is>
      </c>
      <c r="K1394" s="23" t="inlineStr">
        <is>
          <t>10/13/2025</t>
        </is>
      </c>
      <c r="L1394" s="23" t="inlineStr">
        <is>
          <t>10/13/2025</t>
        </is>
      </c>
      <c r="O1394" t="n">
        <v>38</v>
      </c>
    </row>
    <row r="1395">
      <c r="A1395" t="inlineStr">
        <is>
          <t>AU23877</t>
        </is>
      </c>
      <c r="B1395" s="1" t="n"/>
      <c r="C1395" t="inlineStr">
        <is>
          <t>NSW-QLD</t>
        </is>
      </c>
      <c r="D1395" t="inlineStr">
        <is>
          <t>Virtus Health</t>
        </is>
      </c>
      <c r="E1395" t="inlineStr">
        <is>
          <t>Registered Nurse</t>
        </is>
      </c>
      <c r="F1395" s="1" t="n">
        <v>45879</v>
      </c>
      <c r="H1395" t="inlineStr">
        <is>
          <t>QN2025</t>
        </is>
      </c>
      <c r="I1395" t="inlineStr">
        <is>
          <t>QLD</t>
        </is>
      </c>
      <c r="J1395" t="inlineStr">
        <is>
          <t>Full Time</t>
        </is>
      </c>
      <c r="K1395" s="23" t="n">
        <v>45879</v>
      </c>
      <c r="L1395" s="23" t="n">
        <v>45879</v>
      </c>
      <c r="O1395" t="n">
        <v>25.5</v>
      </c>
    </row>
    <row r="1396">
      <c r="A1396" t="inlineStr">
        <is>
          <t>AU23878</t>
        </is>
      </c>
      <c r="B1396" s="1" t="n"/>
      <c r="C1396" t="inlineStr">
        <is>
          <t>NSW-QLD</t>
        </is>
      </c>
      <c r="D1396" t="inlineStr">
        <is>
          <t>Virtus Health</t>
        </is>
      </c>
      <c r="E1396" t="inlineStr">
        <is>
          <t>Medical Secretary</t>
        </is>
      </c>
      <c r="F1396" s="1" t="n">
        <v>45848</v>
      </c>
      <c r="H1396" t="inlineStr">
        <is>
          <t>IVFS2023</t>
        </is>
      </c>
      <c r="I1396" t="inlineStr">
        <is>
          <t>NSW</t>
        </is>
      </c>
      <c r="J1396" t="inlineStr">
        <is>
          <t>Full Time</t>
        </is>
      </c>
      <c r="K1396" s="23" t="n">
        <v>45848</v>
      </c>
      <c r="L1396" s="23" t="n">
        <v>45848</v>
      </c>
      <c r="O1396" t="n">
        <v>38</v>
      </c>
    </row>
    <row r="1397">
      <c r="A1397" t="inlineStr">
        <is>
          <t>AU23879</t>
        </is>
      </c>
      <c r="C1397" t="inlineStr">
        <is>
          <t>VIC-TAS</t>
        </is>
      </c>
      <c r="D1397" t="inlineStr">
        <is>
          <t>Virtus Health</t>
        </is>
      </c>
      <c r="E1397" t="inlineStr">
        <is>
          <t>Administration Clerk</t>
        </is>
      </c>
      <c r="F1397" t="inlineStr">
        <is>
          <t>10/13/2025</t>
        </is>
      </c>
      <c r="H1397" t="inlineStr">
        <is>
          <t>TIVF2024</t>
        </is>
      </c>
      <c r="I1397" t="inlineStr">
        <is>
          <t>TAS</t>
        </is>
      </c>
      <c r="J1397" t="inlineStr">
        <is>
          <t>Full Time</t>
        </is>
      </c>
      <c r="K1397" s="23" t="inlineStr">
        <is>
          <t>10/13/2025</t>
        </is>
      </c>
      <c r="L1397" s="23" t="inlineStr">
        <is>
          <t>10/13/2025</t>
        </is>
      </c>
      <c r="O1397" t="n">
        <v>37.5</v>
      </c>
    </row>
    <row r="1398">
      <c r="A1398" t="inlineStr">
        <is>
          <t>AU23880</t>
        </is>
      </c>
      <c r="C1398" t="inlineStr">
        <is>
          <t>NSW-QLD</t>
        </is>
      </c>
      <c r="D1398" t="inlineStr">
        <is>
          <t>Virtus Health</t>
        </is>
      </c>
      <c r="E1398" t="inlineStr">
        <is>
          <t>Nurse Coordinator</t>
        </is>
      </c>
      <c r="F1398" t="inlineStr">
        <is>
          <t>10/13/2025</t>
        </is>
      </c>
      <c r="H1398" t="inlineStr">
        <is>
          <t>IVFN2021</t>
        </is>
      </c>
      <c r="I1398" t="inlineStr">
        <is>
          <t>NSW</t>
        </is>
      </c>
      <c r="J1398" t="inlineStr">
        <is>
          <t>Full Time</t>
        </is>
      </c>
      <c r="K1398" s="23" t="inlineStr">
        <is>
          <t>10/13/2025</t>
        </is>
      </c>
      <c r="L1398" s="23" t="inlineStr">
        <is>
          <t>10/13/2025</t>
        </is>
      </c>
      <c r="O1398" t="n">
        <v>38</v>
      </c>
    </row>
    <row r="1399">
      <c r="A1399" t="inlineStr">
        <is>
          <t>AU23881</t>
        </is>
      </c>
      <c r="C1399" t="inlineStr">
        <is>
          <t>NSW-QLD</t>
        </is>
      </c>
      <c r="D1399" t="inlineStr">
        <is>
          <t>Virtus Health</t>
        </is>
      </c>
      <c r="E1399" t="inlineStr">
        <is>
          <t>Administration Clerk</t>
        </is>
      </c>
      <c r="F1399" t="inlineStr">
        <is>
          <t>10/13/2025</t>
        </is>
      </c>
      <c r="H1399" t="inlineStr">
        <is>
          <t>IVFS2023</t>
        </is>
      </c>
      <c r="I1399" t="inlineStr">
        <is>
          <t>QLD</t>
        </is>
      </c>
      <c r="J1399" t="inlineStr">
        <is>
          <t>Part Time</t>
        </is>
      </c>
      <c r="K1399" s="23" t="inlineStr">
        <is>
          <t>10/13/2025</t>
        </is>
      </c>
      <c r="L1399" s="23" t="inlineStr">
        <is>
          <t>10/13/2025</t>
        </is>
      </c>
      <c r="O1399" t="n">
        <v>16</v>
      </c>
    </row>
    <row r="1400">
      <c r="A1400" t="inlineStr">
        <is>
          <t>AU23882</t>
        </is>
      </c>
      <c r="C1400" t="inlineStr">
        <is>
          <t>NSW-QLD</t>
        </is>
      </c>
      <c r="D1400" t="inlineStr">
        <is>
          <t>Virtus Health</t>
        </is>
      </c>
      <c r="E1400" t="inlineStr">
        <is>
          <t>Assistant in Nursing</t>
        </is>
      </c>
      <c r="F1400" t="inlineStr">
        <is>
          <t>10/15/2025</t>
        </is>
      </c>
      <c r="H1400" t="inlineStr">
        <is>
          <t>IVFN2021</t>
        </is>
      </c>
      <c r="I1400" t="inlineStr">
        <is>
          <t>NSW</t>
        </is>
      </c>
      <c r="J1400" t="inlineStr">
        <is>
          <t>Full Time</t>
        </is>
      </c>
      <c r="K1400" s="23" t="inlineStr">
        <is>
          <t>10/15/2025</t>
        </is>
      </c>
      <c r="L1400" s="23" t="inlineStr">
        <is>
          <t>10/15/2025</t>
        </is>
      </c>
      <c r="O1400" t="n">
        <v>38</v>
      </c>
    </row>
    <row r="1401">
      <c r="A1401" t="inlineStr">
        <is>
          <t>AU23895</t>
        </is>
      </c>
      <c r="C1401" t="inlineStr">
        <is>
          <t>VIC-TAS</t>
        </is>
      </c>
      <c r="D1401" t="inlineStr">
        <is>
          <t>Virtus Health</t>
        </is>
      </c>
      <c r="E1401" t="inlineStr">
        <is>
          <t>Nursing Administrator</t>
        </is>
      </c>
      <c r="F1401" t="inlineStr">
        <is>
          <t>10/15/2025</t>
        </is>
      </c>
      <c r="H1401" t="inlineStr">
        <is>
          <t>MIVFS2022</t>
        </is>
      </c>
      <c r="I1401" t="inlineStr">
        <is>
          <t>VIC</t>
        </is>
      </c>
      <c r="J1401" t="inlineStr">
        <is>
          <t>Full Time</t>
        </is>
      </c>
      <c r="K1401" s="23" t="inlineStr">
        <is>
          <t>10/15/2025</t>
        </is>
      </c>
      <c r="L1401" s="23" t="inlineStr">
        <is>
          <t>10/15/2025</t>
        </is>
      </c>
      <c r="O1401" t="n">
        <v>38</v>
      </c>
    </row>
    <row r="1402">
      <c r="A1402" t="inlineStr">
        <is>
          <t>AU23897</t>
        </is>
      </c>
      <c r="B1402" s="1" t="n"/>
      <c r="C1402" t="inlineStr">
        <is>
          <t>NSW-QLD</t>
        </is>
      </c>
      <c r="D1402" t="inlineStr">
        <is>
          <t>Virtus Health</t>
        </is>
      </c>
      <c r="E1402" t="inlineStr">
        <is>
          <t>Nures Coordinator</t>
        </is>
      </c>
      <c r="F1402" s="1" t="n">
        <v>45818</v>
      </c>
      <c r="H1402" t="inlineStr">
        <is>
          <t>IVFN2021</t>
        </is>
      </c>
      <c r="I1402" t="inlineStr">
        <is>
          <t>NSW</t>
        </is>
      </c>
      <c r="J1402" t="inlineStr">
        <is>
          <t>Full Time</t>
        </is>
      </c>
      <c r="K1402" s="23" t="n">
        <v>45818</v>
      </c>
      <c r="L1402" s="23" t="n">
        <v>45818</v>
      </c>
      <c r="O1402" t="n">
        <v>19</v>
      </c>
    </row>
    <row r="1403">
      <c r="A1403" t="inlineStr">
        <is>
          <t>AU23898</t>
        </is>
      </c>
      <c r="C1403" t="inlineStr">
        <is>
          <t>NSW-QLD</t>
        </is>
      </c>
      <c r="D1403" t="inlineStr">
        <is>
          <t>Virtus Health</t>
        </is>
      </c>
      <c r="E1403" t="inlineStr">
        <is>
          <t>Head of Financial Control</t>
        </is>
      </c>
      <c r="F1403" t="inlineStr">
        <is>
          <t>9/29/2025</t>
        </is>
      </c>
      <c r="H1403" t="inlineStr">
        <is>
          <t>NSW</t>
        </is>
      </c>
      <c r="I1403" t="inlineStr">
        <is>
          <t>NSW</t>
        </is>
      </c>
      <c r="J1403" t="inlineStr">
        <is>
          <t>Full Time</t>
        </is>
      </c>
      <c r="K1403" s="23" t="inlineStr">
        <is>
          <t>9/29/2025</t>
        </is>
      </c>
      <c r="L1403" s="23" t="inlineStr">
        <is>
          <t>9/29/2025</t>
        </is>
      </c>
      <c r="O1403" t="n">
        <v>38</v>
      </c>
    </row>
    <row r="1404">
      <c r="K1404" s="23" t="n"/>
      <c r="L1404" s="23" t="n"/>
    </row>
    <row r="1405">
      <c r="K1405" s="23" t="n"/>
      <c r="L1405" s="23" t="n"/>
    </row>
    <row r="1406">
      <c r="K1406" s="23" t="n"/>
      <c r="L1406" s="23" t="n"/>
    </row>
    <row r="1407">
      <c r="K1407" s="23" t="n"/>
      <c r="L1407" s="23" t="n"/>
    </row>
    <row r="1408">
      <c r="K1408" s="23" t="n"/>
      <c r="L1408" s="23" t="n"/>
    </row>
    <row r="1409">
      <c r="K1409" s="23" t="n"/>
      <c r="L1409" s="23" t="n"/>
    </row>
    <row r="1410">
      <c r="K1410" s="23" t="n"/>
      <c r="L1410" s="23" t="n"/>
    </row>
    <row r="1411">
      <c r="K1411" s="23" t="n"/>
      <c r="L1411" s="23" t="n"/>
    </row>
    <row r="1412">
      <c r="K1412" s="23" t="n"/>
      <c r="L1412" s="23" t="n"/>
    </row>
    <row r="1413">
      <c r="K1413" s="23" t="n"/>
      <c r="L1413" s="23" t="n"/>
    </row>
    <row r="1414">
      <c r="K1414" s="23" t="n"/>
      <c r="L1414" s="23" t="n"/>
    </row>
    <row r="1415">
      <c r="K1415" s="23" t="n"/>
      <c r="L1415" s="23" t="n"/>
    </row>
    <row r="1416">
      <c r="K1416" s="23" t="n"/>
      <c r="L1416" s="23" t="n"/>
    </row>
    <row r="1417">
      <c r="K1417" s="23" t="n"/>
      <c r="L1417" s="23" t="n"/>
    </row>
    <row r="1418">
      <c r="K1418" s="23" t="n"/>
      <c r="L1418" s="23" t="n"/>
    </row>
    <row r="1419">
      <c r="K1419" s="23" t="n"/>
      <c r="L1419" s="23" t="n"/>
    </row>
    <row r="1420">
      <c r="K1420" s="23" t="n"/>
      <c r="L1420" s="23" t="n"/>
    </row>
    <row r="1421">
      <c r="K1421" s="23" t="n"/>
      <c r="L1421" s="23" t="n"/>
    </row>
    <row r="1422">
      <c r="K1422" s="23" t="n"/>
      <c r="L1422" s="23" t="n"/>
    </row>
    <row r="1423">
      <c r="K1423" s="23" t="n"/>
      <c r="L1423" s="23" t="n"/>
    </row>
    <row r="1424">
      <c r="K1424" s="23" t="n"/>
      <c r="L1424" s="23" t="n"/>
    </row>
    <row r="1425">
      <c r="K1425" s="23" t="n"/>
      <c r="L1425" s="23" t="n"/>
    </row>
    <row r="1426">
      <c r="K1426" s="23" t="n"/>
      <c r="L1426" s="23" t="n"/>
    </row>
    <row r="1427">
      <c r="K1427" s="23" t="n"/>
      <c r="L1427" s="23" t="n"/>
    </row>
    <row r="1428">
      <c r="K1428" s="23" t="n"/>
      <c r="L1428" s="23" t="n"/>
    </row>
    <row r="1429">
      <c r="K1429" s="23" t="n"/>
      <c r="L1429" s="23" t="n"/>
    </row>
    <row r="1430">
      <c r="K1430" s="23" t="n"/>
      <c r="L1430" s="23" t="n"/>
    </row>
    <row r="1431">
      <c r="K1431" s="23" t="n"/>
      <c r="L1431" s="23" t="n"/>
    </row>
    <row r="1432">
      <c r="K1432" s="23" t="n"/>
      <c r="L1432" s="23" t="n"/>
    </row>
    <row r="1433">
      <c r="K1433" s="23" t="n"/>
      <c r="L1433" s="23" t="n"/>
    </row>
    <row r="1434">
      <c r="K1434" s="23" t="n"/>
      <c r="L1434" s="23" t="n"/>
    </row>
    <row r="1435">
      <c r="K1435" s="23" t="n"/>
      <c r="L1435" s="23" t="n"/>
    </row>
    <row r="1436">
      <c r="K1436" s="23" t="n"/>
      <c r="L1436" s="23" t="n"/>
    </row>
    <row r="1437">
      <c r="K1437" s="23" t="n"/>
      <c r="L1437" s="23" t="n"/>
    </row>
    <row r="1438">
      <c r="K1438" s="23" t="n"/>
      <c r="L1438" s="23" t="n"/>
    </row>
    <row r="1439">
      <c r="K1439" s="23" t="n"/>
      <c r="L1439" s="23" t="n"/>
    </row>
    <row r="1440">
      <c r="K1440" s="23" t="n"/>
      <c r="L1440" s="23" t="n"/>
    </row>
    <row r="1441">
      <c r="K1441" s="23" t="n"/>
      <c r="L1441" s="23" t="n"/>
    </row>
    <row r="1442">
      <c r="K1442" s="23" t="n"/>
      <c r="L1442" s="23" t="n"/>
    </row>
    <row r="1443">
      <c r="K1443" s="23" t="n"/>
      <c r="L1443" s="23" t="n"/>
    </row>
    <row r="1444">
      <c r="K1444" s="23" t="n"/>
      <c r="L1444" s="23" t="n"/>
    </row>
    <row r="1445">
      <c r="K1445" s="23" t="n"/>
      <c r="L1445" s="23" t="n"/>
    </row>
    <row r="1446">
      <c r="K1446" s="23" t="n"/>
      <c r="L1446" s="23" t="n"/>
    </row>
    <row r="1447">
      <c r="K1447" s="23" t="n"/>
      <c r="L1447" s="23" t="n"/>
    </row>
    <row r="1448">
      <c r="K1448" s="23" t="n"/>
      <c r="L1448" s="23" t="n"/>
    </row>
    <row r="1449">
      <c r="K1449" s="23" t="n"/>
      <c r="L1449" s="23" t="n"/>
    </row>
    <row r="1450">
      <c r="K1450" s="23" t="n"/>
      <c r="L1450" s="23" t="n"/>
    </row>
    <row r="1451">
      <c r="K1451" s="23" t="n"/>
      <c r="L1451" s="23" t="n"/>
    </row>
    <row r="1452">
      <c r="K1452" s="23" t="n"/>
      <c r="L1452" s="23" t="n"/>
    </row>
    <row r="1453">
      <c r="K1453" s="23" t="n"/>
      <c r="L1453" s="23" t="n"/>
    </row>
    <row r="1454">
      <c r="K1454" s="23" t="n"/>
      <c r="L1454" s="23" t="n"/>
    </row>
    <row r="1455">
      <c r="K1455" s="23" t="n"/>
      <c r="L1455" s="23" t="n"/>
    </row>
    <row r="1456">
      <c r="K1456" s="23" t="n"/>
      <c r="L1456" s="23" t="n"/>
    </row>
    <row r="1457">
      <c r="K1457" s="23" t="n"/>
      <c r="L1457" s="23" t="n"/>
    </row>
    <row r="1458">
      <c r="K1458" s="23" t="n"/>
      <c r="L1458" s="23" t="n"/>
    </row>
    <row r="1459">
      <c r="K1459" s="23" t="n"/>
      <c r="L1459" s="23" t="n"/>
    </row>
    <row r="1460">
      <c r="K1460" s="23" t="n"/>
      <c r="L1460" s="23" t="n"/>
    </row>
    <row r="1461">
      <c r="K1461" s="23" t="n"/>
      <c r="L1461" s="23" t="n"/>
    </row>
    <row r="1462">
      <c r="K1462" s="23" t="n"/>
      <c r="L1462" s="23" t="n"/>
    </row>
    <row r="1463">
      <c r="K1463" s="23" t="n"/>
      <c r="L1463" s="23" t="n"/>
    </row>
    <row r="1464">
      <c r="K1464" s="23" t="n"/>
      <c r="L1464" s="23" t="n"/>
    </row>
    <row r="1465">
      <c r="K1465" s="23" t="n"/>
      <c r="L1465" s="23" t="n"/>
    </row>
    <row r="1466">
      <c r="K1466" s="23" t="n"/>
      <c r="L1466" s="23" t="n"/>
    </row>
    <row r="1467">
      <c r="K1467" s="23" t="n"/>
      <c r="L1467" s="23" t="n"/>
    </row>
    <row r="1468">
      <c r="K1468" s="23" t="n"/>
      <c r="L1468" s="23" t="n"/>
    </row>
    <row r="1469">
      <c r="K1469" s="23" t="n"/>
      <c r="L1469" s="23" t="n"/>
    </row>
    <row r="1470">
      <c r="K1470" s="23" t="n"/>
      <c r="L1470" s="23" t="n"/>
    </row>
    <row r="1471">
      <c r="K1471" s="23" t="n"/>
      <c r="L1471" s="23" t="n"/>
    </row>
    <row r="1472">
      <c r="K1472" s="23" t="n"/>
      <c r="L1472" s="23" t="n"/>
    </row>
    <row r="1473">
      <c r="K1473" s="23" t="n"/>
      <c r="L1473" s="23" t="n"/>
    </row>
    <row r="1474">
      <c r="K1474" s="23" t="n"/>
      <c r="L1474" s="23" t="n"/>
    </row>
    <row r="1475">
      <c r="K1475" s="23" t="n"/>
      <c r="L1475" s="23" t="n"/>
    </row>
    <row r="1476">
      <c r="K1476" s="23" t="n"/>
      <c r="L1476" s="23" t="n"/>
    </row>
    <row r="1477">
      <c r="K1477" s="23" t="n"/>
      <c r="L1477" s="23" t="n"/>
    </row>
    <row r="1478">
      <c r="K1478" s="23" t="n"/>
      <c r="L1478" s="23" t="n"/>
    </row>
    <row r="1479">
      <c r="K1479" s="23" t="n"/>
      <c r="L1479" s="23" t="n"/>
    </row>
    <row r="1480">
      <c r="K1480" s="23" t="n"/>
      <c r="L1480" s="23" t="n"/>
    </row>
    <row r="1481">
      <c r="K1481" s="23" t="n"/>
      <c r="L1481" s="23" t="n"/>
    </row>
    <row r="1482">
      <c r="K1482" s="23" t="n"/>
      <c r="L1482" s="23" t="n"/>
    </row>
    <row r="1483">
      <c r="K1483" s="23" t="n"/>
      <c r="L1483" s="23" t="n"/>
    </row>
    <row r="1484">
      <c r="K1484" s="23" t="n"/>
      <c r="L1484" s="23" t="n"/>
    </row>
    <row r="1485">
      <c r="K1485" s="23" t="n"/>
      <c r="L1485" s="23" t="n"/>
    </row>
    <row r="1486">
      <c r="K1486" s="23" t="n"/>
      <c r="L1486" s="23" t="n"/>
    </row>
    <row r="1487">
      <c r="K1487" s="23" t="n"/>
      <c r="L1487" s="23" t="n"/>
    </row>
    <row r="1488">
      <c r="K1488" s="23" t="n"/>
      <c r="L1488" s="23" t="n"/>
    </row>
    <row r="1489">
      <c r="K1489" s="23" t="n"/>
      <c r="L1489" s="23" t="n"/>
    </row>
    <row r="1490">
      <c r="K1490" s="23" t="n"/>
      <c r="L1490" s="23" t="n"/>
    </row>
    <row r="1491">
      <c r="K1491" s="23" t="n"/>
      <c r="L1491" s="23" t="n"/>
    </row>
    <row r="1492">
      <c r="K1492" s="23" t="n"/>
      <c r="L1492" s="23" t="n"/>
    </row>
    <row r="1493">
      <c r="K1493" s="23" t="n"/>
      <c r="L1493" s="23" t="n"/>
    </row>
    <row r="1494">
      <c r="K1494" s="23" t="n"/>
      <c r="L1494" s="23" t="n"/>
    </row>
    <row r="1495">
      <c r="K1495" s="23" t="n"/>
      <c r="L1495" s="23" t="n"/>
    </row>
    <row r="1496">
      <c r="K1496" s="23" t="n"/>
      <c r="L1496" s="23" t="n"/>
    </row>
    <row r="1497">
      <c r="K1497" s="23" t="n"/>
      <c r="L1497" s="23" t="n"/>
    </row>
    <row r="1498">
      <c r="K1498" s="23" t="n"/>
      <c r="L1498" s="23" t="n"/>
    </row>
    <row r="1499">
      <c r="K1499" s="23" t="n"/>
      <c r="L1499" s="23" t="n"/>
    </row>
    <row r="1500">
      <c r="K1500" s="23" t="n"/>
      <c r="L1500" s="23" t="n"/>
    </row>
    <row r="1501">
      <c r="K1501" s="23" t="n"/>
      <c r="L1501" s="23" t="n"/>
    </row>
    <row r="1502">
      <c r="K1502" s="23" t="n"/>
      <c r="L1502" s="23" t="n"/>
    </row>
    <row r="1503">
      <c r="K1503" s="23" t="n"/>
      <c r="L1503" s="23" t="n"/>
    </row>
    <row r="1504">
      <c r="K1504" s="23" t="n"/>
      <c r="L1504" s="23" t="n"/>
    </row>
    <row r="1505">
      <c r="K1505" s="23" t="n"/>
      <c r="L1505" s="23" t="n"/>
    </row>
    <row r="1506">
      <c r="K1506" s="23" t="n"/>
      <c r="L1506" s="23" t="n"/>
    </row>
    <row r="1507">
      <c r="K1507" s="23" t="n"/>
      <c r="L1507" s="23" t="n"/>
    </row>
    <row r="1508">
      <c r="K1508" s="23" t="n"/>
      <c r="L1508" s="23" t="n"/>
    </row>
    <row r="1509">
      <c r="K1509" s="23" t="n"/>
      <c r="L1509" s="23" t="n"/>
    </row>
    <row r="1510">
      <c r="K1510" s="23" t="n"/>
      <c r="L1510" s="23" t="n"/>
    </row>
    <row r="1511">
      <c r="K1511" s="23" t="n"/>
      <c r="L1511" s="23" t="n"/>
    </row>
    <row r="1512">
      <c r="K1512" s="23" t="n"/>
      <c r="L1512" s="23" t="n"/>
    </row>
    <row r="1513">
      <c r="K1513" s="23" t="n"/>
      <c r="L1513" s="23" t="n"/>
    </row>
    <row r="1514">
      <c r="K1514" s="23" t="n"/>
      <c r="L1514" s="23" t="n"/>
    </row>
    <row r="1515">
      <c r="K1515" s="23" t="n"/>
      <c r="L1515" s="23" t="n"/>
    </row>
    <row r="1516">
      <c r="K1516" s="23" t="n"/>
      <c r="L1516" s="23" t="n"/>
    </row>
    <row r="1517">
      <c r="K1517" s="23" t="n"/>
      <c r="L1517" s="23" t="n"/>
    </row>
    <row r="1518">
      <c r="K1518" s="23" t="n"/>
      <c r="L1518" s="23" t="n"/>
    </row>
    <row r="1519">
      <c r="K1519" s="23" t="n"/>
      <c r="L1519" s="23" t="n"/>
    </row>
    <row r="1520">
      <c r="K1520" s="23" t="n"/>
      <c r="L1520" s="23" t="n"/>
    </row>
    <row r="1521">
      <c r="K1521" s="23" t="n"/>
      <c r="L1521" s="23" t="n"/>
    </row>
    <row r="1522">
      <c r="K1522" s="23" t="n"/>
      <c r="L1522" s="23" t="n"/>
    </row>
    <row r="1523">
      <c r="K1523" s="23" t="n"/>
      <c r="L1523" s="23" t="n"/>
    </row>
    <row r="1524">
      <c r="K1524" s="23" t="n"/>
      <c r="L1524" s="23" t="n"/>
    </row>
    <row r="1525">
      <c r="K1525" s="23" t="n"/>
      <c r="L1525" s="23" t="n"/>
    </row>
    <row r="1526">
      <c r="K1526" s="23" t="n"/>
      <c r="L1526" s="23" t="n"/>
    </row>
    <row r="1527">
      <c r="K1527" s="23" t="n"/>
      <c r="L1527" s="23" t="n"/>
    </row>
    <row r="1528">
      <c r="K1528" s="23" t="n"/>
      <c r="L1528" s="23" t="n"/>
    </row>
    <row r="1529">
      <c r="K1529" s="23" t="n"/>
      <c r="L1529" s="23" t="n"/>
    </row>
    <row r="1530">
      <c r="K1530" s="23" t="n"/>
      <c r="L1530" s="23" t="n"/>
    </row>
    <row r="1531">
      <c r="K1531" s="23" t="n"/>
      <c r="L1531" s="23" t="n"/>
    </row>
    <row r="1532">
      <c r="K1532" s="23" t="n"/>
      <c r="L1532" s="23" t="n"/>
    </row>
    <row r="1533">
      <c r="K1533" s="23" t="n"/>
      <c r="L1533" s="23" t="n"/>
    </row>
    <row r="1534">
      <c r="K1534" s="23" t="n"/>
      <c r="L1534" s="23" t="n"/>
    </row>
    <row r="1535">
      <c r="K1535" s="23" t="n"/>
      <c r="L1535" s="23" t="n"/>
    </row>
    <row r="1536">
      <c r="K1536" s="23" t="n"/>
      <c r="L1536" s="23" t="n"/>
    </row>
    <row r="1537">
      <c r="K1537" s="23" t="n"/>
      <c r="L1537" s="23" t="n"/>
    </row>
    <row r="1538">
      <c r="K1538" s="23" t="n"/>
      <c r="L1538" s="23" t="n"/>
    </row>
    <row r="1539">
      <c r="K1539" s="23" t="n"/>
      <c r="L1539" s="23" t="n"/>
    </row>
    <row r="1540">
      <c r="K1540" s="23" t="n"/>
      <c r="L1540" s="23" t="n"/>
    </row>
    <row r="1541">
      <c r="K1541" s="23" t="n"/>
      <c r="L1541" s="23" t="n"/>
    </row>
    <row r="1542">
      <c r="K1542" s="23" t="n"/>
      <c r="L1542" s="23" t="n"/>
    </row>
    <row r="1543">
      <c r="K1543" s="23" t="n"/>
      <c r="L1543" s="23" t="n"/>
    </row>
    <row r="1544">
      <c r="K1544" s="23" t="n"/>
      <c r="L1544" s="23" t="n"/>
    </row>
    <row r="1545">
      <c r="K1545" s="23" t="n"/>
      <c r="L1545" s="23" t="n"/>
    </row>
    <row r="1546">
      <c r="K1546" s="23" t="n"/>
      <c r="L1546" s="23" t="n"/>
    </row>
    <row r="1547">
      <c r="K1547" s="23" t="n"/>
      <c r="L1547" s="23" t="n"/>
    </row>
    <row r="1548">
      <c r="K1548" s="23" t="n"/>
      <c r="L1548" s="23" t="n"/>
    </row>
    <row r="1549">
      <c r="K1549" s="23" t="n"/>
      <c r="L1549" s="23" t="n"/>
    </row>
    <row r="1550">
      <c r="K1550" s="23" t="n"/>
      <c r="L1550" s="23" t="n"/>
    </row>
    <row r="1551">
      <c r="K1551" s="23" t="n"/>
      <c r="L1551" s="23" t="n"/>
    </row>
    <row r="1552">
      <c r="K1552" s="23" t="n"/>
      <c r="L1552" s="23" t="n"/>
    </row>
    <row r="1553">
      <c r="K1553" s="23" t="n"/>
      <c r="L1553" s="23" t="n"/>
    </row>
    <row r="1554">
      <c r="K1554" s="23" t="n"/>
      <c r="L1554" s="23" t="n"/>
    </row>
    <row r="1555">
      <c r="K1555" s="23" t="n"/>
      <c r="L1555" s="23" t="n"/>
    </row>
    <row r="1556">
      <c r="K1556" s="23" t="n"/>
      <c r="L1556" s="23" t="n"/>
    </row>
    <row r="1557">
      <c r="K1557" s="23" t="n"/>
      <c r="L1557" s="23" t="n"/>
    </row>
    <row r="1558">
      <c r="K1558" s="23" t="n"/>
      <c r="L1558" s="23" t="n"/>
    </row>
    <row r="1559">
      <c r="K1559" s="23" t="n"/>
      <c r="L1559" s="23" t="n"/>
    </row>
    <row r="1560">
      <c r="K1560" s="23" t="n"/>
      <c r="L1560" s="23" t="n"/>
    </row>
    <row r="1561">
      <c r="K1561" s="23" t="n"/>
      <c r="L1561" s="23" t="n"/>
    </row>
    <row r="1562">
      <c r="K1562" s="23" t="n"/>
      <c r="L1562" s="23" t="n"/>
    </row>
    <row r="1563">
      <c r="K1563" s="23" t="n"/>
      <c r="L1563" s="23" t="n"/>
    </row>
    <row r="1564">
      <c r="K1564" s="23" t="n"/>
      <c r="L1564" s="23" t="n"/>
    </row>
    <row r="1565">
      <c r="K1565" s="23" t="n"/>
      <c r="L1565" s="23" t="n"/>
    </row>
    <row r="1566">
      <c r="K1566" s="23" t="n"/>
      <c r="L1566" s="23" t="n"/>
    </row>
    <row r="1567">
      <c r="K1567" s="23" t="n"/>
      <c r="L1567" s="23" t="n"/>
    </row>
    <row r="1568">
      <c r="K1568" s="23" t="n"/>
      <c r="L1568" s="23" t="n"/>
    </row>
    <row r="1569">
      <c r="K1569" s="23" t="n"/>
      <c r="L1569" s="23" t="n"/>
    </row>
    <row r="1570">
      <c r="K1570" s="23" t="n"/>
      <c r="L1570" s="23" t="n"/>
    </row>
    <row r="1571">
      <c r="K1571" s="23" t="n"/>
      <c r="L1571" s="23" t="n"/>
    </row>
    <row r="1572">
      <c r="K1572" s="23" t="n"/>
      <c r="L1572" s="23" t="n"/>
    </row>
    <row r="1573">
      <c r="K1573" s="23" t="n"/>
      <c r="L1573" s="23" t="n"/>
    </row>
    <row r="1574">
      <c r="K1574" s="23" t="n"/>
      <c r="L1574" s="23" t="n"/>
    </row>
    <row r="1575">
      <c r="K1575" s="23" t="n"/>
      <c r="L1575" s="23" t="n"/>
    </row>
    <row r="1576">
      <c r="K1576" s="23" t="n"/>
      <c r="L1576" s="23" t="n"/>
    </row>
    <row r="1577">
      <c r="K1577" s="23" t="n"/>
      <c r="L1577" s="23" t="n"/>
    </row>
    <row r="1578">
      <c r="K1578" s="23" t="n"/>
      <c r="L1578" s="23" t="n"/>
    </row>
    <row r="1579">
      <c r="K1579" s="23" t="n"/>
      <c r="L1579" s="23" t="n"/>
    </row>
    <row r="1580">
      <c r="K1580" s="23" t="n"/>
      <c r="L1580" s="23" t="n"/>
    </row>
    <row r="1581">
      <c r="K1581" s="23" t="n"/>
      <c r="L1581" s="23" t="n"/>
    </row>
    <row r="1582">
      <c r="K1582" s="23" t="n"/>
      <c r="L1582" s="23" t="n"/>
    </row>
    <row r="1583">
      <c r="K1583" s="23" t="n"/>
      <c r="L1583" s="23" t="n"/>
    </row>
    <row r="1584">
      <c r="K1584" s="23" t="n"/>
      <c r="L1584" s="23" t="n"/>
    </row>
    <row r="1585">
      <c r="K1585" s="23" t="n"/>
      <c r="L1585" s="23" t="n"/>
    </row>
    <row r="1586">
      <c r="K1586" s="23" t="n"/>
      <c r="L1586" s="23" t="n"/>
    </row>
    <row r="1587">
      <c r="K1587" s="23" t="n"/>
      <c r="L1587" s="23" t="n"/>
    </row>
    <row r="1588">
      <c r="K1588" s="23" t="n"/>
      <c r="L1588" s="23" t="n"/>
    </row>
    <row r="1589">
      <c r="K1589" s="23" t="n"/>
      <c r="L1589" s="23" t="n"/>
    </row>
    <row r="1590">
      <c r="K1590" s="23" t="n"/>
      <c r="L1590" s="23" t="n"/>
    </row>
    <row r="1591">
      <c r="K1591" s="23" t="n"/>
      <c r="L1591" s="23" t="n"/>
    </row>
    <row r="1592">
      <c r="K1592" s="23" t="n"/>
      <c r="L1592" s="23" t="n"/>
    </row>
    <row r="1593">
      <c r="K1593" s="23" t="n"/>
      <c r="L1593" s="23" t="n"/>
    </row>
    <row r="1594">
      <c r="K1594" s="23" t="n"/>
      <c r="L1594" s="23" t="n"/>
    </row>
    <row r="1595">
      <c r="K1595" s="23" t="n"/>
      <c r="L1595" s="23" t="n"/>
    </row>
    <row r="1596">
      <c r="K1596" s="23" t="n"/>
      <c r="L1596" s="23" t="n"/>
    </row>
    <row r="1597">
      <c r="K1597" s="23" t="n"/>
      <c r="L1597" s="23" t="n"/>
    </row>
    <row r="1598">
      <c r="K1598" s="23" t="n"/>
      <c r="L1598" s="23" t="n"/>
    </row>
    <row r="1599">
      <c r="K1599" s="23" t="n"/>
      <c r="L1599" s="23" t="n"/>
    </row>
    <row r="1600">
      <c r="K1600" s="23" t="n"/>
      <c r="L1600" s="23" t="n"/>
    </row>
    <row r="1601">
      <c r="K1601" s="23" t="n"/>
      <c r="L1601" s="23" t="n"/>
    </row>
    <row r="1602">
      <c r="K1602" s="23" t="n"/>
      <c r="L1602" s="23" t="n"/>
    </row>
    <row r="1603">
      <c r="K1603" s="23" t="n"/>
      <c r="L1603" s="23" t="n"/>
    </row>
    <row r="1604">
      <c r="K1604" s="23" t="n"/>
      <c r="L1604" s="23" t="n"/>
    </row>
    <row r="1605">
      <c r="K1605" s="23" t="n"/>
      <c r="L1605" s="23" t="n"/>
    </row>
    <row r="1606">
      <c r="K1606" s="23" t="n"/>
      <c r="L1606" s="23" t="n"/>
    </row>
    <row r="1607">
      <c r="K1607" s="23" t="n"/>
      <c r="L1607" s="23" t="n"/>
    </row>
    <row r="1608">
      <c r="K1608" s="23" t="n"/>
      <c r="L1608" s="23" t="n"/>
    </row>
    <row r="1609">
      <c r="K1609" s="23" t="n"/>
      <c r="L1609" s="23" t="n"/>
    </row>
    <row r="1610">
      <c r="K1610" s="23" t="n"/>
      <c r="L1610" s="23" t="n"/>
    </row>
    <row r="1611">
      <c r="K1611" s="23" t="n"/>
      <c r="L1611" s="23" t="n"/>
    </row>
    <row r="1612">
      <c r="K1612" s="23" t="n"/>
      <c r="L1612" s="23" t="n"/>
    </row>
    <row r="1613">
      <c r="K1613" s="23" t="n"/>
      <c r="L1613" s="23" t="n"/>
    </row>
    <row r="1614">
      <c r="K1614" s="23" t="n"/>
      <c r="L1614" s="23" t="n"/>
    </row>
    <row r="1615">
      <c r="K1615" s="23" t="n"/>
      <c r="L1615" s="23" t="n"/>
    </row>
    <row r="1616">
      <c r="K1616" s="23" t="n"/>
      <c r="L1616" s="23" t="n"/>
    </row>
    <row r="1617">
      <c r="K1617" s="23" t="n"/>
      <c r="L1617" s="23" t="n"/>
    </row>
    <row r="1618">
      <c r="K1618" s="23" t="n"/>
      <c r="L1618" s="23" t="n"/>
    </row>
    <row r="1619">
      <c r="K1619" s="23" t="n"/>
      <c r="L1619" s="23" t="n"/>
    </row>
    <row r="1620">
      <c r="K1620" s="23" t="n"/>
      <c r="L1620" s="23" t="n"/>
    </row>
    <row r="1621">
      <c r="K1621" s="23" t="n"/>
      <c r="L1621" s="23" t="n"/>
    </row>
    <row r="1622">
      <c r="K1622" s="23" t="n"/>
      <c r="L1622" s="23" t="n"/>
    </row>
    <row r="1623">
      <c r="K1623" s="23" t="n"/>
      <c r="L1623" s="23" t="n"/>
    </row>
    <row r="1624">
      <c r="K1624" s="23" t="n"/>
      <c r="L1624" s="23" t="n"/>
    </row>
    <row r="1625">
      <c r="K1625" s="23" t="n"/>
      <c r="L1625" s="23" t="n"/>
    </row>
    <row r="1626">
      <c r="K1626" s="23" t="n"/>
      <c r="L1626" s="23" t="n"/>
    </row>
    <row r="1627">
      <c r="K1627" s="23" t="n"/>
      <c r="L1627" s="23" t="n"/>
    </row>
    <row r="1628">
      <c r="K1628" s="23" t="n"/>
      <c r="L1628" s="23" t="n"/>
    </row>
    <row r="1629">
      <c r="K1629" s="23" t="n"/>
      <c r="L1629" s="23" t="n"/>
    </row>
    <row r="1630">
      <c r="K1630" s="23" t="n"/>
      <c r="L1630" s="23" t="n"/>
    </row>
    <row r="1631">
      <c r="K1631" s="23" t="n"/>
      <c r="L1631" s="23" t="n"/>
    </row>
    <row r="1632">
      <c r="K1632" s="23" t="n"/>
      <c r="L1632" s="23" t="n"/>
    </row>
    <row r="1633">
      <c r="K1633" s="23" t="n"/>
      <c r="L1633" s="23" t="n"/>
    </row>
    <row r="1634">
      <c r="K1634" s="23" t="n"/>
      <c r="L1634" s="23" t="n"/>
    </row>
    <row r="1635">
      <c r="K1635" s="23" t="n"/>
      <c r="L1635" s="23" t="n"/>
    </row>
    <row r="1636">
      <c r="K1636" s="23" t="n"/>
      <c r="L1636" s="23" t="n"/>
    </row>
    <row r="1637">
      <c r="K1637" s="23" t="n"/>
      <c r="L1637" s="23" t="n"/>
    </row>
    <row r="1638">
      <c r="K1638" s="23" t="n"/>
      <c r="L1638" s="23" t="n"/>
    </row>
    <row r="1639">
      <c r="K1639" s="23" t="n"/>
      <c r="L1639" s="23" t="n"/>
    </row>
    <row r="1640">
      <c r="K1640" s="23" t="n"/>
      <c r="L1640" s="23" t="n"/>
    </row>
    <row r="1641">
      <c r="K1641" s="23" t="n"/>
      <c r="L1641" s="23" t="n"/>
    </row>
    <row r="1642">
      <c r="K1642" s="23" t="n"/>
      <c r="L1642" s="23" t="n"/>
    </row>
    <row r="1643">
      <c r="K1643" s="23" t="n"/>
      <c r="L1643" s="23" t="n"/>
    </row>
    <row r="1644">
      <c r="K1644" s="23" t="n"/>
      <c r="L1644" s="23" t="n"/>
    </row>
    <row r="1645">
      <c r="K1645" s="23" t="n"/>
      <c r="L1645" s="23" t="n"/>
    </row>
    <row r="1646">
      <c r="K1646" s="23" t="n"/>
      <c r="L1646" s="23" t="n"/>
    </row>
    <row r="1647">
      <c r="K1647" s="23" t="n"/>
      <c r="L1647" s="23" t="n"/>
    </row>
    <row r="1648">
      <c r="K1648" s="23" t="n"/>
      <c r="L1648" s="23" t="n"/>
    </row>
    <row r="1649">
      <c r="K1649" s="23" t="n"/>
      <c r="L1649" s="23" t="n"/>
    </row>
    <row r="1650">
      <c r="K1650" s="23" t="n"/>
      <c r="L1650" s="23" t="n"/>
    </row>
    <row r="1651">
      <c r="K1651" s="23" t="n"/>
      <c r="L1651" s="23" t="n"/>
    </row>
    <row r="1652">
      <c r="K1652" s="23" t="n"/>
      <c r="L1652" s="23" t="n"/>
    </row>
    <row r="1653">
      <c r="K1653" s="23" t="n"/>
      <c r="L1653" s="23" t="n"/>
    </row>
    <row r="1654">
      <c r="K1654" s="23" t="n"/>
      <c r="L1654" s="23" t="n"/>
    </row>
    <row r="1655">
      <c r="K1655" s="23" t="n"/>
      <c r="L1655" s="23" t="n"/>
    </row>
    <row r="1656">
      <c r="K1656" s="23" t="n"/>
      <c r="L1656" s="23" t="n"/>
    </row>
    <row r="1657">
      <c r="K1657" s="23" t="n"/>
      <c r="L1657" s="23" t="n"/>
    </row>
    <row r="1658">
      <c r="K1658" s="23" t="n"/>
      <c r="L1658" s="23" t="n"/>
    </row>
    <row r="1659">
      <c r="K1659" s="23" t="n"/>
      <c r="L1659" s="23" t="n"/>
    </row>
    <row r="1660">
      <c r="K1660" s="23" t="n"/>
      <c r="L1660" s="23" t="n"/>
    </row>
    <row r="1661">
      <c r="K1661" s="23" t="n"/>
      <c r="L1661" s="23" t="n"/>
    </row>
    <row r="1662">
      <c r="K1662" s="23" t="n"/>
      <c r="L1662" s="23" t="n"/>
    </row>
    <row r="1663">
      <c r="K1663" s="23" t="n"/>
      <c r="L1663" s="23" t="n"/>
    </row>
    <row r="1664">
      <c r="K1664" s="23" t="n"/>
      <c r="L1664" s="23" t="n"/>
    </row>
    <row r="1665">
      <c r="K1665" s="23" t="n"/>
      <c r="L1665" s="23" t="n"/>
    </row>
    <row r="1666">
      <c r="K1666" s="23" t="n"/>
      <c r="L1666" s="23" t="n"/>
    </row>
    <row r="1667">
      <c r="K1667" s="23" t="n"/>
      <c r="L1667" s="23" t="n"/>
    </row>
    <row r="1668">
      <c r="K1668" s="23" t="n"/>
      <c r="L1668" s="23" t="n"/>
    </row>
    <row r="1669">
      <c r="K1669" s="23" t="n"/>
      <c r="L1669" s="23" t="n"/>
    </row>
    <row r="1670">
      <c r="K1670" s="23" t="n"/>
      <c r="L1670" s="23" t="n"/>
    </row>
    <row r="1671">
      <c r="K1671" s="23" t="n"/>
      <c r="L1671" s="23" t="n"/>
    </row>
    <row r="1672">
      <c r="K1672" s="23" t="n"/>
      <c r="L1672" s="23" t="n"/>
    </row>
    <row r="1673">
      <c r="K1673" s="23" t="n"/>
      <c r="L1673" s="23" t="n"/>
    </row>
    <row r="1674">
      <c r="K1674" s="23" t="n"/>
      <c r="L1674" s="23" t="n"/>
    </row>
    <row r="1675">
      <c r="K1675" s="23" t="n"/>
      <c r="L1675" s="23" t="n"/>
    </row>
    <row r="1676">
      <c r="K1676" s="23" t="n"/>
      <c r="L1676" s="23" t="n"/>
    </row>
    <row r="1677">
      <c r="K1677" s="23" t="n"/>
      <c r="L1677" s="23" t="n"/>
    </row>
    <row r="1678">
      <c r="K1678" s="23" t="n"/>
      <c r="L1678" s="23" t="n"/>
    </row>
    <row r="1679">
      <c r="K1679" s="23" t="n"/>
      <c r="L1679" s="23" t="n"/>
    </row>
    <row r="1680">
      <c r="K1680" s="23" t="n"/>
      <c r="L1680" s="23" t="n"/>
    </row>
    <row r="1681">
      <c r="K1681" s="23" t="n"/>
      <c r="L1681" s="23" t="n"/>
    </row>
    <row r="1682">
      <c r="K1682" s="23" t="n"/>
      <c r="L1682" s="23" t="n"/>
    </row>
    <row r="1683">
      <c r="K1683" s="23" t="n"/>
      <c r="L1683" s="23" t="n"/>
    </row>
    <row r="1684">
      <c r="K1684" s="23" t="n"/>
      <c r="L1684" s="23" t="n"/>
    </row>
    <row r="1685">
      <c r="K1685" s="23" t="n"/>
      <c r="L1685" s="23" t="n"/>
    </row>
    <row r="1686">
      <c r="K1686" s="23" t="n"/>
      <c r="L1686" s="23" t="n"/>
    </row>
    <row r="1687">
      <c r="K1687" s="23" t="n"/>
      <c r="L1687" s="23" t="n"/>
    </row>
    <row r="1688">
      <c r="K1688" s="23" t="n"/>
      <c r="L1688" s="23" t="n"/>
    </row>
    <row r="1689">
      <c r="K1689" s="23" t="n"/>
      <c r="L1689" s="23" t="n"/>
    </row>
    <row r="1690">
      <c r="K1690" s="23" t="n"/>
      <c r="L1690" s="23" t="n"/>
    </row>
    <row r="1691">
      <c r="K1691" s="23" t="n"/>
      <c r="L1691" s="23" t="n"/>
    </row>
    <row r="1692">
      <c r="K1692" s="23" t="n"/>
      <c r="L1692" s="23" t="n"/>
    </row>
    <row r="1693">
      <c r="K1693" s="23" t="n"/>
      <c r="L1693" s="23" t="n"/>
    </row>
    <row r="1694">
      <c r="K1694" s="23" t="n"/>
      <c r="L1694" s="23" t="n"/>
    </row>
    <row r="1695">
      <c r="K1695" s="23" t="n"/>
      <c r="L1695" s="23" t="n"/>
    </row>
    <row r="1696">
      <c r="K1696" s="23" t="n"/>
      <c r="L1696" s="23" t="n"/>
    </row>
    <row r="1697">
      <c r="K1697" s="23" t="n"/>
      <c r="L1697" s="23" t="n"/>
    </row>
    <row r="1698">
      <c r="K1698" s="23" t="n"/>
      <c r="L1698" s="23" t="n"/>
    </row>
    <row r="1699">
      <c r="K1699" s="23" t="n"/>
      <c r="L1699" s="23" t="n"/>
    </row>
    <row r="1700">
      <c r="K1700" s="23" t="n"/>
      <c r="L1700" s="23" t="n"/>
    </row>
    <row r="1701">
      <c r="K1701" s="23" t="n"/>
      <c r="L1701" s="23" t="n"/>
    </row>
    <row r="1702">
      <c r="K1702" s="23" t="n"/>
      <c r="L1702" s="23" t="n"/>
    </row>
    <row r="1703">
      <c r="K1703" s="23" t="n"/>
      <c r="L1703" s="23" t="n"/>
    </row>
    <row r="1704">
      <c r="K1704" s="23" t="n"/>
      <c r="L1704" s="23" t="n"/>
    </row>
    <row r="1705">
      <c r="K1705" s="23" t="n"/>
      <c r="L1705" s="23" t="n"/>
    </row>
    <row r="1706">
      <c r="K1706" s="23" t="n"/>
      <c r="L1706" s="23" t="n"/>
    </row>
    <row r="1707">
      <c r="K1707" s="23" t="n"/>
      <c r="L1707" s="23" t="n"/>
    </row>
    <row r="1708">
      <c r="K1708" s="23" t="n"/>
      <c r="L1708" s="23" t="n"/>
    </row>
    <row r="1709">
      <c r="K1709" s="23" t="n"/>
      <c r="L1709" s="23" t="n"/>
    </row>
    <row r="1710">
      <c r="K1710" s="23" t="n"/>
      <c r="L1710" s="23" t="n"/>
    </row>
    <row r="1711">
      <c r="K1711" s="23" t="n"/>
      <c r="L1711" s="23" t="n"/>
    </row>
    <row r="1712">
      <c r="K1712" s="23" t="n"/>
      <c r="L1712" s="23" t="n"/>
    </row>
    <row r="1713">
      <c r="K1713" s="23" t="n"/>
      <c r="L1713" s="23" t="n"/>
    </row>
    <row r="1714">
      <c r="K1714" s="23" t="n"/>
      <c r="L1714" s="23" t="n"/>
    </row>
    <row r="1715">
      <c r="K1715" s="23" t="n"/>
      <c r="L1715" s="23" t="n"/>
    </row>
    <row r="1716">
      <c r="K1716" s="23" t="n"/>
      <c r="L1716" s="23" t="n"/>
    </row>
    <row r="1717">
      <c r="K1717" s="23" t="n"/>
      <c r="L1717" s="23" t="n"/>
    </row>
  </sheetData>
  <autoFilter ref="A1:O140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84"/>
  <sheetViews>
    <sheetView topLeftCell="A11" workbookViewId="0">
      <selection activeCell="K2" sqref="K2"/>
    </sheetView>
  </sheetViews>
  <sheetFormatPr baseColWidth="8" defaultRowHeight="15.6"/>
  <sheetData>
    <row r="1" ht="105.6" customHeight="1">
      <c r="A1" s="5" t="inlineStr">
        <is>
          <t>Code</t>
        </is>
      </c>
      <c r="B1" s="6" t="inlineStr">
        <is>
          <t>Date Hired</t>
        </is>
      </c>
      <c r="C1" s="6" t="inlineStr">
        <is>
          <t>Job Classification</t>
        </is>
      </c>
      <c r="D1" s="6" t="inlineStr">
        <is>
          <t>Column2</t>
        </is>
      </c>
      <c r="E1" s="6" t="inlineStr">
        <is>
          <t>Employment Type</t>
        </is>
      </c>
      <c r="F1" s="6" t="inlineStr">
        <is>
          <t>Award Type</t>
        </is>
      </c>
      <c r="G1" s="6" t="inlineStr">
        <is>
          <t>Physical State</t>
        </is>
      </c>
      <c r="H1" s="7" t="inlineStr">
        <is>
          <t>Normal Hours Paid</t>
        </is>
      </c>
      <c r="I1" s="6" t="inlineStr">
        <is>
          <t>Payroll Company</t>
        </is>
      </c>
      <c r="J1" s="6" t="inlineStr">
        <is>
          <t>Column1</t>
        </is>
      </c>
      <c r="K1" s="6" t="inlineStr">
        <is>
          <t>Long Service Leave Balance</t>
        </is>
      </c>
      <c r="L1" s="6" t="inlineStr">
        <is>
          <t>Long Service Leave Post Prorata Hours</t>
        </is>
      </c>
      <c r="M1" s="8" t="inlineStr">
        <is>
          <t>Long Service Leave Post Prorata Date (Last Processed Period End Date)</t>
        </is>
      </c>
      <c r="N1" s="9" t="inlineStr">
        <is>
          <t>Long Service Leave Post Entitlement Date</t>
        </is>
      </c>
      <c r="O1" s="10" t="inlineStr">
        <is>
          <t>Long Service Leave Post Entitlement Hours</t>
        </is>
      </c>
      <c r="P1" s="6" t="inlineStr">
        <is>
          <t>Long Service Leave Taken</t>
        </is>
      </c>
      <c r="Q1" s="9" t="inlineStr">
        <is>
          <t>Termination Date</t>
        </is>
      </c>
    </row>
    <row r="2" ht="52.8" customHeight="1">
      <c r="A2" s="11" t="n">
        <v>20</v>
      </c>
      <c r="B2" s="12" t="n">
        <v>41015</v>
      </c>
      <c r="C2" s="11" t="inlineStr">
        <is>
          <t>Registered Nurse</t>
        </is>
      </c>
      <c r="D2" s="11" t="n"/>
      <c r="E2" s="11" t="inlineStr">
        <is>
          <t>CA - Casual</t>
        </is>
      </c>
      <c r="F2" s="11" t="inlineStr">
        <is>
          <t>TAS IVF Nurses Enterprise Agreement</t>
        </is>
      </c>
      <c r="G2" s="11" t="inlineStr">
        <is>
          <t>Tasmania</t>
        </is>
      </c>
      <c r="H2" s="13" t="inlineStr"/>
      <c r="I2" s="11" t="inlineStr">
        <is>
          <t>TAS IVF PTY LTD</t>
        </is>
      </c>
      <c r="J2" s="11" t="n"/>
      <c r="K2" s="14" t="n"/>
      <c r="L2" s="13" t="inlineStr"/>
      <c r="M2" s="12" t="n">
        <v>41015</v>
      </c>
      <c r="N2" s="12" t="n">
        <v>41015</v>
      </c>
      <c r="O2" s="13" t="inlineStr"/>
      <c r="P2" s="13" t="inlineStr"/>
      <c r="Q2" s="12" t="n"/>
    </row>
    <row r="3" ht="52.8" customHeight="1">
      <c r="A3" s="15" t="n">
        <v>994</v>
      </c>
      <c r="B3" s="16" t="n">
        <v>42928</v>
      </c>
      <c r="C3" s="15" t="inlineStr">
        <is>
          <t>Health Information Manager</t>
        </is>
      </c>
      <c r="D3" s="15" t="n"/>
      <c r="E3" s="15" t="inlineStr">
        <is>
          <t>CA - Casual</t>
        </is>
      </c>
      <c r="F3" s="15" t="inlineStr">
        <is>
          <t>Common Law Employment Contract</t>
        </is>
      </c>
      <c r="G3" s="15" t="inlineStr">
        <is>
          <t>Victoria</t>
        </is>
      </c>
      <c r="H3" s="17" t="inlineStr"/>
      <c r="I3" s="15" t="inlineStr">
        <is>
          <t>MELBOURNE IVF</t>
        </is>
      </c>
      <c r="J3" s="15" t="n"/>
      <c r="K3" s="18" t="n"/>
      <c r="L3" s="17" t="inlineStr"/>
      <c r="M3" s="16" t="n">
        <v>42928</v>
      </c>
      <c r="N3" s="16" t="n">
        <v>42928</v>
      </c>
      <c r="O3" s="17" t="inlineStr"/>
      <c r="P3" s="17" t="inlineStr"/>
      <c r="Q3" s="16" t="n"/>
    </row>
    <row r="4" ht="52.8" customHeight="1">
      <c r="A4" s="11" t="n">
        <v>1140</v>
      </c>
      <c r="B4" s="12" t="n">
        <v>43726</v>
      </c>
      <c r="C4" s="11" t="inlineStr">
        <is>
          <t>Registered Nurse</t>
        </is>
      </c>
      <c r="D4" s="11" t="n"/>
      <c r="E4" s="11" t="inlineStr">
        <is>
          <t>CA - Casual</t>
        </is>
      </c>
      <c r="F4" s="11" t="inlineStr">
        <is>
          <t>Melbourne IVF Nurses Enterprise Agreement</t>
        </is>
      </c>
      <c r="G4" s="11" t="inlineStr">
        <is>
          <t>Victoria</t>
        </is>
      </c>
      <c r="H4" s="13" t="inlineStr"/>
      <c r="I4" s="11" t="inlineStr">
        <is>
          <t>MELBOURNE IVF</t>
        </is>
      </c>
      <c r="J4" s="11" t="n"/>
      <c r="K4" s="14" t="n"/>
      <c r="L4" s="13" t="inlineStr"/>
      <c r="M4" s="12" t="n">
        <v>43726</v>
      </c>
      <c r="N4" s="12" t="n">
        <v>43726</v>
      </c>
      <c r="O4" s="13" t="inlineStr"/>
      <c r="P4" s="13" t="inlineStr"/>
      <c r="Q4" s="12" t="n"/>
    </row>
    <row r="5" ht="52.8" customHeight="1">
      <c r="A5" s="15" t="n">
        <v>105</v>
      </c>
      <c r="B5" s="16" t="n">
        <v>43959</v>
      </c>
      <c r="C5" s="15" t="inlineStr">
        <is>
          <t>Enrolled Nurse</t>
        </is>
      </c>
      <c r="D5" s="15" t="n"/>
      <c r="E5" s="15" t="inlineStr">
        <is>
          <t>CA - Casual</t>
        </is>
      </c>
      <c r="F5" s="15" t="inlineStr">
        <is>
          <t>TAS IVF Nurses Enterprise Agreement</t>
        </is>
      </c>
      <c r="G5" s="15" t="inlineStr">
        <is>
          <t>Tasmania</t>
        </is>
      </c>
      <c r="H5" s="17" t="inlineStr"/>
      <c r="I5" s="15" t="inlineStr">
        <is>
          <t>TAS IVF PTY LTD</t>
        </is>
      </c>
      <c r="J5" s="15" t="n"/>
      <c r="K5" s="18" t="n"/>
      <c r="L5" s="17" t="inlineStr"/>
      <c r="M5" s="16" t="n">
        <v>43959</v>
      </c>
      <c r="N5" s="16" t="n">
        <v>43959</v>
      </c>
      <c r="O5" s="17" t="inlineStr"/>
      <c r="P5" s="17" t="inlineStr"/>
      <c r="Q5" s="16" t="n"/>
    </row>
    <row r="6" ht="52.8" customHeight="1">
      <c r="A6" s="11" t="n">
        <v>109</v>
      </c>
      <c r="B6" s="12" t="n">
        <v>43991</v>
      </c>
      <c r="C6" s="11" t="inlineStr">
        <is>
          <t>Registered Nurse</t>
        </is>
      </c>
      <c r="D6" s="11" t="n"/>
      <c r="E6" s="11" t="inlineStr">
        <is>
          <t>CA - Casual</t>
        </is>
      </c>
      <c r="F6" s="11" t="inlineStr">
        <is>
          <t>TAS IVF Nurses Enterprise Agreement</t>
        </is>
      </c>
      <c r="G6" s="11" t="inlineStr">
        <is>
          <t>Tasmania</t>
        </is>
      </c>
      <c r="H6" s="13" t="inlineStr"/>
      <c r="I6" s="11" t="inlineStr">
        <is>
          <t>TAS IVF PTY LTD</t>
        </is>
      </c>
      <c r="J6" s="11" t="n"/>
      <c r="K6" s="14" t="n"/>
      <c r="L6" s="13" t="inlineStr"/>
      <c r="M6" s="12" t="n">
        <v>43991</v>
      </c>
      <c r="N6" s="12" t="n">
        <v>43991</v>
      </c>
      <c r="O6" s="13" t="inlineStr"/>
      <c r="P6" s="13" t="inlineStr"/>
      <c r="Q6" s="12" t="n"/>
    </row>
    <row r="7" ht="52.8" customHeight="1">
      <c r="A7" s="15" t="n">
        <v>1198</v>
      </c>
      <c r="B7" s="16" t="n">
        <v>44008</v>
      </c>
      <c r="C7" s="15" t="inlineStr">
        <is>
          <t>Enrolled Nurse</t>
        </is>
      </c>
      <c r="D7" s="15" t="n"/>
      <c r="E7" s="15" t="inlineStr">
        <is>
          <t>CA - Casual</t>
        </is>
      </c>
      <c r="F7" s="15" t="inlineStr">
        <is>
          <t>Melbourne IVF Nurses Enterprise Agreement</t>
        </is>
      </c>
      <c r="G7" s="15" t="inlineStr">
        <is>
          <t>Victoria</t>
        </is>
      </c>
      <c r="H7" s="17" t="inlineStr"/>
      <c r="I7" s="15" t="inlineStr">
        <is>
          <t>MELBOURNE IVF</t>
        </is>
      </c>
      <c r="J7" s="15" t="n"/>
      <c r="K7" s="18" t="n"/>
      <c r="L7" s="17" t="inlineStr"/>
      <c r="M7" s="16" t="n">
        <v>44008</v>
      </c>
      <c r="N7" s="16" t="n">
        <v>44008</v>
      </c>
      <c r="O7" s="17" t="inlineStr"/>
      <c r="P7" s="17" t="inlineStr"/>
      <c r="Q7" s="16" t="n"/>
    </row>
    <row r="8" ht="66" customHeight="1">
      <c r="A8" s="11" t="n">
        <v>115</v>
      </c>
      <c r="B8" s="12" t="n">
        <v>44032</v>
      </c>
      <c r="C8" s="11" t="inlineStr">
        <is>
          <t>CSSD Theatre Technician</t>
        </is>
      </c>
      <c r="D8" s="11" t="n"/>
      <c r="E8" s="11" t="inlineStr">
        <is>
          <t>CA - Casual</t>
        </is>
      </c>
      <c r="F8" s="11" t="inlineStr">
        <is>
          <t>TAS IVF Support Services Enterprise Agreement</t>
        </is>
      </c>
      <c r="G8" s="11" t="inlineStr">
        <is>
          <t>Tasmania</t>
        </is>
      </c>
      <c r="H8" s="13" t="inlineStr"/>
      <c r="I8" s="11" t="inlineStr">
        <is>
          <t>TAS IVF PTY LTD</t>
        </is>
      </c>
      <c r="J8" s="11" t="n"/>
      <c r="K8" s="14" t="n"/>
      <c r="L8" s="13" t="inlineStr"/>
      <c r="M8" s="12" t="n">
        <v>44032</v>
      </c>
      <c r="N8" s="12" t="n">
        <v>44032</v>
      </c>
      <c r="O8" s="13" t="inlineStr"/>
      <c r="P8" s="13" t="inlineStr"/>
      <c r="Q8" s="12" t="n"/>
    </row>
    <row r="9" ht="79.2" customHeight="1">
      <c r="A9" s="15" t="n">
        <v>1262</v>
      </c>
      <c r="B9" s="16" t="n">
        <v>44292</v>
      </c>
      <c r="C9" s="15" t="inlineStr">
        <is>
          <t>Courier</t>
        </is>
      </c>
      <c r="D9" s="15" t="n"/>
      <c r="E9" s="15" t="inlineStr">
        <is>
          <t>CA - Casual</t>
        </is>
      </c>
      <c r="F9" s="15" t="inlineStr">
        <is>
          <t>Health Professionals and Support Services Award</t>
        </is>
      </c>
      <c r="G9" s="15" t="inlineStr">
        <is>
          <t>Victoria</t>
        </is>
      </c>
      <c r="H9" s="17" t="inlineStr"/>
      <c r="I9" s="15" t="inlineStr">
        <is>
          <t>MELBOURNE IVF</t>
        </is>
      </c>
      <c r="J9" s="15" t="n"/>
      <c r="K9" s="18" t="n"/>
      <c r="L9" s="17" t="inlineStr"/>
      <c r="M9" s="16" t="n">
        <v>44292</v>
      </c>
      <c r="N9" s="16" t="n">
        <v>44292</v>
      </c>
      <c r="O9" s="17" t="inlineStr"/>
      <c r="P9" s="17" t="inlineStr"/>
      <c r="Q9" s="16" t="n"/>
    </row>
    <row r="10" ht="52.8" customHeight="1">
      <c r="A10" s="11" t="n">
        <v>1324</v>
      </c>
      <c r="B10" s="12" t="n">
        <v>44522</v>
      </c>
      <c r="C10" s="11" t="inlineStr">
        <is>
          <t>Registered Nurse</t>
        </is>
      </c>
      <c r="D10" s="11" t="n"/>
      <c r="E10" s="11" t="inlineStr">
        <is>
          <t>CA - Casual</t>
        </is>
      </c>
      <c r="F10" s="11" t="inlineStr">
        <is>
          <t>Melbourne IVF Nurses Enterprise Agreement</t>
        </is>
      </c>
      <c r="G10" s="11" t="inlineStr">
        <is>
          <t>Victoria</t>
        </is>
      </c>
      <c r="H10" s="13" t="inlineStr"/>
      <c r="I10" s="11" t="inlineStr">
        <is>
          <t>MELBOURNE IVF</t>
        </is>
      </c>
      <c r="J10" s="11" t="n"/>
      <c r="K10" s="14" t="n"/>
      <c r="L10" s="13" t="inlineStr"/>
      <c r="M10" s="12" t="n">
        <v>44522</v>
      </c>
      <c r="N10" s="12" t="n">
        <v>44522</v>
      </c>
      <c r="O10" s="13" t="inlineStr"/>
      <c r="P10" s="13" t="inlineStr"/>
      <c r="Q10" s="12" t="n"/>
    </row>
    <row r="11" ht="52.8" customHeight="1">
      <c r="A11" s="15" t="n">
        <v>1441</v>
      </c>
      <c r="B11" s="16" t="n">
        <v>44525</v>
      </c>
      <c r="C11" s="15" t="inlineStr">
        <is>
          <t>Enrolled Nurse</t>
        </is>
      </c>
      <c r="D11" s="15" t="n"/>
      <c r="E11" s="15" t="inlineStr">
        <is>
          <t>CA - Casual</t>
        </is>
      </c>
      <c r="F11" s="15" t="inlineStr">
        <is>
          <t>Melbourne IVF Nurses Enterprise Agreement</t>
        </is>
      </c>
      <c r="G11" s="15" t="inlineStr">
        <is>
          <t>Victoria</t>
        </is>
      </c>
      <c r="H11" s="17" t="inlineStr"/>
      <c r="I11" s="15" t="inlineStr">
        <is>
          <t>MELBOURNE IVF</t>
        </is>
      </c>
      <c r="J11" s="15" t="n"/>
      <c r="K11" s="18" t="n"/>
      <c r="L11" s="17" t="inlineStr"/>
      <c r="M11" s="16" t="n">
        <v>44525</v>
      </c>
      <c r="N11" s="16" t="n">
        <v>44525</v>
      </c>
      <c r="O11" s="17" t="inlineStr"/>
      <c r="P11" s="17" t="inlineStr"/>
      <c r="Q11" s="16" t="n"/>
    </row>
    <row r="12" ht="52.8" customHeight="1">
      <c r="A12" s="11" t="n">
        <v>141</v>
      </c>
      <c r="B12" s="12" t="n">
        <v>44529</v>
      </c>
      <c r="C12" s="11" t="inlineStr">
        <is>
          <t>Registered Nurse</t>
        </is>
      </c>
      <c r="D12" s="11" t="n"/>
      <c r="E12" s="11" t="inlineStr">
        <is>
          <t>CA - Casual</t>
        </is>
      </c>
      <c r="F12" s="11" t="inlineStr">
        <is>
          <t>TAS IVF Nurses Enterprise Agreement</t>
        </is>
      </c>
      <c r="G12" s="11" t="inlineStr">
        <is>
          <t>Tasmania</t>
        </is>
      </c>
      <c r="H12" s="13" t="inlineStr"/>
      <c r="I12" s="11" t="inlineStr">
        <is>
          <t>TAS IVF PTY LTD</t>
        </is>
      </c>
      <c r="J12" s="11" t="n"/>
      <c r="K12" s="14" t="n"/>
      <c r="L12" s="13" t="inlineStr"/>
      <c r="M12" s="12" t="n">
        <v>44529</v>
      </c>
      <c r="N12" s="12" t="n">
        <v>44529</v>
      </c>
      <c r="O12" s="13" t="inlineStr"/>
      <c r="P12" s="13" t="inlineStr"/>
      <c r="Q12" s="12" t="n"/>
    </row>
    <row r="13" ht="52.8" customHeight="1">
      <c r="A13" s="15" t="n">
        <v>1459</v>
      </c>
      <c r="B13" s="16" t="n">
        <v>44648</v>
      </c>
      <c r="C13" s="15" t="inlineStr">
        <is>
          <t>Registered Nurse</t>
        </is>
      </c>
      <c r="D13" s="15" t="n"/>
      <c r="E13" s="15" t="inlineStr">
        <is>
          <t>CA - Casual</t>
        </is>
      </c>
      <c r="F13" s="15" t="inlineStr">
        <is>
          <t>Melbourne IVF Nurses Enterprise Agreement</t>
        </is>
      </c>
      <c r="G13" s="15" t="inlineStr">
        <is>
          <t>Victoria</t>
        </is>
      </c>
      <c r="H13" s="17" t="inlineStr"/>
      <c r="I13" s="15" t="inlineStr">
        <is>
          <t>MELBOURNE IVF</t>
        </is>
      </c>
      <c r="J13" s="15" t="n"/>
      <c r="K13" s="18" t="n"/>
      <c r="L13" s="17" t="inlineStr"/>
      <c r="M13" s="16" t="n">
        <v>44648</v>
      </c>
      <c r="N13" s="16" t="n">
        <v>44648</v>
      </c>
      <c r="O13" s="17" t="inlineStr"/>
      <c r="P13" s="17" t="inlineStr"/>
      <c r="Q13" s="16" t="n"/>
    </row>
    <row r="14" ht="52.8" customHeight="1">
      <c r="A14" s="11" t="n">
        <v>529</v>
      </c>
      <c r="B14" s="12" t="n">
        <v>41043</v>
      </c>
      <c r="C14" s="11" t="inlineStr">
        <is>
          <t>Registered Nurse</t>
        </is>
      </c>
      <c r="D14" s="11" t="n"/>
      <c r="E14" s="11" t="inlineStr">
        <is>
          <t>CA - Casual</t>
        </is>
      </c>
      <c r="F14" s="11" t="inlineStr">
        <is>
          <t>Melbourne IVF Nurses Enterprise Agreement</t>
        </is>
      </c>
      <c r="G14" s="11" t="inlineStr">
        <is>
          <t>Victoria</t>
        </is>
      </c>
      <c r="H14" s="13" t="inlineStr"/>
      <c r="I14" s="11" t="inlineStr">
        <is>
          <t>MELBOURNE IVF</t>
        </is>
      </c>
      <c r="J14" s="11" t="n"/>
      <c r="K14" s="14" t="n">
        <v>-0.2</v>
      </c>
      <c r="L14" s="13" t="inlineStr">
        <is>
          <t>195.00</t>
        </is>
      </c>
      <c r="M14" s="12" t="n">
        <v>44695</v>
      </c>
      <c r="N14" s="12" t="n">
        <v>41043</v>
      </c>
      <c r="O14" s="13" t="inlineStr"/>
      <c r="P14" s="13" t="inlineStr">
        <is>
          <t>195.20</t>
        </is>
      </c>
      <c r="Q14" s="12" t="n"/>
    </row>
    <row r="15" ht="52.8" customHeight="1">
      <c r="A15" s="15" t="inlineStr">
        <is>
          <t>AU22629</t>
        </is>
      </c>
      <c r="B15" s="16" t="n">
        <v>44821</v>
      </c>
      <c r="C15" s="15" t="inlineStr">
        <is>
          <t>Enrolled Nurse</t>
        </is>
      </c>
      <c r="D15" s="15" t="n"/>
      <c r="E15" s="15" t="inlineStr">
        <is>
          <t>CA - Casual</t>
        </is>
      </c>
      <c r="F15" s="15" t="inlineStr">
        <is>
          <t>Melbourne IVF Nurses Enterprise Agreement</t>
        </is>
      </c>
      <c r="G15" s="15" t="inlineStr">
        <is>
          <t>Victoria</t>
        </is>
      </c>
      <c r="H15" s="17" t="inlineStr"/>
      <c r="I15" s="15" t="inlineStr">
        <is>
          <t>MELBOURNE IVF</t>
        </is>
      </c>
      <c r="J15" s="15" t="n"/>
      <c r="K15" s="18" t="n"/>
      <c r="L15" s="17" t="inlineStr"/>
      <c r="M15" s="16" t="n">
        <v>44821</v>
      </c>
      <c r="N15" s="16" t="n">
        <v>44821</v>
      </c>
      <c r="O15" s="17" t="inlineStr"/>
      <c r="P15" s="17" t="inlineStr"/>
      <c r="Q15" s="16" t="n"/>
    </row>
    <row r="16" ht="52.8" customHeight="1">
      <c r="A16" s="11" t="inlineStr">
        <is>
          <t>AU22641</t>
        </is>
      </c>
      <c r="B16" s="12" t="n">
        <v>44890</v>
      </c>
      <c r="C16" s="11" t="inlineStr">
        <is>
          <t>Registered Nurse</t>
        </is>
      </c>
      <c r="D16" s="11" t="n"/>
      <c r="E16" s="11" t="inlineStr">
        <is>
          <t>CA - Casual</t>
        </is>
      </c>
      <c r="F16" s="11" t="inlineStr">
        <is>
          <t>TAS IVF Nurses Enterprise Agreement</t>
        </is>
      </c>
      <c r="G16" s="11" t="inlineStr">
        <is>
          <t>Tasmania</t>
        </is>
      </c>
      <c r="H16" s="13" t="inlineStr"/>
      <c r="I16" s="11" t="inlineStr">
        <is>
          <t>TAS IVF PTY LTD</t>
        </is>
      </c>
      <c r="J16" s="11" t="n"/>
      <c r="K16" s="14" t="n"/>
      <c r="L16" s="13" t="inlineStr"/>
      <c r="M16" s="12" t="n">
        <v>44890</v>
      </c>
      <c r="N16" s="12" t="n">
        <v>44890</v>
      </c>
      <c r="O16" s="13" t="inlineStr"/>
      <c r="P16" s="13" t="inlineStr"/>
      <c r="Q16" s="12" t="n"/>
    </row>
    <row r="17" ht="52.8" customHeight="1">
      <c r="A17" s="15" t="inlineStr">
        <is>
          <t>AU22686</t>
        </is>
      </c>
      <c r="B17" s="16" t="n">
        <v>44909</v>
      </c>
      <c r="C17" s="15" t="inlineStr">
        <is>
          <t>Registered Nurse</t>
        </is>
      </c>
      <c r="D17" s="15" t="n"/>
      <c r="E17" s="15" t="inlineStr">
        <is>
          <t>CA - Casual</t>
        </is>
      </c>
      <c r="F17" s="15" t="inlineStr">
        <is>
          <t>Melbourne IVF Nurses Enterprise Agreement</t>
        </is>
      </c>
      <c r="G17" s="15" t="inlineStr">
        <is>
          <t>Victoria</t>
        </is>
      </c>
      <c r="H17" s="17" t="inlineStr"/>
      <c r="I17" s="15" t="inlineStr">
        <is>
          <t>MELBOURNE IVF</t>
        </is>
      </c>
      <c r="J17" s="15" t="n"/>
      <c r="K17" s="18" t="n"/>
      <c r="L17" s="17" t="inlineStr"/>
      <c r="M17" s="16" t="n">
        <v>44909</v>
      </c>
      <c r="N17" s="16" t="n">
        <v>44909</v>
      </c>
      <c r="O17" s="17" t="inlineStr"/>
      <c r="P17" s="17" t="inlineStr"/>
      <c r="Q17" s="16" t="n"/>
    </row>
    <row r="18" ht="66" customHeight="1">
      <c r="A18" s="11" t="inlineStr">
        <is>
          <t>AU22704</t>
        </is>
      </c>
      <c r="B18" s="12" t="n">
        <v>44935</v>
      </c>
      <c r="C18" s="11" t="inlineStr">
        <is>
          <t>Administration Clerk</t>
        </is>
      </c>
      <c r="D18" s="11" t="n"/>
      <c r="E18" s="11" t="inlineStr">
        <is>
          <t>CA - Casual</t>
        </is>
      </c>
      <c r="F18" s="11" t="inlineStr">
        <is>
          <t>Melbourne IVF Support Services Enterprise Agreement</t>
        </is>
      </c>
      <c r="G18" s="11" t="inlineStr">
        <is>
          <t>Victoria</t>
        </is>
      </c>
      <c r="H18" s="13" t="inlineStr"/>
      <c r="I18" s="11" t="inlineStr">
        <is>
          <t>MELBOURNE IVF</t>
        </is>
      </c>
      <c r="J18" s="11" t="n"/>
      <c r="K18" s="14" t="n"/>
      <c r="L18" s="13" t="inlineStr"/>
      <c r="M18" s="12" t="n">
        <v>44935</v>
      </c>
      <c r="N18" s="12" t="n">
        <v>44935</v>
      </c>
      <c r="O18" s="13" t="inlineStr"/>
      <c r="P18" s="13" t="inlineStr"/>
      <c r="Q18" s="12" t="n"/>
    </row>
    <row r="19" ht="52.8" customHeight="1">
      <c r="A19" s="15" t="n">
        <v>932</v>
      </c>
      <c r="B19" s="16" t="n">
        <v>42443</v>
      </c>
      <c r="C19" s="15" t="inlineStr">
        <is>
          <t>Registered Nurse</t>
        </is>
      </c>
      <c r="D19" s="15" t="n"/>
      <c r="E19" s="15" t="inlineStr">
        <is>
          <t>CA - Casual</t>
        </is>
      </c>
      <c r="F19" s="15" t="inlineStr">
        <is>
          <t>Melbourne IVF Nurses Enterprise Agreement</t>
        </is>
      </c>
      <c r="G19" s="15" t="inlineStr">
        <is>
          <t>Victoria</t>
        </is>
      </c>
      <c r="H19" s="17" t="inlineStr"/>
      <c r="I19" s="15" t="inlineStr">
        <is>
          <t>MELBOURNE IVF</t>
        </is>
      </c>
      <c r="J19" s="15" t="n"/>
      <c r="K19" s="18" t="n"/>
      <c r="L19" s="17" t="inlineStr">
        <is>
          <t>72.72</t>
        </is>
      </c>
      <c r="M19" s="16" t="n">
        <v>44990</v>
      </c>
      <c r="N19" s="16" t="n">
        <v>42443</v>
      </c>
      <c r="O19" s="17" t="inlineStr"/>
      <c r="P19" s="17" t="inlineStr">
        <is>
          <t>72.72</t>
        </is>
      </c>
      <c r="Q19" s="16" t="n"/>
    </row>
    <row r="20" ht="66" customHeight="1">
      <c r="A20" s="11" t="inlineStr">
        <is>
          <t>AU22772</t>
        </is>
      </c>
      <c r="B20" s="12" t="n">
        <v>44991</v>
      </c>
      <c r="C20" s="11" t="inlineStr">
        <is>
          <t>Clinical Research Scientist</t>
        </is>
      </c>
      <c r="D20" s="11" t="n"/>
      <c r="E20" s="11" t="inlineStr">
        <is>
          <t>FP - Full Time Waged</t>
        </is>
      </c>
      <c r="F20" s="11" t="inlineStr">
        <is>
          <t>Melbourne IVF Medical Scientists Enterprise Agreement</t>
        </is>
      </c>
      <c r="G20" s="11" t="inlineStr">
        <is>
          <t>Victoria</t>
        </is>
      </c>
      <c r="H20" s="13" t="inlineStr">
        <is>
          <t>76.00</t>
        </is>
      </c>
      <c r="I20" s="11" t="inlineStr">
        <is>
          <t>MELBOURNE IVF</t>
        </is>
      </c>
      <c r="J20" s="11" t="n"/>
      <c r="K20" s="14" t="n">
        <v>1.08</v>
      </c>
      <c r="L20" s="13" t="inlineStr">
        <is>
          <t>1.08</t>
        </is>
      </c>
      <c r="M20" s="12" t="n">
        <v>44997</v>
      </c>
      <c r="N20" s="12" t="n">
        <v>44991</v>
      </c>
      <c r="O20" s="13" t="inlineStr"/>
      <c r="P20" s="13" t="inlineStr"/>
      <c r="Q20" s="12" t="n"/>
    </row>
    <row r="21" ht="52.8" customHeight="1">
      <c r="A21" s="15" t="inlineStr">
        <is>
          <t>AU23015</t>
        </is>
      </c>
      <c r="B21" s="16" t="n">
        <v>45198</v>
      </c>
      <c r="C21" s="15" t="inlineStr">
        <is>
          <t>Enrolled Nurse</t>
        </is>
      </c>
      <c r="D21" s="15" t="n"/>
      <c r="E21" s="15" t="inlineStr">
        <is>
          <t>CA - Casual</t>
        </is>
      </c>
      <c r="F21" s="15" t="inlineStr">
        <is>
          <t>Melbourne IVF Nurses Enterprise Agreement</t>
        </is>
      </c>
      <c r="G21" s="15" t="inlineStr">
        <is>
          <t>Victoria</t>
        </is>
      </c>
      <c r="H21" s="17" t="inlineStr"/>
      <c r="I21" s="15" t="inlineStr">
        <is>
          <t>MELBOURNE IVF</t>
        </is>
      </c>
      <c r="J21" s="15" t="n"/>
      <c r="K21" s="18" t="n">
        <v>10.35</v>
      </c>
      <c r="L21" s="17" t="inlineStr">
        <is>
          <t>10.35</t>
        </is>
      </c>
      <c r="M21" s="16" t="n">
        <v>45075</v>
      </c>
      <c r="N21" s="16" t="n">
        <v>45075</v>
      </c>
      <c r="O21" s="17" t="inlineStr"/>
      <c r="P21" s="17" t="inlineStr"/>
      <c r="Q21" s="16" t="n"/>
    </row>
    <row r="22" ht="52.8" customHeight="1">
      <c r="A22" s="11" t="inlineStr">
        <is>
          <t>AU22898</t>
        </is>
      </c>
      <c r="B22" s="12" t="n">
        <v>45110</v>
      </c>
      <c r="C22" s="11" t="inlineStr">
        <is>
          <t>Registered Nurse</t>
        </is>
      </c>
      <c r="D22" s="11" t="n"/>
      <c r="E22" s="11" t="inlineStr">
        <is>
          <t>CA - Casual</t>
        </is>
      </c>
      <c r="F22" s="11" t="inlineStr">
        <is>
          <t>TAS IVF Nurses Enterprise Agreement</t>
        </is>
      </c>
      <c r="G22" s="11" t="inlineStr">
        <is>
          <t>Tasmania</t>
        </is>
      </c>
      <c r="H22" s="13" t="inlineStr"/>
      <c r="I22" s="11" t="inlineStr">
        <is>
          <t>TAS IVF PTY LTD</t>
        </is>
      </c>
      <c r="J22" s="11" t="n"/>
      <c r="K22" s="14" t="n"/>
      <c r="L22" s="13" t="inlineStr"/>
      <c r="M22" s="12" t="n">
        <v>45110</v>
      </c>
      <c r="N22" s="12" t="n">
        <v>45110</v>
      </c>
      <c r="O22" s="13" t="inlineStr"/>
      <c r="P22" s="13" t="inlineStr"/>
      <c r="Q22" s="12" t="n"/>
    </row>
    <row r="23" ht="66" customHeight="1">
      <c r="A23" s="15" t="inlineStr">
        <is>
          <t>AU22912</t>
        </is>
      </c>
      <c r="B23" s="16" t="n">
        <v>45119</v>
      </c>
      <c r="C23" s="15" t="inlineStr">
        <is>
          <t>Theatre Technician</t>
        </is>
      </c>
      <c r="D23" s="15" t="n"/>
      <c r="E23" s="15" t="inlineStr">
        <is>
          <t>CA - Casual</t>
        </is>
      </c>
      <c r="F23" s="15" t="inlineStr">
        <is>
          <t>Melbourne IVF Support Services Enterprise Agreement</t>
        </is>
      </c>
      <c r="G23" s="15" t="inlineStr">
        <is>
          <t>Victoria</t>
        </is>
      </c>
      <c r="H23" s="17" t="inlineStr"/>
      <c r="I23" s="15" t="inlineStr">
        <is>
          <t>MELBOURNE IVF</t>
        </is>
      </c>
      <c r="J23" s="15" t="n"/>
      <c r="K23" s="18" t="n"/>
      <c r="L23" s="17" t="inlineStr"/>
      <c r="M23" s="16" t="n">
        <v>45119</v>
      </c>
      <c r="N23" s="16" t="n">
        <v>45119</v>
      </c>
      <c r="O23" s="17" t="inlineStr"/>
      <c r="P23" s="17" t="inlineStr"/>
      <c r="Q23" s="16" t="n"/>
    </row>
    <row r="24" ht="52.8" customHeight="1">
      <c r="A24" s="11" t="inlineStr">
        <is>
          <t>AU22934</t>
        </is>
      </c>
      <c r="B24" s="12" t="n">
        <v>45141</v>
      </c>
      <c r="C24" s="11" t="inlineStr">
        <is>
          <t>Registered Nurse</t>
        </is>
      </c>
      <c r="D24" s="11" t="n"/>
      <c r="E24" s="11" t="inlineStr">
        <is>
          <t>CA - Casual</t>
        </is>
      </c>
      <c r="F24" s="11" t="inlineStr">
        <is>
          <t>TAS IVF Nurses Enterprise Agreement</t>
        </is>
      </c>
      <c r="G24" s="11" t="inlineStr">
        <is>
          <t>Tasmania</t>
        </is>
      </c>
      <c r="H24" s="13" t="inlineStr"/>
      <c r="I24" s="11" t="inlineStr">
        <is>
          <t>TAS IVF PTY LTD</t>
        </is>
      </c>
      <c r="J24" s="11" t="n"/>
      <c r="K24" s="14" t="n"/>
      <c r="L24" s="13" t="inlineStr"/>
      <c r="M24" s="12" t="n">
        <v>45141</v>
      </c>
      <c r="N24" s="12" t="n">
        <v>45141</v>
      </c>
      <c r="O24" s="13" t="inlineStr"/>
      <c r="P24" s="13" t="inlineStr"/>
      <c r="Q24" s="12" t="n"/>
    </row>
    <row r="25" ht="66" customHeight="1">
      <c r="A25" s="15" t="inlineStr">
        <is>
          <t>AU22960</t>
        </is>
      </c>
      <c r="B25" s="16" t="n">
        <v>45148</v>
      </c>
      <c r="C25" s="15" t="inlineStr">
        <is>
          <t>Patient Liaison Administrator</t>
        </is>
      </c>
      <c r="D25" s="15" t="n"/>
      <c r="E25" s="15" t="inlineStr">
        <is>
          <t>CA - Casual</t>
        </is>
      </c>
      <c r="F25" s="15" t="inlineStr">
        <is>
          <t>TAS IVF Support Services Enterprise Agreement</t>
        </is>
      </c>
      <c r="G25" s="15" t="inlineStr">
        <is>
          <t>Tasmania</t>
        </is>
      </c>
      <c r="H25" s="17" t="inlineStr"/>
      <c r="I25" s="15" t="inlineStr">
        <is>
          <t>TAS IVF PTY LTD</t>
        </is>
      </c>
      <c r="J25" s="15" t="n"/>
      <c r="K25" s="18" t="n"/>
      <c r="L25" s="17" t="inlineStr"/>
      <c r="M25" s="16" t="n">
        <v>45148</v>
      </c>
      <c r="N25" s="16" t="n">
        <v>45148</v>
      </c>
      <c r="O25" s="17" t="inlineStr"/>
      <c r="P25" s="17" t="inlineStr"/>
      <c r="Q25" s="16" t="n"/>
    </row>
    <row r="26" ht="52.8" customHeight="1">
      <c r="A26" s="11" t="inlineStr">
        <is>
          <t>AU22975</t>
        </is>
      </c>
      <c r="B26" s="12" t="n">
        <v>45181</v>
      </c>
      <c r="C26" s="11" t="inlineStr">
        <is>
          <t>Registered Nurse</t>
        </is>
      </c>
      <c r="D26" s="11" t="n"/>
      <c r="E26" s="11" t="inlineStr">
        <is>
          <t>CA - Casual</t>
        </is>
      </c>
      <c r="F26" s="11" t="inlineStr">
        <is>
          <t>TAS IVF Nurses Enterprise Agreement</t>
        </is>
      </c>
      <c r="G26" s="11" t="inlineStr">
        <is>
          <t>Tasmania</t>
        </is>
      </c>
      <c r="H26" s="13" t="inlineStr"/>
      <c r="I26" s="11" t="inlineStr">
        <is>
          <t>TAS IVF PTY LTD</t>
        </is>
      </c>
      <c r="J26" s="11" t="n"/>
      <c r="K26" s="14" t="n"/>
      <c r="L26" s="13" t="inlineStr"/>
      <c r="M26" s="12" t="n">
        <v>45181</v>
      </c>
      <c r="N26" s="12" t="n">
        <v>45181</v>
      </c>
      <c r="O26" s="13" t="inlineStr"/>
      <c r="P26" s="13" t="inlineStr"/>
      <c r="Q26" s="12" t="n"/>
    </row>
    <row r="27" ht="52.8" customHeight="1">
      <c r="A27" s="15" t="inlineStr">
        <is>
          <t>AU22981</t>
        </is>
      </c>
      <c r="B27" s="16" t="n">
        <v>45191</v>
      </c>
      <c r="C27" s="15" t="inlineStr">
        <is>
          <t>Registered Nurse</t>
        </is>
      </c>
      <c r="D27" s="15" t="n"/>
      <c r="E27" s="15" t="inlineStr">
        <is>
          <t>CA - Casual</t>
        </is>
      </c>
      <c r="F27" s="15" t="inlineStr">
        <is>
          <t>TAS IVF Nurses Enterprise Agreement</t>
        </is>
      </c>
      <c r="G27" s="15" t="inlineStr">
        <is>
          <t>Tasmania</t>
        </is>
      </c>
      <c r="H27" s="17" t="inlineStr"/>
      <c r="I27" s="15" t="inlineStr">
        <is>
          <t>TAS IVF PTY LTD</t>
        </is>
      </c>
      <c r="J27" s="15" t="n"/>
      <c r="K27" s="18" t="n"/>
      <c r="L27" s="17" t="inlineStr"/>
      <c r="M27" s="16" t="n">
        <v>45191</v>
      </c>
      <c r="N27" s="16" t="n">
        <v>45191</v>
      </c>
      <c r="O27" s="17" t="inlineStr"/>
      <c r="P27" s="17" t="inlineStr"/>
      <c r="Q27" s="16" t="n"/>
    </row>
    <row r="28" ht="66" customHeight="1">
      <c r="A28" s="11" t="inlineStr">
        <is>
          <t>AU23008</t>
        </is>
      </c>
      <c r="B28" s="12" t="n">
        <v>45201</v>
      </c>
      <c r="C28" s="11" t="inlineStr">
        <is>
          <t>Theatre Orderly</t>
        </is>
      </c>
      <c r="D28" s="11" t="n"/>
      <c r="E28" s="11" t="inlineStr">
        <is>
          <t>CA - Casual</t>
        </is>
      </c>
      <c r="F28" s="11" t="inlineStr">
        <is>
          <t>TAS IVF Support Services Enterprise Agreement</t>
        </is>
      </c>
      <c r="G28" s="11" t="inlineStr">
        <is>
          <t>Tasmania</t>
        </is>
      </c>
      <c r="H28" s="13" t="inlineStr"/>
      <c r="I28" s="11" t="inlineStr">
        <is>
          <t>TAS IVF PTY LTD</t>
        </is>
      </c>
      <c r="J28" s="11" t="n"/>
      <c r="K28" s="14" t="n"/>
      <c r="L28" s="13" t="inlineStr"/>
      <c r="M28" s="12" t="n">
        <v>45201</v>
      </c>
      <c r="N28" s="12" t="n">
        <v>45201</v>
      </c>
      <c r="O28" s="13" t="inlineStr"/>
      <c r="P28" s="13" t="inlineStr"/>
      <c r="Q28" s="12" t="n"/>
    </row>
    <row r="29" ht="52.8" customHeight="1">
      <c r="A29" s="15" t="inlineStr">
        <is>
          <t>AU23004</t>
        </is>
      </c>
      <c r="B29" s="16" t="n">
        <v>45224</v>
      </c>
      <c r="C29" s="15" t="inlineStr">
        <is>
          <t>Enrolled Nurse</t>
        </is>
      </c>
      <c r="D29" s="15" t="n"/>
      <c r="E29" s="15" t="inlineStr">
        <is>
          <t>CA - Casual</t>
        </is>
      </c>
      <c r="F29" s="15" t="inlineStr">
        <is>
          <t>TAS IVF Nurses Enterprise Agreement</t>
        </is>
      </c>
      <c r="G29" s="15" t="inlineStr">
        <is>
          <t>Tasmania</t>
        </is>
      </c>
      <c r="H29" s="17" t="inlineStr"/>
      <c r="I29" s="15" t="inlineStr">
        <is>
          <t>TAS IVF PTY LTD</t>
        </is>
      </c>
      <c r="J29" s="15" t="n"/>
      <c r="K29" s="18" t="n"/>
      <c r="L29" s="17" t="inlineStr"/>
      <c r="M29" s="16" t="n">
        <v>45224</v>
      </c>
      <c r="N29" s="16" t="n">
        <v>45224</v>
      </c>
      <c r="O29" s="17" t="inlineStr"/>
      <c r="P29" s="17" t="inlineStr"/>
      <c r="Q29" s="16" t="n"/>
    </row>
    <row r="30" ht="52.8" customHeight="1">
      <c r="A30" s="11" t="inlineStr">
        <is>
          <t>AU23078</t>
        </is>
      </c>
      <c r="B30" s="12" t="n">
        <v>45273</v>
      </c>
      <c r="C30" s="11" t="inlineStr">
        <is>
          <t>General Practitioner</t>
        </is>
      </c>
      <c r="D30" s="11" t="n"/>
      <c r="E30" s="11" t="inlineStr">
        <is>
          <t>CO - Contract</t>
        </is>
      </c>
      <c r="F30" s="11" t="inlineStr">
        <is>
          <t>Common Law Employment Contract</t>
        </is>
      </c>
      <c r="G30" s="11" t="inlineStr">
        <is>
          <t>Victoria</t>
        </is>
      </c>
      <c r="H30" s="13" t="inlineStr">
        <is>
          <t>38.00</t>
        </is>
      </c>
      <c r="I30" s="11" t="inlineStr">
        <is>
          <t>MELBOURNE IVF</t>
        </is>
      </c>
      <c r="J30" s="11" t="n"/>
      <c r="K30" s="14" t="n"/>
      <c r="L30" s="13" t="inlineStr"/>
      <c r="M30" s="12" t="n">
        <v>45273</v>
      </c>
      <c r="N30" s="12" t="n">
        <v>45273</v>
      </c>
      <c r="O30" s="13" t="inlineStr"/>
      <c r="P30" s="13" t="inlineStr"/>
      <c r="Q30" s="12" t="n"/>
    </row>
    <row r="31" ht="52.8" customHeight="1">
      <c r="A31" s="15" t="inlineStr">
        <is>
          <t>AU23088</t>
        </is>
      </c>
      <c r="B31" s="16" t="n">
        <v>45341</v>
      </c>
      <c r="C31" s="15" t="inlineStr">
        <is>
          <t>Registered Nurse</t>
        </is>
      </c>
      <c r="D31" s="15" t="n"/>
      <c r="E31" s="15" t="inlineStr">
        <is>
          <t>CA - Casual</t>
        </is>
      </c>
      <c r="F31" s="15" t="inlineStr">
        <is>
          <t>TAS IVF Nurses Enterprise Agreement</t>
        </is>
      </c>
      <c r="G31" s="15" t="inlineStr">
        <is>
          <t>Tasmania</t>
        </is>
      </c>
      <c r="H31" s="17" t="inlineStr"/>
      <c r="I31" s="15" t="inlineStr">
        <is>
          <t>TAS IVF PTY LTD</t>
        </is>
      </c>
      <c r="J31" s="15" t="n"/>
      <c r="K31" s="18" t="n"/>
      <c r="L31" s="17" t="inlineStr"/>
      <c r="M31" s="16" t="n">
        <v>45341</v>
      </c>
      <c r="N31" s="16" t="n">
        <v>45341</v>
      </c>
      <c r="O31" s="17" t="inlineStr"/>
      <c r="P31" s="17" t="inlineStr"/>
      <c r="Q31" s="16" t="n"/>
    </row>
    <row r="32" ht="52.8" customHeight="1">
      <c r="A32" s="11" t="inlineStr">
        <is>
          <t>AU23289</t>
        </is>
      </c>
      <c r="B32" s="12" t="n">
        <v>45509</v>
      </c>
      <c r="C32" s="11" t="inlineStr">
        <is>
          <t>Registered Nurse</t>
        </is>
      </c>
      <c r="D32" s="11" t="n"/>
      <c r="E32" s="11" t="inlineStr">
        <is>
          <t>CA - Casual</t>
        </is>
      </c>
      <c r="F32" s="11" t="inlineStr">
        <is>
          <t>TAS IVF Nurses Enterprise Agreement</t>
        </is>
      </c>
      <c r="G32" s="11" t="inlineStr">
        <is>
          <t>Tasmania</t>
        </is>
      </c>
      <c r="H32" s="13" t="inlineStr"/>
      <c r="I32" s="11" t="inlineStr">
        <is>
          <t>TAS IVF PTY LTD</t>
        </is>
      </c>
      <c r="J32" s="11" t="n"/>
      <c r="K32" s="14" t="n"/>
      <c r="L32" s="13" t="inlineStr"/>
      <c r="M32" s="12" t="n">
        <v>45509</v>
      </c>
      <c r="N32" s="12" t="n">
        <v>45509</v>
      </c>
      <c r="O32" s="13" t="inlineStr"/>
      <c r="P32" s="13" t="inlineStr"/>
      <c r="Q32" s="12" t="n"/>
    </row>
    <row r="33" ht="52.8" customHeight="1">
      <c r="A33" s="15" t="inlineStr">
        <is>
          <t>AU23344</t>
        </is>
      </c>
      <c r="B33" s="16" t="n">
        <v>45538</v>
      </c>
      <c r="C33" s="15" t="inlineStr">
        <is>
          <t>Project Operation</t>
        </is>
      </c>
      <c r="D33" s="15" t="n"/>
      <c r="E33" s="15" t="inlineStr">
        <is>
          <t>CA - Casual</t>
        </is>
      </c>
      <c r="F33" s="15" t="inlineStr">
        <is>
          <t>Common Law Employment Contract</t>
        </is>
      </c>
      <c r="G33" s="15" t="inlineStr">
        <is>
          <t>Victoria</t>
        </is>
      </c>
      <c r="H33" s="17" t="inlineStr"/>
      <c r="I33" s="15" t="inlineStr">
        <is>
          <t>MELBOURNE IVF</t>
        </is>
      </c>
      <c r="J33" s="15" t="n"/>
      <c r="K33" s="18" t="n"/>
      <c r="L33" s="17" t="inlineStr"/>
      <c r="M33" s="16" t="n">
        <v>45538</v>
      </c>
      <c r="N33" s="16" t="n">
        <v>45538</v>
      </c>
      <c r="O33" s="17" t="inlineStr"/>
      <c r="P33" s="17" t="inlineStr"/>
      <c r="Q33" s="16" t="n"/>
    </row>
    <row r="34" ht="79.2" customHeight="1">
      <c r="A34" s="11" t="inlineStr">
        <is>
          <t>AU23353</t>
        </is>
      </c>
      <c r="B34" s="12" t="n">
        <v>45544</v>
      </c>
      <c r="C34" s="11" t="inlineStr">
        <is>
          <t>Phlebotomist</t>
        </is>
      </c>
      <c r="D34" s="11" t="n"/>
      <c r="E34" s="11" t="inlineStr">
        <is>
          <t>CA - Casual</t>
        </is>
      </c>
      <c r="F34" s="11" t="inlineStr">
        <is>
          <t>Health Professionals and Support Services Award</t>
        </is>
      </c>
      <c r="G34" s="11" t="inlineStr">
        <is>
          <t>Victoria</t>
        </is>
      </c>
      <c r="H34" s="13" t="inlineStr"/>
      <c r="I34" s="11" t="inlineStr">
        <is>
          <t>MELBOURNE IVF</t>
        </is>
      </c>
      <c r="J34" s="11" t="n"/>
      <c r="K34" s="14" t="n"/>
      <c r="L34" s="13" t="inlineStr"/>
      <c r="M34" s="12" t="n">
        <v>45544</v>
      </c>
      <c r="N34" s="12" t="n">
        <v>45544</v>
      </c>
      <c r="O34" s="13" t="inlineStr"/>
      <c r="P34" s="13" t="inlineStr"/>
      <c r="Q34" s="12" t="n"/>
    </row>
    <row r="35" ht="66" customHeight="1">
      <c r="A35" s="15" t="inlineStr">
        <is>
          <t>AU23397</t>
        </is>
      </c>
      <c r="B35" s="16" t="n">
        <v>45574</v>
      </c>
      <c r="C35" s="15" t="inlineStr">
        <is>
          <t>Administration Clerk</t>
        </is>
      </c>
      <c r="D35" s="15" t="n"/>
      <c r="E35" s="15" t="inlineStr">
        <is>
          <t>CA - Casual</t>
        </is>
      </c>
      <c r="F35" s="15" t="inlineStr">
        <is>
          <t>Melbourne IVF Support Services Enterprise Agreement</t>
        </is>
      </c>
      <c r="G35" s="15" t="inlineStr">
        <is>
          <t>Victoria</t>
        </is>
      </c>
      <c r="H35" s="17" t="inlineStr"/>
      <c r="I35" s="15" t="inlineStr">
        <is>
          <t>MELBOURNE IVF</t>
        </is>
      </c>
      <c r="J35" s="15" t="n"/>
      <c r="K35" s="18" t="n"/>
      <c r="L35" s="17" t="inlineStr"/>
      <c r="M35" s="16" t="n">
        <v>45574</v>
      </c>
      <c r="N35" s="16" t="n">
        <v>45574</v>
      </c>
      <c r="O35" s="17" t="inlineStr"/>
      <c r="P35" s="17" t="inlineStr"/>
      <c r="Q35" s="16" t="n"/>
    </row>
    <row r="36" ht="52.8" customHeight="1">
      <c r="A36" s="11" t="inlineStr">
        <is>
          <t>AU23409</t>
        </is>
      </c>
      <c r="B36" s="12" t="n">
        <v>45595</v>
      </c>
      <c r="C36" s="11" t="inlineStr">
        <is>
          <t>Registered Nurse</t>
        </is>
      </c>
      <c r="D36" s="11" t="n"/>
      <c r="E36" s="11" t="inlineStr">
        <is>
          <t>CA - Casual</t>
        </is>
      </c>
      <c r="F36" s="11" t="inlineStr">
        <is>
          <t>TAS IVF Nurses Enterprise Agreement</t>
        </is>
      </c>
      <c r="G36" s="11" t="inlineStr">
        <is>
          <t>Tasmania</t>
        </is>
      </c>
      <c r="H36" s="13" t="inlineStr"/>
      <c r="I36" s="11" t="inlineStr">
        <is>
          <t>TAS IVF PTY LTD</t>
        </is>
      </c>
      <c r="J36" s="11" t="n"/>
      <c r="K36" s="14" t="n"/>
      <c r="L36" s="13" t="inlineStr"/>
      <c r="M36" s="12" t="n">
        <v>45595</v>
      </c>
      <c r="N36" s="12" t="n">
        <v>45595</v>
      </c>
      <c r="O36" s="13" t="inlineStr"/>
      <c r="P36" s="13" t="inlineStr"/>
      <c r="Q36" s="12" t="n"/>
    </row>
    <row r="37" ht="66" customHeight="1">
      <c r="A37" s="15" t="inlineStr">
        <is>
          <t>AU23416</t>
        </is>
      </c>
      <c r="B37" s="16" t="n">
        <v>45601</v>
      </c>
      <c r="C37" s="15" t="inlineStr">
        <is>
          <t>Administration Clerk</t>
        </is>
      </c>
      <c r="D37" s="15" t="n"/>
      <c r="E37" s="15" t="inlineStr">
        <is>
          <t>CA - Casual</t>
        </is>
      </c>
      <c r="F37" s="15" t="inlineStr">
        <is>
          <t>Melbourne IVF Support Services Enterprise Agreement</t>
        </is>
      </c>
      <c r="G37" s="15" t="inlineStr">
        <is>
          <t>Victoria</t>
        </is>
      </c>
      <c r="H37" s="17" t="inlineStr"/>
      <c r="I37" s="15" t="inlineStr">
        <is>
          <t>MELBOURNE IVF</t>
        </is>
      </c>
      <c r="J37" s="15" t="n"/>
      <c r="K37" s="18" t="n"/>
      <c r="L37" s="17" t="inlineStr"/>
      <c r="M37" s="16" t="n">
        <v>45601</v>
      </c>
      <c r="N37" s="16" t="n">
        <v>45601</v>
      </c>
      <c r="O37" s="17" t="inlineStr"/>
      <c r="P37" s="17" t="inlineStr"/>
      <c r="Q37" s="16" t="n"/>
    </row>
    <row r="38" ht="66" customHeight="1">
      <c r="A38" s="11" t="inlineStr">
        <is>
          <t>AU23463</t>
        </is>
      </c>
      <c r="B38" s="12" t="n">
        <v>45630</v>
      </c>
      <c r="C38" s="11" t="inlineStr">
        <is>
          <t>Theatre Technician</t>
        </is>
      </c>
      <c r="D38" s="11" t="n"/>
      <c r="E38" s="11" t="inlineStr">
        <is>
          <t>CA - Casual</t>
        </is>
      </c>
      <c r="F38" s="11" t="inlineStr">
        <is>
          <t>Melbourne IVF Support Services Enterprise Agreement</t>
        </is>
      </c>
      <c r="G38" s="11" t="inlineStr">
        <is>
          <t>Victoria</t>
        </is>
      </c>
      <c r="H38" s="13" t="inlineStr"/>
      <c r="I38" s="11" t="inlineStr">
        <is>
          <t>MELBOURNE IVF</t>
        </is>
      </c>
      <c r="J38" s="11" t="n"/>
      <c r="K38" s="14" t="n"/>
      <c r="L38" s="13" t="inlineStr"/>
      <c r="M38" s="12" t="n">
        <v>45630</v>
      </c>
      <c r="N38" s="12" t="n">
        <v>45630</v>
      </c>
      <c r="O38" s="13" t="inlineStr"/>
      <c r="P38" s="13" t="inlineStr"/>
      <c r="Q38" s="12" t="n"/>
    </row>
    <row r="39" ht="52.8" customHeight="1">
      <c r="A39" s="15" t="inlineStr">
        <is>
          <t>AU23461</t>
        </is>
      </c>
      <c r="B39" s="16" t="n">
        <v>45635</v>
      </c>
      <c r="C39" s="15" t="inlineStr">
        <is>
          <t>Assistant in Nursing</t>
        </is>
      </c>
      <c r="D39" s="15" t="n"/>
      <c r="E39" s="15" t="inlineStr">
        <is>
          <t>CA - Casual</t>
        </is>
      </c>
      <c r="F39" s="15" t="inlineStr">
        <is>
          <t>Common Law Employment Contract</t>
        </is>
      </c>
      <c r="G39" s="15" t="inlineStr">
        <is>
          <t>Victoria</t>
        </is>
      </c>
      <c r="H39" s="17" t="inlineStr"/>
      <c r="I39" s="15" t="inlineStr">
        <is>
          <t>MELBOURNE IVF</t>
        </is>
      </c>
      <c r="J39" s="15" t="n"/>
      <c r="K39" s="18" t="n"/>
      <c r="L39" s="17" t="inlineStr"/>
      <c r="M39" s="16" t="n">
        <v>45635</v>
      </c>
      <c r="N39" s="16" t="n">
        <v>45635</v>
      </c>
      <c r="O39" s="17" t="inlineStr"/>
      <c r="P39" s="17" t="inlineStr"/>
      <c r="Q39" s="16" t="n"/>
    </row>
    <row r="40" ht="52.8" customHeight="1">
      <c r="A40" s="11" t="inlineStr">
        <is>
          <t>AU23462</t>
        </is>
      </c>
      <c r="B40" s="12" t="n">
        <v>45642</v>
      </c>
      <c r="C40" s="11" t="inlineStr">
        <is>
          <t>Registered Nurse</t>
        </is>
      </c>
      <c r="D40" s="11" t="n"/>
      <c r="E40" s="11" t="inlineStr">
        <is>
          <t>CA - Casual</t>
        </is>
      </c>
      <c r="F40" s="11" t="inlineStr">
        <is>
          <t>Melbourne IVF Nurses Enterprise Agreement</t>
        </is>
      </c>
      <c r="G40" s="11" t="inlineStr">
        <is>
          <t>Victoria</t>
        </is>
      </c>
      <c r="H40" s="13" t="inlineStr"/>
      <c r="I40" s="11" t="inlineStr">
        <is>
          <t>MELBOURNE IVF</t>
        </is>
      </c>
      <c r="J40" s="11" t="n"/>
      <c r="K40" s="14" t="n"/>
      <c r="L40" s="13" t="inlineStr"/>
      <c r="M40" s="12" t="n">
        <v>45642</v>
      </c>
      <c r="N40" s="12" t="n">
        <v>45642</v>
      </c>
      <c r="O40" s="13" t="inlineStr"/>
      <c r="P40" s="13" t="inlineStr"/>
      <c r="Q40" s="12" t="n"/>
    </row>
    <row r="41" ht="66" customHeight="1">
      <c r="A41" s="15" t="inlineStr">
        <is>
          <t>AU23475</t>
        </is>
      </c>
      <c r="B41" s="16" t="n">
        <v>45671</v>
      </c>
      <c r="C41" s="15" t="inlineStr">
        <is>
          <t>Theatre Orderly</t>
        </is>
      </c>
      <c r="D41" s="15" t="n"/>
      <c r="E41" s="15" t="inlineStr">
        <is>
          <t>CA - Casual</t>
        </is>
      </c>
      <c r="F41" s="15" t="inlineStr">
        <is>
          <t>TAS IVF Support Services Enterprise Agreement</t>
        </is>
      </c>
      <c r="G41" s="15" t="inlineStr">
        <is>
          <t>Tasmania</t>
        </is>
      </c>
      <c r="H41" s="17" t="inlineStr"/>
      <c r="I41" s="15" t="inlineStr">
        <is>
          <t>TAS IVF PTY LTD</t>
        </is>
      </c>
      <c r="J41" s="15" t="n"/>
      <c r="K41" s="18" t="n"/>
      <c r="L41" s="17" t="inlineStr"/>
      <c r="M41" s="16" t="n">
        <v>45671</v>
      </c>
      <c r="N41" s="16" t="n">
        <v>45671</v>
      </c>
      <c r="O41" s="17" t="inlineStr"/>
      <c r="P41" s="17" t="inlineStr"/>
      <c r="Q41" s="16" t="n"/>
    </row>
    <row r="42" ht="52.8" customHeight="1">
      <c r="A42" s="11" t="inlineStr">
        <is>
          <t>AU23529</t>
        </is>
      </c>
      <c r="B42" s="12" t="n">
        <v>45712</v>
      </c>
      <c r="C42" s="11" t="inlineStr">
        <is>
          <t>Registered Nurse</t>
        </is>
      </c>
      <c r="D42" s="11" t="n"/>
      <c r="E42" s="11" t="inlineStr">
        <is>
          <t>CA - Casual</t>
        </is>
      </c>
      <c r="F42" s="11" t="inlineStr">
        <is>
          <t>Melbourne IVF Nurses Enterprise Agreement</t>
        </is>
      </c>
      <c r="G42" s="11" t="inlineStr">
        <is>
          <t>Victoria</t>
        </is>
      </c>
      <c r="H42" s="13" t="inlineStr"/>
      <c r="I42" s="11" t="inlineStr">
        <is>
          <t>MELBOURNE IVF</t>
        </is>
      </c>
      <c r="J42" s="11" t="n"/>
      <c r="K42" s="14" t="n"/>
      <c r="L42" s="13" t="inlineStr"/>
      <c r="M42" s="12" t="n">
        <v>45712</v>
      </c>
      <c r="N42" s="12" t="n">
        <v>45712</v>
      </c>
      <c r="O42" s="13" t="inlineStr"/>
      <c r="P42" s="13" t="inlineStr"/>
      <c r="Q42" s="12" t="n"/>
    </row>
    <row r="43" ht="52.8" customHeight="1">
      <c r="A43" s="15" t="inlineStr">
        <is>
          <t>AU23538</t>
        </is>
      </c>
      <c r="B43" s="16" t="n">
        <v>45712</v>
      </c>
      <c r="C43" s="15" t="inlineStr">
        <is>
          <t>Registered Nurse</t>
        </is>
      </c>
      <c r="D43" s="15" t="n"/>
      <c r="E43" s="15" t="inlineStr">
        <is>
          <t>CA - Casual</t>
        </is>
      </c>
      <c r="F43" s="15" t="inlineStr">
        <is>
          <t>Melbourne IVF Nurses Enterprise Agreement</t>
        </is>
      </c>
      <c r="G43" s="15" t="inlineStr">
        <is>
          <t>Victoria</t>
        </is>
      </c>
      <c r="H43" s="17" t="inlineStr"/>
      <c r="I43" s="15" t="inlineStr">
        <is>
          <t>MELBOURNE IVF</t>
        </is>
      </c>
      <c r="J43" s="15" t="n"/>
      <c r="K43" s="18" t="n"/>
      <c r="L43" s="17" t="inlineStr"/>
      <c r="M43" s="16" t="n">
        <v>45712</v>
      </c>
      <c r="N43" s="16" t="n">
        <v>45712</v>
      </c>
      <c r="O43" s="17" t="inlineStr"/>
      <c r="P43" s="17" t="inlineStr"/>
      <c r="Q43" s="16" t="n"/>
    </row>
    <row r="44" ht="52.8" customHeight="1">
      <c r="A44" s="11" t="inlineStr">
        <is>
          <t>AU23533</t>
        </is>
      </c>
      <c r="B44" s="12" t="n">
        <v>45714</v>
      </c>
      <c r="C44" s="11" t="inlineStr">
        <is>
          <t>Registered Nurse</t>
        </is>
      </c>
      <c r="D44" s="11" t="n"/>
      <c r="E44" s="11" t="inlineStr">
        <is>
          <t>CA - Casual</t>
        </is>
      </c>
      <c r="F44" s="11" t="inlineStr">
        <is>
          <t>Melbourne IVF Nurses Enterprise Agreement</t>
        </is>
      </c>
      <c r="G44" s="11" t="inlineStr">
        <is>
          <t>Victoria</t>
        </is>
      </c>
      <c r="H44" s="13" t="inlineStr"/>
      <c r="I44" s="11" t="inlineStr">
        <is>
          <t>MELBOURNE IVF</t>
        </is>
      </c>
      <c r="J44" s="11" t="n"/>
      <c r="K44" s="14" t="n"/>
      <c r="L44" s="13" t="inlineStr"/>
      <c r="M44" s="12" t="n">
        <v>45714</v>
      </c>
      <c r="N44" s="12" t="n">
        <v>45714</v>
      </c>
      <c r="O44" s="13" t="inlineStr"/>
      <c r="P44" s="13" t="inlineStr"/>
      <c r="Q44" s="12" t="n"/>
    </row>
    <row r="45" ht="52.8" customHeight="1">
      <c r="A45" s="15" t="inlineStr">
        <is>
          <t>AU23528</t>
        </is>
      </c>
      <c r="B45" s="16" t="n">
        <v>45719</v>
      </c>
      <c r="C45" s="15" t="inlineStr">
        <is>
          <t>Assistant in Nursing</t>
        </is>
      </c>
      <c r="D45" s="15" t="n"/>
      <c r="E45" s="15" t="inlineStr">
        <is>
          <t>CA - Casual</t>
        </is>
      </c>
      <c r="F45" s="15" t="inlineStr">
        <is>
          <t>Common Law Employment Contract</t>
        </is>
      </c>
      <c r="G45" s="15" t="inlineStr">
        <is>
          <t>Victoria</t>
        </is>
      </c>
      <c r="H45" s="17" t="inlineStr"/>
      <c r="I45" s="15" t="inlineStr">
        <is>
          <t>MELBOURNE IVF</t>
        </is>
      </c>
      <c r="J45" s="15" t="n"/>
      <c r="K45" s="18" t="n"/>
      <c r="L45" s="17" t="inlineStr"/>
      <c r="M45" s="16" t="n">
        <v>45719</v>
      </c>
      <c r="N45" s="16" t="n">
        <v>45719</v>
      </c>
      <c r="O45" s="17" t="inlineStr"/>
      <c r="P45" s="17" t="inlineStr"/>
      <c r="Q45" s="16" t="n"/>
    </row>
    <row r="46" ht="52.8" customHeight="1">
      <c r="A46" s="11" t="n">
        <v>985</v>
      </c>
      <c r="B46" s="12" t="n">
        <v>42835</v>
      </c>
      <c r="C46" s="11" t="inlineStr">
        <is>
          <t>Registered Nurse</t>
        </is>
      </c>
      <c r="D46" s="11" t="n"/>
      <c r="E46" s="11" t="inlineStr">
        <is>
          <t>CA - Casual</t>
        </is>
      </c>
      <c r="F46" s="11" t="inlineStr">
        <is>
          <t>Melbourne IVF Nurses Enterprise Agreement</t>
        </is>
      </c>
      <c r="G46" s="11" t="inlineStr">
        <is>
          <t>Victoria</t>
        </is>
      </c>
      <c r="H46" s="13" t="inlineStr"/>
      <c r="I46" s="11" t="inlineStr">
        <is>
          <t>MELBOURNE IVF</t>
        </is>
      </c>
      <c r="J46" s="11" t="n"/>
      <c r="K46" s="14" t="n">
        <v>178.67</v>
      </c>
      <c r="L46" s="13" t="inlineStr"/>
      <c r="M46" s="12" t="n">
        <v>45725</v>
      </c>
      <c r="N46" s="12" t="n">
        <v>45725</v>
      </c>
      <c r="O46" s="13" t="inlineStr">
        <is>
          <t>178.67</t>
        </is>
      </c>
      <c r="P46" s="13" t="inlineStr"/>
      <c r="Q46" s="12" t="n"/>
    </row>
    <row r="47" ht="79.2" customHeight="1">
      <c r="A47" s="15" t="inlineStr">
        <is>
          <t>AU23588</t>
        </is>
      </c>
      <c r="B47" s="16" t="n">
        <v>45740</v>
      </c>
      <c r="C47" s="15" t="inlineStr">
        <is>
          <t>Phlebotomist</t>
        </is>
      </c>
      <c r="D47" s="15" t="n"/>
      <c r="E47" s="15" t="inlineStr">
        <is>
          <t>CA - Casual</t>
        </is>
      </c>
      <c r="F47" s="15" t="inlineStr">
        <is>
          <t>Health Professionals and Support Services Award</t>
        </is>
      </c>
      <c r="G47" s="15" t="inlineStr">
        <is>
          <t>Victoria</t>
        </is>
      </c>
      <c r="H47" s="17" t="inlineStr"/>
      <c r="I47" s="15" t="inlineStr">
        <is>
          <t>MELBOURNE IVF</t>
        </is>
      </c>
      <c r="J47" s="15" t="n"/>
      <c r="K47" s="18" t="n"/>
      <c r="L47" s="17" t="inlineStr"/>
      <c r="M47" s="16" t="n">
        <v>45740</v>
      </c>
      <c r="N47" s="16" t="n">
        <v>45740</v>
      </c>
      <c r="O47" s="17" t="inlineStr"/>
      <c r="P47" s="17" t="inlineStr"/>
      <c r="Q47" s="16" t="n"/>
    </row>
    <row r="48" ht="79.2" customHeight="1">
      <c r="A48" s="11" t="inlineStr">
        <is>
          <t>AU23595</t>
        </is>
      </c>
      <c r="B48" s="12" t="n">
        <v>45740</v>
      </c>
      <c r="C48" s="11" t="inlineStr">
        <is>
          <t>Phlebotomist</t>
        </is>
      </c>
      <c r="D48" s="11" t="n"/>
      <c r="E48" s="11" t="inlineStr">
        <is>
          <t>CA - Casual</t>
        </is>
      </c>
      <c r="F48" s="11" t="inlineStr">
        <is>
          <t>Health Professionals and Support Services Award</t>
        </is>
      </c>
      <c r="G48" s="11" t="inlineStr">
        <is>
          <t>Victoria</t>
        </is>
      </c>
      <c r="H48" s="13" t="inlineStr"/>
      <c r="I48" s="11" t="inlineStr">
        <is>
          <t>MELBOURNE IVF</t>
        </is>
      </c>
      <c r="J48" s="11" t="n"/>
      <c r="K48" s="14" t="n"/>
      <c r="L48" s="13" t="inlineStr"/>
      <c r="M48" s="12" t="n">
        <v>45740</v>
      </c>
      <c r="N48" s="12" t="n">
        <v>45740</v>
      </c>
      <c r="O48" s="13" t="inlineStr"/>
      <c r="P48" s="13" t="inlineStr"/>
      <c r="Q48" s="12" t="n"/>
    </row>
    <row r="49" ht="66" customHeight="1">
      <c r="A49" s="15" t="inlineStr">
        <is>
          <t>AU23634</t>
        </is>
      </c>
      <c r="B49" s="16" t="n">
        <v>45782</v>
      </c>
      <c r="C49" s="15" t="inlineStr">
        <is>
          <t>Counsellor</t>
        </is>
      </c>
      <c r="D49" s="15" t="n"/>
      <c r="E49" s="15" t="inlineStr">
        <is>
          <t>CA - Casual</t>
        </is>
      </c>
      <c r="F49" s="15" t="inlineStr">
        <is>
          <t>Melbourne IVF Counselling Enterprise Agreement</t>
        </is>
      </c>
      <c r="G49" s="15" t="inlineStr">
        <is>
          <t>Victoria</t>
        </is>
      </c>
      <c r="H49" s="17" t="inlineStr"/>
      <c r="I49" s="15" t="inlineStr">
        <is>
          <t>MELBOURNE IVF</t>
        </is>
      </c>
      <c r="J49" s="15" t="n"/>
      <c r="K49" s="18" t="n">
        <v>72.3</v>
      </c>
      <c r="L49" s="17" t="inlineStr">
        <is>
          <t>88.94</t>
        </is>
      </c>
      <c r="M49" s="16" t="n">
        <v>45781</v>
      </c>
      <c r="N49" s="16" t="n">
        <v>44799</v>
      </c>
      <c r="O49" s="17" t="inlineStr">
        <is>
          <t>431.76</t>
        </is>
      </c>
      <c r="P49" s="17" t="inlineStr">
        <is>
          <t>448.40</t>
        </is>
      </c>
      <c r="Q49" s="16" t="n"/>
    </row>
    <row r="50" ht="52.8" customHeight="1">
      <c r="A50" s="11" t="inlineStr">
        <is>
          <t>AU23643</t>
        </is>
      </c>
      <c r="B50" s="12" t="n">
        <v>45789</v>
      </c>
      <c r="C50" s="11" t="inlineStr">
        <is>
          <t>Registered Nurse</t>
        </is>
      </c>
      <c r="D50" s="11" t="n"/>
      <c r="E50" s="11" t="inlineStr">
        <is>
          <t>CA - Casual</t>
        </is>
      </c>
      <c r="F50" s="11" t="inlineStr">
        <is>
          <t>Melbourne IVF Nurses Enterprise Agreement</t>
        </is>
      </c>
      <c r="G50" s="11" t="inlineStr">
        <is>
          <t>Victoria</t>
        </is>
      </c>
      <c r="H50" s="13" t="inlineStr"/>
      <c r="I50" s="11" t="inlineStr">
        <is>
          <t>MELBOURNE IVF</t>
        </is>
      </c>
      <c r="J50" s="11" t="n"/>
      <c r="K50" s="14" t="n"/>
      <c r="L50" s="13" t="inlineStr"/>
      <c r="M50" s="12" t="n">
        <v>45789</v>
      </c>
      <c r="N50" s="12" t="n">
        <v>45789</v>
      </c>
      <c r="O50" s="13" t="inlineStr"/>
      <c r="P50" s="13" t="inlineStr"/>
      <c r="Q50" s="12" t="n"/>
    </row>
    <row r="51" ht="52.8" customHeight="1">
      <c r="A51" s="15" t="inlineStr">
        <is>
          <t>AU23645</t>
        </is>
      </c>
      <c r="B51" s="16" t="n">
        <v>45790</v>
      </c>
      <c r="C51" s="15" t="inlineStr">
        <is>
          <t>Registered Nurse</t>
        </is>
      </c>
      <c r="D51" s="15" t="n"/>
      <c r="E51" s="15" t="inlineStr">
        <is>
          <t>CA - Casual</t>
        </is>
      </c>
      <c r="F51" s="15" t="inlineStr">
        <is>
          <t>Melbourne IVF Nurses Enterprise Agreement</t>
        </is>
      </c>
      <c r="G51" s="15" t="inlineStr">
        <is>
          <t>Victoria</t>
        </is>
      </c>
      <c r="H51" s="17" t="inlineStr"/>
      <c r="I51" s="15" t="inlineStr">
        <is>
          <t>MELBOURNE IVF</t>
        </is>
      </c>
      <c r="J51" s="15" t="n"/>
      <c r="K51" s="18" t="n"/>
      <c r="L51" s="17" t="inlineStr"/>
      <c r="M51" s="16" t="n">
        <v>45790</v>
      </c>
      <c r="N51" s="16" t="n">
        <v>45790</v>
      </c>
      <c r="O51" s="17" t="inlineStr"/>
      <c r="P51" s="17" t="inlineStr"/>
      <c r="Q51" s="16" t="n"/>
    </row>
    <row r="52" ht="79.2" customHeight="1">
      <c r="A52" s="11" t="inlineStr">
        <is>
          <t>AU23648</t>
        </is>
      </c>
      <c r="B52" s="12" t="n">
        <v>45796</v>
      </c>
      <c r="C52" s="11" t="inlineStr">
        <is>
          <t>Phlebotomist</t>
        </is>
      </c>
      <c r="D52" s="11" t="n"/>
      <c r="E52" s="11" t="inlineStr">
        <is>
          <t>CA - Casual</t>
        </is>
      </c>
      <c r="F52" s="11" t="inlineStr">
        <is>
          <t>Health Professionals and Support Services Award</t>
        </is>
      </c>
      <c r="G52" s="11" t="inlineStr">
        <is>
          <t>Victoria</t>
        </is>
      </c>
      <c r="H52" s="13" t="inlineStr"/>
      <c r="I52" s="11" t="inlineStr">
        <is>
          <t>MELBOURNE IVF</t>
        </is>
      </c>
      <c r="J52" s="11" t="n"/>
      <c r="K52" s="14" t="n"/>
      <c r="L52" s="13" t="inlineStr"/>
      <c r="M52" s="12" t="n">
        <v>45796</v>
      </c>
      <c r="N52" s="12" t="n">
        <v>45796</v>
      </c>
      <c r="O52" s="13" t="inlineStr"/>
      <c r="P52" s="13" t="inlineStr"/>
      <c r="Q52" s="12" t="n"/>
    </row>
    <row r="53" ht="66" customHeight="1">
      <c r="A53" s="15" t="inlineStr">
        <is>
          <t>AU23649</t>
        </is>
      </c>
      <c r="B53" s="16" t="n">
        <v>45796</v>
      </c>
      <c r="C53" s="15" t="inlineStr">
        <is>
          <t>Administration</t>
        </is>
      </c>
      <c r="D53" s="15" t="n"/>
      <c r="E53" s="15" t="inlineStr">
        <is>
          <t>CA - Casual</t>
        </is>
      </c>
      <c r="F53" s="15" t="inlineStr">
        <is>
          <t>Melbourne IVF Support Services Enterprise Agreement</t>
        </is>
      </c>
      <c r="G53" s="15" t="inlineStr">
        <is>
          <t>Victoria</t>
        </is>
      </c>
      <c r="H53" s="17" t="inlineStr"/>
      <c r="I53" s="15" t="inlineStr">
        <is>
          <t>MELBOURNE IVF</t>
        </is>
      </c>
      <c r="J53" s="15" t="n"/>
      <c r="K53" s="18" t="n"/>
      <c r="L53" s="17" t="inlineStr"/>
      <c r="M53" s="16" t="n">
        <v>45796</v>
      </c>
      <c r="N53" s="16" t="n">
        <v>45796</v>
      </c>
      <c r="O53" s="17" t="inlineStr"/>
      <c r="P53" s="17" t="inlineStr"/>
      <c r="Q53" s="16" t="n"/>
    </row>
    <row r="54" ht="66" customHeight="1">
      <c r="A54" s="11" t="inlineStr">
        <is>
          <t>AU23650</t>
        </is>
      </c>
      <c r="B54" s="12" t="n">
        <v>45796</v>
      </c>
      <c r="C54" s="11" t="inlineStr">
        <is>
          <t>CSSD Theatre Technician</t>
        </is>
      </c>
      <c r="D54" s="11" t="n"/>
      <c r="E54" s="11" t="inlineStr">
        <is>
          <t>CA - Casual</t>
        </is>
      </c>
      <c r="F54" s="11" t="inlineStr">
        <is>
          <t>TAS IVF Support Services Enterprise Agreement</t>
        </is>
      </c>
      <c r="G54" s="11" t="inlineStr">
        <is>
          <t>Tasmania</t>
        </is>
      </c>
      <c r="H54" s="13" t="inlineStr"/>
      <c r="I54" s="11" t="inlineStr">
        <is>
          <t>TAS IVF PTY LTD</t>
        </is>
      </c>
      <c r="J54" s="11" t="n"/>
      <c r="K54" s="14" t="n"/>
      <c r="L54" s="13" t="inlineStr"/>
      <c r="M54" s="12" t="n">
        <v>45796</v>
      </c>
      <c r="N54" s="12" t="n">
        <v>45796</v>
      </c>
      <c r="O54" s="13" t="inlineStr"/>
      <c r="P54" s="13" t="inlineStr"/>
      <c r="Q54" s="12" t="n"/>
    </row>
    <row r="55" ht="66" customHeight="1">
      <c r="A55" s="15" t="inlineStr">
        <is>
          <t>AU23664</t>
        </is>
      </c>
      <c r="B55" s="16" t="n">
        <v>45799</v>
      </c>
      <c r="C55" s="15" t="inlineStr">
        <is>
          <t>Receptionist</t>
        </is>
      </c>
      <c r="D55" s="15" t="n"/>
      <c r="E55" s="15" t="inlineStr">
        <is>
          <t>CA - Casual</t>
        </is>
      </c>
      <c r="F55" s="15" t="inlineStr">
        <is>
          <t>Melbourne IVF Medical Scientists Enterprise Agreement</t>
        </is>
      </c>
      <c r="G55" s="15" t="inlineStr">
        <is>
          <t>Victoria</t>
        </is>
      </c>
      <c r="H55" s="17" t="inlineStr"/>
      <c r="I55" s="15" t="inlineStr">
        <is>
          <t>MELBOURNE IVF</t>
        </is>
      </c>
      <c r="J55" s="15" t="n"/>
      <c r="K55" s="18" t="n"/>
      <c r="L55" s="17" t="inlineStr"/>
      <c r="M55" s="16" t="n">
        <v>45799</v>
      </c>
      <c r="N55" s="16" t="n">
        <v>45799</v>
      </c>
      <c r="O55" s="17" t="inlineStr"/>
      <c r="P55" s="17" t="inlineStr"/>
      <c r="Q55" s="16" t="n"/>
    </row>
    <row r="56" ht="52.8" customHeight="1">
      <c r="A56" s="11" t="inlineStr">
        <is>
          <t>AU23661</t>
        </is>
      </c>
      <c r="B56" s="12" t="n">
        <v>45803</v>
      </c>
      <c r="C56" s="11" t="inlineStr">
        <is>
          <t>Assistant in Nursing</t>
        </is>
      </c>
      <c r="D56" s="11" t="n"/>
      <c r="E56" s="11" t="inlineStr">
        <is>
          <t>CA - Casual</t>
        </is>
      </c>
      <c r="F56" s="11" t="inlineStr">
        <is>
          <t>Common Law Employment Contract</t>
        </is>
      </c>
      <c r="G56" s="11" t="inlineStr">
        <is>
          <t>Victoria</t>
        </is>
      </c>
      <c r="H56" s="13" t="inlineStr"/>
      <c r="I56" s="11" t="inlineStr">
        <is>
          <t>MELBOURNE IVF</t>
        </is>
      </c>
      <c r="J56" s="11" t="n"/>
      <c r="K56" s="14" t="n"/>
      <c r="L56" s="13" t="inlineStr"/>
      <c r="M56" s="12" t="n">
        <v>45803</v>
      </c>
      <c r="N56" s="12" t="n">
        <v>45803</v>
      </c>
      <c r="O56" s="13" t="inlineStr"/>
      <c r="P56" s="13" t="inlineStr"/>
      <c r="Q56" s="12" t="n"/>
    </row>
    <row r="57" ht="66" customHeight="1">
      <c r="A57" s="15" t="inlineStr">
        <is>
          <t>AU23666</t>
        </is>
      </c>
      <c r="B57" s="16" t="n">
        <v>45803</v>
      </c>
      <c r="C57" s="15" t="inlineStr">
        <is>
          <t>Administration</t>
        </is>
      </c>
      <c r="D57" s="15" t="n"/>
      <c r="E57" s="15" t="inlineStr">
        <is>
          <t>CA - Casual</t>
        </is>
      </c>
      <c r="F57" s="15" t="inlineStr">
        <is>
          <t>Melbourne IVF Support Services Enterprise Agreement</t>
        </is>
      </c>
      <c r="G57" s="15" t="inlineStr">
        <is>
          <t>Victoria</t>
        </is>
      </c>
      <c r="H57" s="17" t="inlineStr"/>
      <c r="I57" s="15" t="inlineStr">
        <is>
          <t>MELBOURNE IVF</t>
        </is>
      </c>
      <c r="J57" s="15" t="n"/>
      <c r="K57" s="18" t="n"/>
      <c r="L57" s="17" t="inlineStr"/>
      <c r="M57" s="16" t="n">
        <v>45803</v>
      </c>
      <c r="N57" s="16" t="n">
        <v>45803</v>
      </c>
      <c r="O57" s="17" t="inlineStr"/>
      <c r="P57" s="17" t="inlineStr"/>
      <c r="Q57" s="16" t="n"/>
    </row>
    <row r="58" ht="66" customHeight="1">
      <c r="A58" s="11" t="inlineStr">
        <is>
          <t>AU23659</t>
        </is>
      </c>
      <c r="B58" s="12" t="n">
        <v>45810</v>
      </c>
      <c r="C58" s="11" t="inlineStr">
        <is>
          <t>CSSD Theatre Technician</t>
        </is>
      </c>
      <c r="D58" s="11" t="n"/>
      <c r="E58" s="11" t="inlineStr">
        <is>
          <t>CA - Casual</t>
        </is>
      </c>
      <c r="F58" s="11" t="inlineStr">
        <is>
          <t>TAS IVF Support Services Enterprise Agreement</t>
        </is>
      </c>
      <c r="G58" s="11" t="inlineStr">
        <is>
          <t>Tasmania</t>
        </is>
      </c>
      <c r="H58" s="13" t="inlineStr"/>
      <c r="I58" s="11" t="inlineStr">
        <is>
          <t>TAS IVF PTY LTD</t>
        </is>
      </c>
      <c r="J58" s="11" t="n"/>
      <c r="K58" s="14" t="n"/>
      <c r="L58" s="13" t="inlineStr"/>
      <c r="M58" s="12" t="n">
        <v>45810</v>
      </c>
      <c r="N58" s="12" t="n">
        <v>45810</v>
      </c>
      <c r="O58" s="13" t="inlineStr"/>
      <c r="P58" s="13" t="inlineStr"/>
      <c r="Q58" s="12" t="n"/>
    </row>
    <row r="59" ht="66" customHeight="1">
      <c r="A59" s="15" t="inlineStr">
        <is>
          <t>AU23705</t>
        </is>
      </c>
      <c r="B59" s="16" t="n">
        <v>45817</v>
      </c>
      <c r="C59" s="15" t="inlineStr">
        <is>
          <t>Administration Clerk</t>
        </is>
      </c>
      <c r="D59" s="15" t="n"/>
      <c r="E59" s="15" t="inlineStr">
        <is>
          <t>CA - Casual</t>
        </is>
      </c>
      <c r="F59" s="15" t="inlineStr">
        <is>
          <t>Melbourne IVF Support Services Enterprise Agreement</t>
        </is>
      </c>
      <c r="G59" s="15" t="inlineStr">
        <is>
          <t>Victoria</t>
        </is>
      </c>
      <c r="H59" s="17" t="inlineStr"/>
      <c r="I59" s="15" t="inlineStr">
        <is>
          <t>MELBOURNE IVF</t>
        </is>
      </c>
      <c r="J59" s="15" t="n"/>
      <c r="K59" s="18" t="n"/>
      <c r="L59" s="17" t="inlineStr"/>
      <c r="M59" s="16" t="n">
        <v>45817</v>
      </c>
      <c r="N59" s="16" t="n">
        <v>45817</v>
      </c>
      <c r="O59" s="17" t="inlineStr"/>
      <c r="P59" s="17" t="inlineStr"/>
      <c r="Q59" s="16" t="n"/>
    </row>
    <row r="60" ht="52.8" customHeight="1">
      <c r="A60" s="11" t="inlineStr">
        <is>
          <t>AU23707</t>
        </is>
      </c>
      <c r="B60" s="12" t="n">
        <v>45833</v>
      </c>
      <c r="C60" s="11" t="inlineStr">
        <is>
          <t>Assistant in Nursing</t>
        </is>
      </c>
      <c r="D60" s="11" t="n"/>
      <c r="E60" s="11" t="inlineStr">
        <is>
          <t>CA - Casual</t>
        </is>
      </c>
      <c r="F60" s="11" t="inlineStr">
        <is>
          <t>Common Law Employment Contract</t>
        </is>
      </c>
      <c r="G60" s="11" t="inlineStr">
        <is>
          <t>Victoria</t>
        </is>
      </c>
      <c r="H60" s="13" t="inlineStr"/>
      <c r="I60" s="11" t="inlineStr">
        <is>
          <t>MELBOURNE IVF</t>
        </is>
      </c>
      <c r="J60" s="11" t="n"/>
      <c r="K60" s="14" t="n"/>
      <c r="L60" s="13" t="inlineStr"/>
      <c r="M60" s="12" t="n">
        <v>45833</v>
      </c>
      <c r="N60" s="12" t="n">
        <v>45833</v>
      </c>
      <c r="O60" s="13" t="inlineStr"/>
      <c r="P60" s="13" t="inlineStr"/>
      <c r="Q60" s="12" t="n"/>
    </row>
    <row r="61" ht="52.8" customHeight="1">
      <c r="A61" s="15" t="inlineStr">
        <is>
          <t>AU23709</t>
        </is>
      </c>
      <c r="B61" s="16" t="n">
        <v>45845</v>
      </c>
      <c r="C61" s="15" t="inlineStr">
        <is>
          <t>Registered Nurse</t>
        </is>
      </c>
      <c r="D61" s="15" t="n"/>
      <c r="E61" s="15" t="inlineStr">
        <is>
          <t>CA - Casual</t>
        </is>
      </c>
      <c r="F61" s="15" t="inlineStr">
        <is>
          <t>TAS IVF Nurses Enterprise Agreement</t>
        </is>
      </c>
      <c r="G61" s="15" t="inlineStr">
        <is>
          <t>Tasmania</t>
        </is>
      </c>
      <c r="H61" s="17" t="inlineStr"/>
      <c r="I61" s="15" t="inlineStr">
        <is>
          <t>TAS IVF PTY LTD</t>
        </is>
      </c>
      <c r="J61" s="15" t="n"/>
      <c r="K61" s="18" t="n"/>
      <c r="L61" s="17" t="inlineStr"/>
      <c r="M61" s="16" t="n">
        <v>45845</v>
      </c>
      <c r="N61" s="16" t="n">
        <v>45845</v>
      </c>
      <c r="O61" s="17" t="inlineStr"/>
      <c r="P61" s="17" t="inlineStr"/>
      <c r="Q61" s="16" t="n"/>
    </row>
    <row r="62" ht="52.8" customHeight="1">
      <c r="A62" s="11" t="inlineStr">
        <is>
          <t>AU23746</t>
        </is>
      </c>
      <c r="B62" s="12" t="n">
        <v>45852</v>
      </c>
      <c r="C62" s="11" t="inlineStr">
        <is>
          <t>Registered Nurse</t>
        </is>
      </c>
      <c r="D62" s="11" t="n"/>
      <c r="E62" s="11" t="inlineStr">
        <is>
          <t>CA - Casual</t>
        </is>
      </c>
      <c r="F62" s="11" t="inlineStr">
        <is>
          <t>Melbourne IVF Nurses Enterprise Agreement</t>
        </is>
      </c>
      <c r="G62" s="11" t="inlineStr">
        <is>
          <t>Victoria</t>
        </is>
      </c>
      <c r="H62" s="13" t="inlineStr"/>
      <c r="I62" s="11" t="inlineStr">
        <is>
          <t>MELBOURNE IVF</t>
        </is>
      </c>
      <c r="J62" s="11" t="n"/>
      <c r="K62" s="14" t="n"/>
      <c r="L62" s="13" t="inlineStr"/>
      <c r="M62" s="12" t="n">
        <v>45852</v>
      </c>
      <c r="N62" s="12" t="n">
        <v>45852</v>
      </c>
      <c r="O62" s="13" t="inlineStr"/>
      <c r="P62" s="13" t="inlineStr"/>
      <c r="Q62" s="12" t="n"/>
    </row>
    <row r="63" ht="52.8" customHeight="1">
      <c r="A63" s="15" t="inlineStr">
        <is>
          <t>AU23757</t>
        </is>
      </c>
      <c r="B63" s="16" t="n">
        <v>45866</v>
      </c>
      <c r="C63" s="15" t="inlineStr">
        <is>
          <t>Registered Nurse</t>
        </is>
      </c>
      <c r="D63" s="15" t="n"/>
      <c r="E63" s="15" t="inlineStr">
        <is>
          <t>CA - Casual</t>
        </is>
      </c>
      <c r="F63" s="15" t="inlineStr">
        <is>
          <t>TAS IVF Nurses Enterprise Agreement</t>
        </is>
      </c>
      <c r="G63" s="15" t="inlineStr">
        <is>
          <t>Tasmania</t>
        </is>
      </c>
      <c r="H63" s="17" t="inlineStr"/>
      <c r="I63" s="15" t="inlineStr">
        <is>
          <t>TAS IVF PTY LTD</t>
        </is>
      </c>
      <c r="J63" s="15" t="n"/>
      <c r="K63" s="18" t="n"/>
      <c r="L63" s="17" t="inlineStr"/>
      <c r="M63" s="16" t="n">
        <v>45866</v>
      </c>
      <c r="N63" s="16" t="n">
        <v>45866</v>
      </c>
      <c r="O63" s="17" t="inlineStr"/>
      <c r="P63" s="17" t="inlineStr"/>
      <c r="Q63" s="16" t="n"/>
    </row>
    <row r="64" ht="66" customHeight="1">
      <c r="A64" s="11" t="inlineStr">
        <is>
          <t>AU23780</t>
        </is>
      </c>
      <c r="B64" s="12" t="n">
        <v>45866</v>
      </c>
      <c r="C64" s="11" t="inlineStr">
        <is>
          <t>Patient Liaison Administrator</t>
        </is>
      </c>
      <c r="D64" s="11" t="n"/>
      <c r="E64" s="11" t="inlineStr">
        <is>
          <t>CA - Casual</t>
        </is>
      </c>
      <c r="F64" s="11" t="inlineStr">
        <is>
          <t>Melbourne IVF Support Services Enterprise Agreement</t>
        </is>
      </c>
      <c r="G64" s="11" t="inlineStr">
        <is>
          <t>Victoria</t>
        </is>
      </c>
      <c r="H64" s="13" t="inlineStr"/>
      <c r="I64" s="11" t="inlineStr">
        <is>
          <t>MELBOURNE IVF</t>
        </is>
      </c>
      <c r="J64" s="11" t="n"/>
      <c r="K64" s="14" t="n"/>
      <c r="L64" s="13" t="inlineStr"/>
      <c r="M64" s="12" t="n">
        <v>45866</v>
      </c>
      <c r="N64" s="12" t="n">
        <v>45355</v>
      </c>
      <c r="O64" s="13" t="inlineStr"/>
      <c r="P64" s="13" t="inlineStr"/>
      <c r="Q64" s="12" t="n"/>
    </row>
    <row r="65" ht="79.2" customHeight="1">
      <c r="A65" s="15" t="inlineStr">
        <is>
          <t>AU23799</t>
        </is>
      </c>
      <c r="B65" s="16" t="n">
        <v>45901</v>
      </c>
      <c r="C65" s="15" t="inlineStr">
        <is>
          <t>Phlebotomist</t>
        </is>
      </c>
      <c r="D65" s="15" t="n"/>
      <c r="E65" s="15" t="inlineStr">
        <is>
          <t>CA - Casual</t>
        </is>
      </c>
      <c r="F65" s="15" t="inlineStr">
        <is>
          <t>Health Professionals and Support Services Award</t>
        </is>
      </c>
      <c r="G65" s="15" t="inlineStr">
        <is>
          <t>Victoria</t>
        </is>
      </c>
      <c r="H65" s="17" t="inlineStr"/>
      <c r="I65" s="15" t="inlineStr">
        <is>
          <t>MELBOURNE IVF</t>
        </is>
      </c>
      <c r="J65" s="15" t="n"/>
      <c r="K65" s="18" t="n"/>
      <c r="L65" s="17" t="inlineStr"/>
      <c r="M65" s="16" t="n">
        <v>45901</v>
      </c>
      <c r="N65" s="16" t="n">
        <v>45901</v>
      </c>
      <c r="O65" s="17" t="inlineStr"/>
      <c r="P65" s="17" t="inlineStr"/>
      <c r="Q65" s="16" t="n"/>
    </row>
    <row r="66" ht="66" customHeight="1">
      <c r="A66" s="11" t="inlineStr">
        <is>
          <t>AU23816</t>
        </is>
      </c>
      <c r="B66" s="12" t="n">
        <v>45907</v>
      </c>
      <c r="C66" s="11" t="inlineStr">
        <is>
          <t>Administration</t>
        </is>
      </c>
      <c r="D66" s="11" t="n"/>
      <c r="E66" s="11" t="inlineStr">
        <is>
          <t>CA - Casual</t>
        </is>
      </c>
      <c r="F66" s="11" t="inlineStr">
        <is>
          <t>Melbourne IVF Support Services Enterprise Agreement</t>
        </is>
      </c>
      <c r="G66" s="11" t="inlineStr">
        <is>
          <t>Victoria</t>
        </is>
      </c>
      <c r="H66" s="13" t="inlineStr"/>
      <c r="I66" s="11" t="inlineStr">
        <is>
          <t>MELBOURNE IVF</t>
        </is>
      </c>
      <c r="J66" s="11" t="n"/>
      <c r="K66" s="14" t="n"/>
      <c r="L66" s="13" t="inlineStr"/>
      <c r="M66" s="12" t="n">
        <v>45907</v>
      </c>
      <c r="N66" s="12" t="n">
        <v>45124</v>
      </c>
      <c r="O66" s="13" t="inlineStr"/>
      <c r="P66" s="13" t="inlineStr"/>
      <c r="Q66" s="12" t="n"/>
    </row>
    <row r="67" ht="66" customHeight="1">
      <c r="A67" s="15" t="inlineStr">
        <is>
          <t>AU21026</t>
        </is>
      </c>
      <c r="B67" s="16" t="n">
        <v>37186</v>
      </c>
      <c r="C67" s="15" t="inlineStr">
        <is>
          <t>Embryologist</t>
        </is>
      </c>
      <c r="D67" s="15" t="n"/>
      <c r="E67" s="15" t="inlineStr">
        <is>
          <t>PT - Part Time Waged</t>
        </is>
      </c>
      <c r="F67" s="15" t="inlineStr">
        <is>
          <t>Melbourne IVF Medical Scientists Enterprise Agreement</t>
        </is>
      </c>
      <c r="G67" s="15" t="inlineStr">
        <is>
          <t>Victoria</t>
        </is>
      </c>
      <c r="H67" s="17" t="inlineStr">
        <is>
          <t>64.00</t>
        </is>
      </c>
      <c r="I67" s="15" t="inlineStr">
        <is>
          <t>MELBOURNE IVF</t>
        </is>
      </c>
      <c r="J67" s="15" t="n"/>
      <c r="K67" s="18" t="n">
        <v>-0.57</v>
      </c>
      <c r="L67" s="17" t="inlineStr">
        <is>
          <t>219.11</t>
        </is>
      </c>
      <c r="M67" s="16" t="n">
        <v>45949</v>
      </c>
      <c r="N67" s="16" t="n">
        <v>44491</v>
      </c>
      <c r="O67" s="17" t="inlineStr">
        <is>
          <t>316.32</t>
        </is>
      </c>
      <c r="P67" s="17" t="inlineStr">
        <is>
          <t>536.00</t>
        </is>
      </c>
      <c r="Q67" s="16" t="n"/>
    </row>
    <row r="68" ht="66" customHeight="1">
      <c r="A68" s="11" t="inlineStr">
        <is>
          <t>AU21033</t>
        </is>
      </c>
      <c r="B68" s="12" t="n">
        <v>37370</v>
      </c>
      <c r="C68" s="11" t="inlineStr">
        <is>
          <t>Embryologist</t>
        </is>
      </c>
      <c r="D68" s="11" t="n"/>
      <c r="E68" s="11" t="inlineStr">
        <is>
          <t>PT - Part Time Waged</t>
        </is>
      </c>
      <c r="F68" s="11" t="inlineStr">
        <is>
          <t>Melbourne IVF Medical Scientists Enterprise Agreement</t>
        </is>
      </c>
      <c r="G68" s="11" t="inlineStr">
        <is>
          <t>Victoria</t>
        </is>
      </c>
      <c r="H68" s="13" t="inlineStr">
        <is>
          <t>40.00</t>
        </is>
      </c>
      <c r="I68" s="11" t="inlineStr">
        <is>
          <t>MELBOURNE IVF</t>
        </is>
      </c>
      <c r="J68" s="11" t="n"/>
      <c r="K68" s="14" t="n">
        <v>71.61</v>
      </c>
      <c r="L68" s="13" t="inlineStr">
        <is>
          <t>121.47</t>
        </is>
      </c>
      <c r="M68" s="12" t="n">
        <v>45949</v>
      </c>
      <c r="N68" s="12" t="n">
        <v>44675</v>
      </c>
      <c r="O68" s="13" t="inlineStr">
        <is>
          <t>190.14</t>
        </is>
      </c>
      <c r="P68" s="13" t="inlineStr">
        <is>
          <t>240.00</t>
        </is>
      </c>
      <c r="Q68" s="12" t="n"/>
    </row>
    <row r="69" ht="66" customHeight="1">
      <c r="A69" s="15" t="inlineStr">
        <is>
          <t>AU21031</t>
        </is>
      </c>
      <c r="B69" s="16" t="n">
        <v>37305</v>
      </c>
      <c r="C69" s="15" t="inlineStr">
        <is>
          <t>Genetic Laboratory Manager</t>
        </is>
      </c>
      <c r="D69" s="15" t="n"/>
      <c r="E69" s="15" t="inlineStr">
        <is>
          <t>FP - Full Time Waged</t>
        </is>
      </c>
      <c r="F69" s="15" t="inlineStr">
        <is>
          <t>Melbourne IVF Medical Scientists Enterprise Agreement</t>
        </is>
      </c>
      <c r="G69" s="15" t="inlineStr">
        <is>
          <t>Victoria</t>
        </is>
      </c>
      <c r="H69" s="17" t="inlineStr">
        <is>
          <t>76.00</t>
        </is>
      </c>
      <c r="I69" s="15" t="inlineStr">
        <is>
          <t>MELBOURNE IVF</t>
        </is>
      </c>
      <c r="J69" s="15" t="n"/>
      <c r="K69" s="18" t="n">
        <v>437.25</v>
      </c>
      <c r="L69" s="17" t="inlineStr">
        <is>
          <t>242.56</t>
        </is>
      </c>
      <c r="M69" s="16" t="n">
        <v>45949</v>
      </c>
      <c r="N69" s="16" t="n">
        <v>44610</v>
      </c>
      <c r="O69" s="17" t="inlineStr">
        <is>
          <t>954.69</t>
        </is>
      </c>
      <c r="P69" s="17" t="inlineStr">
        <is>
          <t>760.00</t>
        </is>
      </c>
      <c r="Q69" s="16" t="n"/>
    </row>
    <row r="70" ht="66" customHeight="1">
      <c r="A70" s="11" t="inlineStr">
        <is>
          <t>AU21035</t>
        </is>
      </c>
      <c r="B70" s="12" t="n">
        <v>37382</v>
      </c>
      <c r="C70" s="11" t="inlineStr">
        <is>
          <t>Head of Department</t>
        </is>
      </c>
      <c r="D70" s="11" t="n"/>
      <c r="E70" s="11" t="inlineStr">
        <is>
          <t>FP - Full Time Waged</t>
        </is>
      </c>
      <c r="F70" s="11" t="inlineStr">
        <is>
          <t>Melbourne IVF Medical Scientists Enterprise Agreement</t>
        </is>
      </c>
      <c r="G70" s="11" t="inlineStr">
        <is>
          <t>Victoria</t>
        </is>
      </c>
      <c r="H70" s="13" t="inlineStr">
        <is>
          <t>76.00</t>
        </is>
      </c>
      <c r="I70" s="11" t="inlineStr">
        <is>
          <t>MELBOURNE IVF</t>
        </is>
      </c>
      <c r="J70" s="11" t="n"/>
      <c r="K70" s="19" t="n">
        <v>1133.92</v>
      </c>
      <c r="L70" s="13" t="inlineStr">
        <is>
          <t>228.61</t>
        </is>
      </c>
      <c r="M70" s="12" t="n">
        <v>45949</v>
      </c>
      <c r="N70" s="12" t="n">
        <v>44687</v>
      </c>
      <c r="O70" s="13" t="inlineStr">
        <is>
          <t>1,315.71</t>
        </is>
      </c>
      <c r="P70" s="13" t="inlineStr">
        <is>
          <t>410.40</t>
        </is>
      </c>
      <c r="Q70" s="12" t="n"/>
    </row>
    <row r="71" ht="66" customHeight="1">
      <c r="A71" s="15" t="inlineStr">
        <is>
          <t>AU21005</t>
        </is>
      </c>
      <c r="B71" s="16" t="n">
        <v>34547</v>
      </c>
      <c r="C71" s="15" t="inlineStr">
        <is>
          <t>Embryologist</t>
        </is>
      </c>
      <c r="D71" s="15" t="n"/>
      <c r="E71" s="15" t="inlineStr">
        <is>
          <t>FP - Full Time Waged</t>
        </is>
      </c>
      <c r="F71" s="15" t="inlineStr">
        <is>
          <t>Melbourne IVF Medical Scientists Enterprise Agreement</t>
        </is>
      </c>
      <c r="G71" s="15" t="inlineStr">
        <is>
          <t>Victoria</t>
        </is>
      </c>
      <c r="H71" s="17" t="inlineStr">
        <is>
          <t>76.00</t>
        </is>
      </c>
      <c r="I71" s="15" t="inlineStr">
        <is>
          <t>MELBOURNE IVF</t>
        </is>
      </c>
      <c r="J71" s="15" t="n"/>
      <c r="K71" s="18" t="n">
        <v>198.53</v>
      </c>
      <c r="L71" s="17" t="inlineStr">
        <is>
          <t>69.96</t>
        </is>
      </c>
      <c r="M71" s="16" t="n">
        <v>45949</v>
      </c>
      <c r="N71" s="16" t="n">
        <v>45505</v>
      </c>
      <c r="O71" s="17" t="inlineStr">
        <is>
          <t>282.57</t>
        </is>
      </c>
      <c r="P71" s="17" t="inlineStr">
        <is>
          <t>154.00</t>
        </is>
      </c>
      <c r="Q71" s="16" t="n"/>
    </row>
    <row r="72" ht="66" customHeight="1">
      <c r="A72" s="11" t="inlineStr">
        <is>
          <t>AU21025</t>
        </is>
      </c>
      <c r="B72" s="12" t="n">
        <v>37165</v>
      </c>
      <c r="C72" s="11" t="inlineStr">
        <is>
          <t>Accounts Payable Administrator</t>
        </is>
      </c>
      <c r="D72" s="11" t="n"/>
      <c r="E72" s="11" t="inlineStr">
        <is>
          <t>FP - Full Time Waged</t>
        </is>
      </c>
      <c r="F72" s="11" t="inlineStr">
        <is>
          <t>Melbourne IVF Support Services Enterprise Agreement</t>
        </is>
      </c>
      <c r="G72" s="11" t="inlineStr">
        <is>
          <t>Victoria</t>
        </is>
      </c>
      <c r="H72" s="13" t="inlineStr">
        <is>
          <t>76.00</t>
        </is>
      </c>
      <c r="I72" s="11" t="inlineStr">
        <is>
          <t>MELBOURNE IVF</t>
        </is>
      </c>
      <c r="J72" s="11" t="n"/>
      <c r="K72" s="19" t="n">
        <v>1511.18</v>
      </c>
      <c r="L72" s="13" t="inlineStr">
        <is>
          <t>267.92</t>
        </is>
      </c>
      <c r="M72" s="12" t="n">
        <v>45949</v>
      </c>
      <c r="N72" s="12" t="n">
        <v>44470</v>
      </c>
      <c r="O72" s="13" t="inlineStr">
        <is>
          <t>1,243.26</t>
        </is>
      </c>
      <c r="P72" s="13" t="inlineStr"/>
      <c r="Q72" s="12" t="n"/>
    </row>
    <row r="73" ht="52.8" customHeight="1">
      <c r="A73" s="15" t="inlineStr">
        <is>
          <t>AU21019</t>
        </is>
      </c>
      <c r="B73" s="16" t="n">
        <v>36913</v>
      </c>
      <c r="C73" s="15" t="inlineStr">
        <is>
          <t>Associate Nurse Unit Manager</t>
        </is>
      </c>
      <c r="D73" s="15" t="n"/>
      <c r="E73" s="15" t="inlineStr">
        <is>
          <t>PT - Part Time Waged</t>
        </is>
      </c>
      <c r="F73" s="15" t="inlineStr">
        <is>
          <t>Melbourne IVF Nurses Enterprise Agreement</t>
        </is>
      </c>
      <c r="G73" s="15" t="inlineStr">
        <is>
          <t>Victoria</t>
        </is>
      </c>
      <c r="H73" s="17" t="inlineStr">
        <is>
          <t>30.40</t>
        </is>
      </c>
      <c r="I73" s="15" t="inlineStr">
        <is>
          <t>MELBOURNE IVF</t>
        </is>
      </c>
      <c r="J73" s="15" t="n"/>
      <c r="K73" s="18" t="n">
        <v>577.59</v>
      </c>
      <c r="L73" s="17" t="inlineStr">
        <is>
          <t>126.66</t>
        </is>
      </c>
      <c r="M73" s="16" t="n">
        <v>45949</v>
      </c>
      <c r="N73" s="16" t="n">
        <v>44218</v>
      </c>
      <c r="O73" s="17" t="inlineStr">
        <is>
          <t>526.93</t>
        </is>
      </c>
      <c r="P73" s="17" t="inlineStr">
        <is>
          <t>76.00</t>
        </is>
      </c>
      <c r="Q73" s="16" t="n"/>
    </row>
    <row r="74" ht="66" customHeight="1">
      <c r="A74" s="11" t="n">
        <v>124</v>
      </c>
      <c r="B74" s="12" t="n">
        <v>38740</v>
      </c>
      <c r="C74" s="11" t="inlineStr">
        <is>
          <t>Embryologist</t>
        </is>
      </c>
      <c r="D74" s="11" t="n"/>
      <c r="E74" s="11" t="inlineStr">
        <is>
          <t>PT - Part Time Waged</t>
        </is>
      </c>
      <c r="F74" s="11" t="inlineStr">
        <is>
          <t>Melbourne IVF Medical Scientists Enterprise Agreement</t>
        </is>
      </c>
      <c r="G74" s="11" t="inlineStr">
        <is>
          <t>Victoria</t>
        </is>
      </c>
      <c r="H74" s="13" t="inlineStr">
        <is>
          <t>64.00</t>
        </is>
      </c>
      <c r="I74" s="11" t="inlineStr">
        <is>
          <t>MELBOURNE IVF</t>
        </is>
      </c>
      <c r="J74" s="11" t="n"/>
      <c r="K74" s="14" t="n">
        <v>395.18</v>
      </c>
      <c r="L74" s="13" t="inlineStr">
        <is>
          <t>263.91</t>
        </is>
      </c>
      <c r="M74" s="12" t="n">
        <v>45949</v>
      </c>
      <c r="N74" s="12" t="n">
        <v>44219</v>
      </c>
      <c r="O74" s="13" t="inlineStr">
        <is>
          <t>539.27</t>
        </is>
      </c>
      <c r="P74" s="13" t="inlineStr">
        <is>
          <t>408.00</t>
        </is>
      </c>
      <c r="Q74" s="12" t="n"/>
    </row>
    <row r="75" ht="52.8" customHeight="1">
      <c r="A75" s="15" t="n">
        <v>153</v>
      </c>
      <c r="B75" s="16" t="n">
        <v>39090</v>
      </c>
      <c r="C75" s="15" t="inlineStr">
        <is>
          <t>Registered Nurse</t>
        </is>
      </c>
      <c r="D75" s="15" t="n"/>
      <c r="E75" s="15" t="inlineStr">
        <is>
          <t>PT - Part Time Waged</t>
        </is>
      </c>
      <c r="F75" s="15" t="inlineStr">
        <is>
          <t>Melbourne IVF Nurses Enterprise Agreement</t>
        </is>
      </c>
      <c r="G75" s="15" t="inlineStr">
        <is>
          <t>Victoria</t>
        </is>
      </c>
      <c r="H75" s="17" t="inlineStr">
        <is>
          <t>68.40</t>
        </is>
      </c>
      <c r="I75" s="15" t="inlineStr">
        <is>
          <t>MELBOURNE IVF</t>
        </is>
      </c>
      <c r="J75" s="15" t="n"/>
      <c r="K75" s="18" t="n">
        <v>426.79</v>
      </c>
      <c r="L75" s="17" t="inlineStr">
        <is>
          <t>93.62</t>
        </is>
      </c>
      <c r="M75" s="16" t="n">
        <v>45949</v>
      </c>
      <c r="N75" s="16" t="n">
        <v>44569</v>
      </c>
      <c r="O75" s="17" t="inlineStr">
        <is>
          <t>652.37</t>
        </is>
      </c>
      <c r="P75" s="17" t="inlineStr">
        <is>
          <t>319.20</t>
        </is>
      </c>
      <c r="Q75" s="16" t="n"/>
    </row>
    <row r="76" ht="66" customHeight="1">
      <c r="A76" s="11" t="n">
        <v>165</v>
      </c>
      <c r="B76" s="12" t="n">
        <v>39182</v>
      </c>
      <c r="C76" s="11" t="inlineStr">
        <is>
          <t>Embryologist</t>
        </is>
      </c>
      <c r="D76" s="11" t="n"/>
      <c r="E76" s="11" t="inlineStr">
        <is>
          <t>FP - Full Time Waged</t>
        </is>
      </c>
      <c r="F76" s="11" t="inlineStr">
        <is>
          <t>Melbourne IVF Medical Scientists Enterprise Agreement</t>
        </is>
      </c>
      <c r="G76" s="11" t="inlineStr">
        <is>
          <t>Victoria</t>
        </is>
      </c>
      <c r="H76" s="13" t="inlineStr">
        <is>
          <t>76.00</t>
        </is>
      </c>
      <c r="I76" s="11" t="inlineStr">
        <is>
          <t>MELBOURNE IVF</t>
        </is>
      </c>
      <c r="J76" s="11" t="n"/>
      <c r="K76" s="14" t="n">
        <v>617.04</v>
      </c>
      <c r="L76" s="13" t="inlineStr">
        <is>
          <t>233.32</t>
        </is>
      </c>
      <c r="M76" s="12" t="n">
        <v>45949</v>
      </c>
      <c r="N76" s="12" t="n">
        <v>44661</v>
      </c>
      <c r="O76" s="13" t="inlineStr">
        <is>
          <t>461.72</t>
        </is>
      </c>
      <c r="P76" s="13" t="inlineStr">
        <is>
          <t>78.00</t>
        </is>
      </c>
      <c r="Q76" s="12" t="n"/>
    </row>
    <row r="77" ht="66" customHeight="1">
      <c r="A77" s="15" t="n">
        <v>198</v>
      </c>
      <c r="B77" s="16" t="n">
        <v>39426</v>
      </c>
      <c r="C77" s="15" t="inlineStr">
        <is>
          <t>Genetics Senior Scientist</t>
        </is>
      </c>
      <c r="D77" s="15" t="n"/>
      <c r="E77" s="15" t="inlineStr">
        <is>
          <t>PT - Part Time Waged</t>
        </is>
      </c>
      <c r="F77" s="15" t="inlineStr">
        <is>
          <t>Melbourne IVF Medical Scientists Enterprise Agreement</t>
        </is>
      </c>
      <c r="G77" s="15" t="inlineStr">
        <is>
          <t>Victoria</t>
        </is>
      </c>
      <c r="H77" s="17" t="inlineStr">
        <is>
          <t>45.60</t>
        </is>
      </c>
      <c r="I77" s="15" t="inlineStr">
        <is>
          <t>MELBOURNE IVF</t>
        </is>
      </c>
      <c r="J77" s="15" t="n"/>
      <c r="K77" s="18" t="n">
        <v>178.67</v>
      </c>
      <c r="L77" s="17" t="inlineStr">
        <is>
          <t>162.75</t>
        </is>
      </c>
      <c r="M77" s="16" t="n">
        <v>45949</v>
      </c>
      <c r="N77" s="16" t="n">
        <v>44905</v>
      </c>
      <c r="O77" s="17" t="inlineStr">
        <is>
          <t>973.52</t>
        </is>
      </c>
      <c r="P77" s="17" t="inlineStr">
        <is>
          <t>957.60</t>
        </is>
      </c>
      <c r="Q77" s="16" t="n"/>
    </row>
    <row r="78" ht="66" customHeight="1">
      <c r="A78" s="11" t="n">
        <v>214</v>
      </c>
      <c r="B78" s="12" t="n">
        <v>39601</v>
      </c>
      <c r="C78" s="11" t="inlineStr">
        <is>
          <t>Genetics Senior Scientist</t>
        </is>
      </c>
      <c r="D78" s="11" t="n"/>
      <c r="E78" s="11" t="inlineStr">
        <is>
          <t>FP - Full Time Waged</t>
        </is>
      </c>
      <c r="F78" s="11" t="inlineStr">
        <is>
          <t>Melbourne IVF Medical Scientists Enterprise Agreement</t>
        </is>
      </c>
      <c r="G78" s="11" t="inlineStr">
        <is>
          <t>Victoria</t>
        </is>
      </c>
      <c r="H78" s="13" t="inlineStr">
        <is>
          <t>76.00</t>
        </is>
      </c>
      <c r="I78" s="11" t="inlineStr">
        <is>
          <t>MELBOURNE IVF</t>
        </is>
      </c>
      <c r="J78" s="11" t="n"/>
      <c r="K78" s="19" t="n">
        <v>1111.94</v>
      </c>
      <c r="L78" s="13" t="inlineStr">
        <is>
          <t>157.60</t>
        </is>
      </c>
      <c r="M78" s="12" t="n">
        <v>45949</v>
      </c>
      <c r="N78" s="12" t="n">
        <v>45079</v>
      </c>
      <c r="O78" s="13" t="inlineStr">
        <is>
          <t>954.34</t>
        </is>
      </c>
      <c r="P78" s="13" t="inlineStr"/>
      <c r="Q78" s="12" t="n"/>
    </row>
    <row r="79" ht="52.8" customHeight="1">
      <c r="A79" s="15" t="n">
        <v>235</v>
      </c>
      <c r="B79" s="16" t="n">
        <v>39687</v>
      </c>
      <c r="C79" s="15" t="inlineStr">
        <is>
          <t>Registered Nurse</t>
        </is>
      </c>
      <c r="D79" s="15" t="n"/>
      <c r="E79" s="15" t="inlineStr">
        <is>
          <t>PT - Part Time Waged</t>
        </is>
      </c>
      <c r="F79" s="15" t="inlineStr">
        <is>
          <t>Melbourne IVF Nurses Enterprise Agreement</t>
        </is>
      </c>
      <c r="G79" s="15" t="inlineStr">
        <is>
          <t>Victoria</t>
        </is>
      </c>
      <c r="H79" s="17" t="inlineStr">
        <is>
          <t>45.60</t>
        </is>
      </c>
      <c r="I79" s="15" t="inlineStr">
        <is>
          <t>MELBOURNE IVF</t>
        </is>
      </c>
      <c r="J79" s="15" t="n"/>
      <c r="K79" s="18" t="n">
        <v>496.59</v>
      </c>
      <c r="L79" s="17" t="inlineStr">
        <is>
          <t>108.55</t>
        </is>
      </c>
      <c r="M79" s="16" t="n">
        <v>45949</v>
      </c>
      <c r="N79" s="16" t="n">
        <v>45165</v>
      </c>
      <c r="O79" s="17" t="inlineStr">
        <is>
          <t>494.44</t>
        </is>
      </c>
      <c r="P79" s="17" t="inlineStr">
        <is>
          <t>106.40</t>
        </is>
      </c>
      <c r="Q79" s="16" t="n"/>
    </row>
    <row r="80" ht="66" customHeight="1">
      <c r="A80" s="11" t="n">
        <v>270</v>
      </c>
      <c r="B80" s="12" t="n">
        <v>39832</v>
      </c>
      <c r="C80" s="11" t="inlineStr">
        <is>
          <t>Clinical Research Associate</t>
        </is>
      </c>
      <c r="D80" s="11" t="n"/>
      <c r="E80" s="11" t="inlineStr">
        <is>
          <t>FP - Full Time Waged</t>
        </is>
      </c>
      <c r="F80" s="11" t="inlineStr">
        <is>
          <t>Melbourne IVF Medical Scientists Enterprise Agreement</t>
        </is>
      </c>
      <c r="G80" s="11" t="inlineStr">
        <is>
          <t>Victoria</t>
        </is>
      </c>
      <c r="H80" s="13" t="inlineStr">
        <is>
          <t>76.00</t>
        </is>
      </c>
      <c r="I80" s="11" t="inlineStr">
        <is>
          <t>MELBOURNE IVF</t>
        </is>
      </c>
      <c r="J80" s="11" t="n"/>
      <c r="K80" s="19" t="n">
        <v>1104.3</v>
      </c>
      <c r="L80" s="13" t="inlineStr">
        <is>
          <t>115.76</t>
        </is>
      </c>
      <c r="M80" s="12" t="n">
        <v>45949</v>
      </c>
      <c r="N80" s="12" t="n">
        <v>45310</v>
      </c>
      <c r="O80" s="13" t="inlineStr">
        <is>
          <t>988.54</t>
        </is>
      </c>
      <c r="P80" s="13" t="inlineStr"/>
      <c r="Q80" s="12" t="n"/>
    </row>
    <row r="81" ht="52.8" customHeight="1">
      <c r="A81" s="15" t="n">
        <v>282</v>
      </c>
      <c r="B81" s="16" t="n">
        <v>39951</v>
      </c>
      <c r="C81" s="15" t="inlineStr">
        <is>
          <t>Nurse Unit Manager</t>
        </is>
      </c>
      <c r="D81" s="15" t="n"/>
      <c r="E81" s="15" t="inlineStr">
        <is>
          <t>FP - Full Time Waged</t>
        </is>
      </c>
      <c r="F81" s="15" t="inlineStr">
        <is>
          <t>Melbourne IVF Nurses Enterprise Agreement</t>
        </is>
      </c>
      <c r="G81" s="15" t="inlineStr">
        <is>
          <t>Victoria</t>
        </is>
      </c>
      <c r="H81" s="17" t="inlineStr">
        <is>
          <t>76.00</t>
        </is>
      </c>
      <c r="I81" s="15" t="inlineStr">
        <is>
          <t>MELBOURNE IVF</t>
        </is>
      </c>
      <c r="J81" s="15" t="n"/>
      <c r="K81" s="18" t="n">
        <v>408.6</v>
      </c>
      <c r="L81" s="17" t="inlineStr">
        <is>
          <t>48.26</t>
        </is>
      </c>
      <c r="M81" s="16" t="n">
        <v>45949</v>
      </c>
      <c r="N81" s="16" t="n">
        <v>45430</v>
      </c>
      <c r="O81" s="17" t="inlineStr">
        <is>
          <t>360.34</t>
        </is>
      </c>
      <c r="P81" s="17" t="inlineStr"/>
      <c r="Q81" s="16" t="n"/>
    </row>
    <row r="82" ht="66" customHeight="1">
      <c r="A82" s="11" t="n">
        <v>286</v>
      </c>
      <c r="B82" s="12" t="n">
        <v>39958</v>
      </c>
      <c r="C82" s="11" t="inlineStr">
        <is>
          <t>Embryologist</t>
        </is>
      </c>
      <c r="D82" s="11" t="n"/>
      <c r="E82" s="11" t="inlineStr">
        <is>
          <t>FP - Full Time Waged</t>
        </is>
      </c>
      <c r="F82" s="11" t="inlineStr">
        <is>
          <t>Melbourne IVF Medical Scientists Enterprise Agreement</t>
        </is>
      </c>
      <c r="G82" s="11" t="inlineStr">
        <is>
          <t>Victoria</t>
        </is>
      </c>
      <c r="H82" s="13" t="inlineStr">
        <is>
          <t>76.00</t>
        </is>
      </c>
      <c r="I82" s="11" t="inlineStr">
        <is>
          <t>MELBOURNE IVF</t>
        </is>
      </c>
      <c r="J82" s="11" t="n"/>
      <c r="K82" s="14" t="n">
        <v>605.47</v>
      </c>
      <c r="L82" s="13" t="inlineStr">
        <is>
          <t>92.75</t>
        </is>
      </c>
      <c r="M82" s="12" t="n">
        <v>45949</v>
      </c>
      <c r="N82" s="12" t="n">
        <v>45437</v>
      </c>
      <c r="O82" s="13" t="inlineStr">
        <is>
          <t>512.72</t>
        </is>
      </c>
      <c r="P82" s="13" t="inlineStr"/>
      <c r="Q82" s="12" t="n"/>
    </row>
    <row r="83" ht="66" customHeight="1">
      <c r="A83" s="15" t="n">
        <v>299</v>
      </c>
      <c r="B83" s="16" t="n">
        <v>40049</v>
      </c>
      <c r="C83" s="15" t="inlineStr">
        <is>
          <t>Clinical Research Manager</t>
        </is>
      </c>
      <c r="D83" s="15" t="n"/>
      <c r="E83" s="15" t="inlineStr">
        <is>
          <t>FP - Full Time Waged</t>
        </is>
      </c>
      <c r="F83" s="15" t="inlineStr">
        <is>
          <t>Melbourne IVF Medical Scientists Enterprise Agreement</t>
        </is>
      </c>
      <c r="G83" s="15" t="inlineStr">
        <is>
          <t>Victoria</t>
        </is>
      </c>
      <c r="H83" s="17" t="inlineStr">
        <is>
          <t>76.00</t>
        </is>
      </c>
      <c r="I83" s="15" t="inlineStr">
        <is>
          <t>MELBOURNE IVF</t>
        </is>
      </c>
      <c r="J83" s="15" t="n"/>
      <c r="K83" s="20" t="n">
        <v>1064.98</v>
      </c>
      <c r="L83" s="17" t="inlineStr">
        <is>
          <t>76.26</t>
        </is>
      </c>
      <c r="M83" s="16" t="n">
        <v>45949</v>
      </c>
      <c r="N83" s="16" t="n">
        <v>45528</v>
      </c>
      <c r="O83" s="17" t="inlineStr">
        <is>
          <t>988.72</t>
        </is>
      </c>
      <c r="P83" s="17" t="inlineStr"/>
      <c r="Q83" s="16" t="n"/>
    </row>
    <row r="84" ht="66" customHeight="1">
      <c r="A84" s="11" t="n">
        <v>318</v>
      </c>
      <c r="B84" s="12" t="n">
        <v>40119</v>
      </c>
      <c r="C84" s="11" t="inlineStr">
        <is>
          <t>Embryologist</t>
        </is>
      </c>
      <c r="D84" s="11" t="n"/>
      <c r="E84" s="11" t="inlineStr">
        <is>
          <t>PT - Part Time Waged</t>
        </is>
      </c>
      <c r="F84" s="11" t="inlineStr">
        <is>
          <t>Melbourne IVF Medical Scientists Enterprise Agreement</t>
        </is>
      </c>
      <c r="G84" s="11" t="inlineStr">
        <is>
          <t>Victoria</t>
        </is>
      </c>
      <c r="H84" s="13" t="inlineStr">
        <is>
          <t>64.00</t>
        </is>
      </c>
      <c r="I84" s="11" t="inlineStr">
        <is>
          <t>MELBOURNE IVF</t>
        </is>
      </c>
      <c r="J84" s="11" t="n"/>
      <c r="K84" s="14" t="n">
        <v>790.15</v>
      </c>
      <c r="L84" s="13" t="inlineStr">
        <is>
          <t>53.54</t>
        </is>
      </c>
      <c r="M84" s="12" t="n">
        <v>45949</v>
      </c>
      <c r="N84" s="12" t="n">
        <v>45598</v>
      </c>
      <c r="O84" s="13" t="inlineStr">
        <is>
          <t>832.61</t>
        </is>
      </c>
      <c r="P84" s="13" t="inlineStr">
        <is>
          <t>96.00</t>
        </is>
      </c>
      <c r="Q84" s="12" t="n"/>
    </row>
    <row r="85" ht="52.8" customHeight="1">
      <c r="A85" s="15" t="n">
        <v>341</v>
      </c>
      <c r="B85" s="16" t="n">
        <v>40295</v>
      </c>
      <c r="C85" s="15" t="inlineStr">
        <is>
          <t>General Manager - Operations</t>
        </is>
      </c>
      <c r="D85" s="15" t="n"/>
      <c r="E85" s="15" t="inlineStr">
        <is>
          <t>FP - Full Time Salaried</t>
        </is>
      </c>
      <c r="F85" s="15" t="inlineStr">
        <is>
          <t>Common Law Employment Contract</t>
        </is>
      </c>
      <c r="G85" s="15" t="inlineStr">
        <is>
          <t>Victoria</t>
        </is>
      </c>
      <c r="H85" s="17" t="inlineStr">
        <is>
          <t>76.00</t>
        </is>
      </c>
      <c r="I85" s="15" t="inlineStr">
        <is>
          <t>MELBOURNE IVF</t>
        </is>
      </c>
      <c r="J85" s="15" t="n"/>
      <c r="K85" s="18" t="n">
        <v>775.54</v>
      </c>
      <c r="L85" s="17" t="inlineStr">
        <is>
          <t>320.02</t>
        </is>
      </c>
      <c r="M85" s="16" t="n">
        <v>45949</v>
      </c>
      <c r="N85" s="16" t="n">
        <v>43948</v>
      </c>
      <c r="O85" s="17" t="inlineStr">
        <is>
          <t>455.52</t>
        </is>
      </c>
      <c r="P85" s="17" t="inlineStr"/>
      <c r="Q85" s="16" t="n"/>
    </row>
    <row r="86" ht="66" customHeight="1">
      <c r="A86" s="11" t="n">
        <v>342</v>
      </c>
      <c r="B86" s="12" t="n">
        <v>40287</v>
      </c>
      <c r="C86" s="11" t="inlineStr">
        <is>
          <t>Accounts Receivable Administrator</t>
        </is>
      </c>
      <c r="D86" s="11" t="n"/>
      <c r="E86" s="11" t="inlineStr">
        <is>
          <t>FP - Full Time Waged</t>
        </is>
      </c>
      <c r="F86" s="11" t="inlineStr">
        <is>
          <t>Melbourne IVF Support Services Enterprise Agreement</t>
        </is>
      </c>
      <c r="G86" s="11" t="inlineStr">
        <is>
          <t>Victoria</t>
        </is>
      </c>
      <c r="H86" s="13" t="inlineStr">
        <is>
          <t>76.00</t>
        </is>
      </c>
      <c r="I86" s="11" t="inlineStr">
        <is>
          <t>MELBOURNE IVF</t>
        </is>
      </c>
      <c r="J86" s="11" t="n"/>
      <c r="K86" s="14" t="n">
        <v>119.28</v>
      </c>
      <c r="L86" s="13" t="inlineStr">
        <is>
          <t>353.80</t>
        </is>
      </c>
      <c r="M86" s="12" t="n">
        <v>45949</v>
      </c>
      <c r="N86" s="12" t="n">
        <v>43933</v>
      </c>
      <c r="O86" s="13" t="inlineStr">
        <is>
          <t>648.98</t>
        </is>
      </c>
      <c r="P86" s="13" t="inlineStr">
        <is>
          <t>883.50</t>
        </is>
      </c>
      <c r="Q86" s="12" t="n"/>
    </row>
    <row r="87" ht="66" customHeight="1">
      <c r="A87" s="15" t="n">
        <v>368</v>
      </c>
      <c r="B87" s="16" t="n">
        <v>40547</v>
      </c>
      <c r="C87" s="15" t="inlineStr">
        <is>
          <t xml:space="preserve">CSSD Technician </t>
        </is>
      </c>
      <c r="D87" s="15" t="n"/>
      <c r="E87" s="15" t="inlineStr">
        <is>
          <t>FP - Full Time Waged</t>
        </is>
      </c>
      <c r="F87" s="15" t="inlineStr">
        <is>
          <t>Melbourne IVF Support Services Enterprise Agreement</t>
        </is>
      </c>
      <c r="G87" s="15" t="inlineStr">
        <is>
          <t>Victoria</t>
        </is>
      </c>
      <c r="H87" s="17" t="inlineStr">
        <is>
          <t>76.00</t>
        </is>
      </c>
      <c r="I87" s="15" t="inlineStr">
        <is>
          <t>MELBOURNE IVF</t>
        </is>
      </c>
      <c r="J87" s="15" t="n"/>
      <c r="K87" s="18" t="n">
        <v>974.83</v>
      </c>
      <c r="L87" s="17" t="inlineStr">
        <is>
          <t>974.83</t>
        </is>
      </c>
      <c r="M87" s="16" t="n">
        <v>45949</v>
      </c>
      <c r="N87" s="16" t="n">
        <v>40547</v>
      </c>
      <c r="O87" s="17" t="inlineStr"/>
      <c r="P87" s="17" t="inlineStr"/>
      <c r="Q87" s="16" t="n"/>
    </row>
    <row r="88" ht="66" customHeight="1">
      <c r="A88" s="11" t="n">
        <v>406</v>
      </c>
      <c r="B88" s="12" t="n">
        <v>40644</v>
      </c>
      <c r="C88" s="11" t="inlineStr">
        <is>
          <t>Embryologist</t>
        </is>
      </c>
      <c r="D88" s="11" t="n"/>
      <c r="E88" s="11" t="inlineStr">
        <is>
          <t>FP - Full Time Waged</t>
        </is>
      </c>
      <c r="F88" s="11" t="inlineStr">
        <is>
          <t>Melbourne IVF Medical Scientists Enterprise Agreement</t>
        </is>
      </c>
      <c r="G88" s="11" t="inlineStr">
        <is>
          <t>Victoria</t>
        </is>
      </c>
      <c r="H88" s="13" t="inlineStr">
        <is>
          <t>76.00</t>
        </is>
      </c>
      <c r="I88" s="11" t="inlineStr">
        <is>
          <t>MELBOURNE IVF</t>
        </is>
      </c>
      <c r="J88" s="11" t="n"/>
      <c r="K88" s="14" t="n">
        <v>660.92</v>
      </c>
      <c r="L88" s="13" t="inlineStr">
        <is>
          <t>957.32</t>
        </is>
      </c>
      <c r="M88" s="12" t="n">
        <v>45949</v>
      </c>
      <c r="N88" s="12" t="n">
        <v>40644</v>
      </c>
      <c r="O88" s="13" t="inlineStr"/>
      <c r="P88" s="13" t="inlineStr">
        <is>
          <t>296.40</t>
        </is>
      </c>
      <c r="Q88" s="12" t="n"/>
    </row>
    <row r="89" ht="52.8" customHeight="1">
      <c r="A89" s="15" t="n">
        <v>440</v>
      </c>
      <c r="B89" s="16" t="n">
        <v>40751</v>
      </c>
      <c r="C89" s="15" t="inlineStr">
        <is>
          <t>Registered Nurse</t>
        </is>
      </c>
      <c r="D89" s="15" t="n"/>
      <c r="E89" s="15" t="inlineStr">
        <is>
          <t>PT - Part Time Waged</t>
        </is>
      </c>
      <c r="F89" s="15" t="inlineStr">
        <is>
          <t>Melbourne IVF Nurses Enterprise Agreement</t>
        </is>
      </c>
      <c r="G89" s="15" t="inlineStr">
        <is>
          <t>Victoria</t>
        </is>
      </c>
      <c r="H89" s="17" t="inlineStr">
        <is>
          <t>32.00</t>
        </is>
      </c>
      <c r="I89" s="15" t="inlineStr">
        <is>
          <t>MELBOURNE IVF</t>
        </is>
      </c>
      <c r="J89" s="15" t="n"/>
      <c r="K89" s="18" t="n">
        <v>146.15</v>
      </c>
      <c r="L89" s="17" t="inlineStr">
        <is>
          <t>242.15</t>
        </is>
      </c>
      <c r="M89" s="16" t="n">
        <v>45949</v>
      </c>
      <c r="N89" s="16" t="n">
        <v>40751</v>
      </c>
      <c r="O89" s="17" t="inlineStr"/>
      <c r="P89" s="17" t="inlineStr">
        <is>
          <t>96.00</t>
        </is>
      </c>
      <c r="Q89" s="16" t="n"/>
    </row>
    <row r="90" ht="52.8" customHeight="1">
      <c r="A90" s="11" t="n">
        <v>442</v>
      </c>
      <c r="B90" s="12" t="n">
        <v>40763</v>
      </c>
      <c r="C90" s="11" t="inlineStr">
        <is>
          <t>Registered Nurse</t>
        </is>
      </c>
      <c r="D90" s="11" t="n"/>
      <c r="E90" s="11" t="inlineStr">
        <is>
          <t>PT - Part Time Waged</t>
        </is>
      </c>
      <c r="F90" s="11" t="inlineStr">
        <is>
          <t>Melbourne IVF Nurses Enterprise Agreement</t>
        </is>
      </c>
      <c r="G90" s="11" t="inlineStr">
        <is>
          <t>Victoria</t>
        </is>
      </c>
      <c r="H90" s="13" t="inlineStr">
        <is>
          <t>16.00</t>
        </is>
      </c>
      <c r="I90" s="11" t="inlineStr">
        <is>
          <t>MELBOURNE IVF</t>
        </is>
      </c>
      <c r="J90" s="11" t="n"/>
      <c r="K90" s="14" t="n">
        <v>93.02</v>
      </c>
      <c r="L90" s="13" t="inlineStr">
        <is>
          <t>197.02</t>
        </is>
      </c>
      <c r="M90" s="12" t="n">
        <v>45949</v>
      </c>
      <c r="N90" s="12" t="n">
        <v>40763</v>
      </c>
      <c r="O90" s="13" t="inlineStr"/>
      <c r="P90" s="13" t="inlineStr">
        <is>
          <t>104.00</t>
        </is>
      </c>
      <c r="Q90" s="12" t="n"/>
    </row>
    <row r="91" ht="66" customHeight="1">
      <c r="A91" s="15" t="n">
        <v>455</v>
      </c>
      <c r="B91" s="16" t="n">
        <v>40798</v>
      </c>
      <c r="C91" s="15" t="inlineStr">
        <is>
          <t>Embryologist</t>
        </is>
      </c>
      <c r="D91" s="15" t="n"/>
      <c r="E91" s="15" t="inlineStr">
        <is>
          <t>FP - Full Time Waged</t>
        </is>
      </c>
      <c r="F91" s="15" t="inlineStr">
        <is>
          <t>Melbourne IVF Medical Scientists Enterprise Agreement</t>
        </is>
      </c>
      <c r="G91" s="15" t="inlineStr">
        <is>
          <t>Victoria</t>
        </is>
      </c>
      <c r="H91" s="17" t="inlineStr">
        <is>
          <t>76.00</t>
        </is>
      </c>
      <c r="I91" s="15" t="inlineStr">
        <is>
          <t>MELBOURNE IVF</t>
        </is>
      </c>
      <c r="J91" s="15" t="n"/>
      <c r="K91" s="18" t="n">
        <v>625.97</v>
      </c>
      <c r="L91" s="17" t="inlineStr">
        <is>
          <t>40.42</t>
        </is>
      </c>
      <c r="M91" s="16" t="n">
        <v>45949</v>
      </c>
      <c r="N91" s="16" t="n">
        <v>45725</v>
      </c>
      <c r="O91" s="17" t="inlineStr">
        <is>
          <t>891.55</t>
        </is>
      </c>
      <c r="P91" s="17" t="inlineStr">
        <is>
          <t>306.00</t>
        </is>
      </c>
      <c r="Q91" s="16" t="n"/>
    </row>
    <row r="92" ht="66" customHeight="1">
      <c r="A92" s="11" t="n">
        <v>512</v>
      </c>
      <c r="B92" s="12" t="n">
        <v>41001</v>
      </c>
      <c r="C92" s="11" t="inlineStr">
        <is>
          <t>IVF Laboratory Manager</t>
        </is>
      </c>
      <c r="D92" s="11" t="n"/>
      <c r="E92" s="11" t="inlineStr">
        <is>
          <t>FP - Full Time Waged</t>
        </is>
      </c>
      <c r="F92" s="11" t="inlineStr">
        <is>
          <t>Melbourne IVF Medical Scientists Enterprise Agreement</t>
        </is>
      </c>
      <c r="G92" s="11" t="inlineStr">
        <is>
          <t>Victoria</t>
        </is>
      </c>
      <c r="H92" s="13" t="inlineStr">
        <is>
          <t>76.00</t>
        </is>
      </c>
      <c r="I92" s="11" t="inlineStr">
        <is>
          <t>MELBOURNE IVF</t>
        </is>
      </c>
      <c r="J92" s="11" t="n"/>
      <c r="K92" s="14" t="n">
        <v>509</v>
      </c>
      <c r="L92" s="13" t="inlineStr">
        <is>
          <t>621.00</t>
        </is>
      </c>
      <c r="M92" s="12" t="n">
        <v>45949</v>
      </c>
      <c r="N92" s="12" t="n">
        <v>41001</v>
      </c>
      <c r="O92" s="13" t="inlineStr"/>
      <c r="P92" s="13" t="inlineStr">
        <is>
          <t>112.00</t>
        </is>
      </c>
      <c r="Q92" s="12" t="n"/>
    </row>
    <row r="93" ht="66" customHeight="1">
      <c r="A93" s="15" t="n">
        <v>521</v>
      </c>
      <c r="B93" s="16" t="n">
        <v>41015</v>
      </c>
      <c r="C93" s="15" t="inlineStr">
        <is>
          <t>Accounts Receivable Administrator</t>
        </is>
      </c>
      <c r="D93" s="15" t="n"/>
      <c r="E93" s="15" t="inlineStr">
        <is>
          <t>FP - Full Time Waged</t>
        </is>
      </c>
      <c r="F93" s="15" t="inlineStr">
        <is>
          <t>Melbourne IVF Support Services Enterprise Agreement</t>
        </is>
      </c>
      <c r="G93" s="15" t="inlineStr">
        <is>
          <t>Victoria</t>
        </is>
      </c>
      <c r="H93" s="17" t="inlineStr">
        <is>
          <t>76.00</t>
        </is>
      </c>
      <c r="I93" s="15" t="inlineStr">
        <is>
          <t>MELBOURNE IVF</t>
        </is>
      </c>
      <c r="J93" s="15" t="n"/>
      <c r="K93" s="18" t="n">
        <v>890.37</v>
      </c>
      <c r="L93" s="17" t="inlineStr">
        <is>
          <t>890.37</t>
        </is>
      </c>
      <c r="M93" s="16" t="n">
        <v>45949</v>
      </c>
      <c r="N93" s="16" t="n">
        <v>41015</v>
      </c>
      <c r="O93" s="17" t="inlineStr"/>
      <c r="P93" s="17" t="inlineStr"/>
      <c r="Q93" s="16" t="n"/>
    </row>
    <row r="94" ht="66" customHeight="1">
      <c r="A94" s="11" t="n">
        <v>549</v>
      </c>
      <c r="B94" s="12" t="n">
        <v>41080</v>
      </c>
      <c r="C94" s="11" t="inlineStr">
        <is>
          <t>Counsellling Administrator</t>
        </is>
      </c>
      <c r="D94" s="11" t="n"/>
      <c r="E94" s="11" t="inlineStr">
        <is>
          <t>PT - Part Time Waged</t>
        </is>
      </c>
      <c r="F94" s="11" t="inlineStr">
        <is>
          <t>Melbourne IVF Support Services Enterprise Agreement</t>
        </is>
      </c>
      <c r="G94" s="11" t="inlineStr">
        <is>
          <t>Victoria</t>
        </is>
      </c>
      <c r="H94" s="13" t="inlineStr">
        <is>
          <t>68.40</t>
        </is>
      </c>
      <c r="I94" s="11" t="inlineStr">
        <is>
          <t>MELBOURNE IVF</t>
        </is>
      </c>
      <c r="J94" s="11" t="n"/>
      <c r="K94" s="14" t="n">
        <v>790.78</v>
      </c>
      <c r="L94" s="13" t="inlineStr">
        <is>
          <t>790.78</t>
        </is>
      </c>
      <c r="M94" s="12" t="n">
        <v>45949</v>
      </c>
      <c r="N94" s="12" t="n">
        <v>41080</v>
      </c>
      <c r="O94" s="13" t="inlineStr"/>
      <c r="P94" s="13" t="inlineStr"/>
      <c r="Q94" s="12" t="n"/>
    </row>
    <row r="95" ht="66" customHeight="1">
      <c r="A95" s="15" t="n">
        <v>609</v>
      </c>
      <c r="B95" s="16" t="n">
        <v>41141</v>
      </c>
      <c r="C95" s="15" t="inlineStr">
        <is>
          <t>Receptionist</t>
        </is>
      </c>
      <c r="D95" s="15" t="n"/>
      <c r="E95" s="15" t="inlineStr">
        <is>
          <t>FP - Full Time Waged</t>
        </is>
      </c>
      <c r="F95" s="15" t="inlineStr">
        <is>
          <t>Melbourne IVF Support Services Enterprise Agreement</t>
        </is>
      </c>
      <c r="G95" s="15" t="inlineStr">
        <is>
          <t>Victoria</t>
        </is>
      </c>
      <c r="H95" s="17" t="inlineStr">
        <is>
          <t>76.00</t>
        </is>
      </c>
      <c r="I95" s="15" t="inlineStr">
        <is>
          <t>MELBOURNE IVF</t>
        </is>
      </c>
      <c r="J95" s="15" t="n"/>
      <c r="K95" s="18" t="n">
        <v>373.64</v>
      </c>
      <c r="L95" s="17" t="inlineStr">
        <is>
          <t>867.64</t>
        </is>
      </c>
      <c r="M95" s="16" t="n">
        <v>45949</v>
      </c>
      <c r="N95" s="16" t="n">
        <v>41141</v>
      </c>
      <c r="O95" s="17" t="inlineStr"/>
      <c r="P95" s="17" t="inlineStr">
        <is>
          <t>494.00</t>
        </is>
      </c>
      <c r="Q95" s="16" t="n"/>
    </row>
    <row r="96" ht="66" customHeight="1">
      <c r="A96" s="11" t="n">
        <v>700</v>
      </c>
      <c r="B96" s="12" t="n">
        <v>41183</v>
      </c>
      <c r="C96" s="11" t="inlineStr">
        <is>
          <t>Andrologist</t>
        </is>
      </c>
      <c r="D96" s="11" t="n"/>
      <c r="E96" s="11" t="inlineStr">
        <is>
          <t>PT - Part Time Waged</t>
        </is>
      </c>
      <c r="F96" s="11" t="inlineStr">
        <is>
          <t>Melbourne IVF Medical Scientists Enterprise Agreement</t>
        </is>
      </c>
      <c r="G96" s="11" t="inlineStr">
        <is>
          <t>Victoria</t>
        </is>
      </c>
      <c r="H96" s="13" t="inlineStr">
        <is>
          <t>60.80</t>
        </is>
      </c>
      <c r="I96" s="11" t="inlineStr">
        <is>
          <t>MELBOURNE IVF</t>
        </is>
      </c>
      <c r="J96" s="11" t="n"/>
      <c r="K96" s="14" t="n">
        <v>490.16</v>
      </c>
      <c r="L96" s="13" t="inlineStr">
        <is>
          <t>490.16</t>
        </is>
      </c>
      <c r="M96" s="12" t="n">
        <v>45949</v>
      </c>
      <c r="N96" s="12" t="n">
        <v>41183</v>
      </c>
      <c r="O96" s="13" t="inlineStr"/>
      <c r="P96" s="13" t="inlineStr"/>
      <c r="Q96" s="12" t="n"/>
    </row>
    <row r="97" ht="52.8" customHeight="1">
      <c r="A97" s="15" t="n">
        <v>721</v>
      </c>
      <c r="B97" s="16" t="n">
        <v>41295</v>
      </c>
      <c r="C97" s="15" t="inlineStr">
        <is>
          <t>Registered Nurse</t>
        </is>
      </c>
      <c r="D97" s="15" t="n"/>
      <c r="E97" s="15" t="inlineStr">
        <is>
          <t>PT - Part Time Waged</t>
        </is>
      </c>
      <c r="F97" s="15" t="inlineStr">
        <is>
          <t>Melbourne IVF Nurses Enterprise Agreement</t>
        </is>
      </c>
      <c r="G97" s="15" t="inlineStr">
        <is>
          <t>Victoria</t>
        </is>
      </c>
      <c r="H97" s="17" t="inlineStr">
        <is>
          <t>53.20</t>
        </is>
      </c>
      <c r="I97" s="15" t="inlineStr">
        <is>
          <t>MELBOURNE IVF</t>
        </is>
      </c>
      <c r="J97" s="15" t="n"/>
      <c r="K97" s="18" t="n">
        <v>444.28</v>
      </c>
      <c r="L97" s="17" t="inlineStr">
        <is>
          <t>444.28</t>
        </is>
      </c>
      <c r="M97" s="16" t="n">
        <v>45949</v>
      </c>
      <c r="N97" s="16" t="n">
        <v>41295</v>
      </c>
      <c r="O97" s="17" t="inlineStr"/>
      <c r="P97" s="17" t="inlineStr"/>
      <c r="Q97" s="16" t="n"/>
    </row>
    <row r="98" ht="66" customHeight="1">
      <c r="A98" s="11" t="n">
        <v>722</v>
      </c>
      <c r="B98" s="12" t="n">
        <v>41298</v>
      </c>
      <c r="C98" s="11" t="inlineStr">
        <is>
          <t>Accounts Receivable Administrator</t>
        </is>
      </c>
      <c r="D98" s="11" t="n"/>
      <c r="E98" s="11" t="inlineStr">
        <is>
          <t>PT - Part Time Waged</t>
        </is>
      </c>
      <c r="F98" s="11" t="inlineStr">
        <is>
          <t>Melbourne IVF Support Services Enterprise Agreement</t>
        </is>
      </c>
      <c r="G98" s="11" t="inlineStr">
        <is>
          <t>Victoria</t>
        </is>
      </c>
      <c r="H98" s="13" t="inlineStr">
        <is>
          <t>30.40</t>
        </is>
      </c>
      <c r="I98" s="11" t="inlineStr">
        <is>
          <t>MELBOURNE IVF</t>
        </is>
      </c>
      <c r="J98" s="11" t="n"/>
      <c r="K98" s="14" t="n">
        <v>337.97</v>
      </c>
      <c r="L98" s="13" t="inlineStr">
        <is>
          <t>337.97</t>
        </is>
      </c>
      <c r="M98" s="12" t="n">
        <v>45949</v>
      </c>
      <c r="N98" s="12" t="n">
        <v>41298</v>
      </c>
      <c r="O98" s="13" t="inlineStr"/>
      <c r="P98" s="13" t="inlineStr"/>
      <c r="Q98" s="12" t="n"/>
    </row>
    <row r="99" ht="66" customHeight="1">
      <c r="A99" s="15" t="n">
        <v>725</v>
      </c>
      <c r="B99" s="16" t="n">
        <v>41332</v>
      </c>
      <c r="C99" s="15" t="inlineStr">
        <is>
          <t>Pathalogy Scientist</t>
        </is>
      </c>
      <c r="D99" s="15" t="n"/>
      <c r="E99" s="15" t="inlineStr">
        <is>
          <t>FP - Full Time Waged</t>
        </is>
      </c>
      <c r="F99" s="15" t="inlineStr">
        <is>
          <t>Melbourne IVF Medical Scientists Enterprise Agreement</t>
        </is>
      </c>
      <c r="G99" s="15" t="inlineStr">
        <is>
          <t>Victoria</t>
        </is>
      </c>
      <c r="H99" s="17" t="inlineStr">
        <is>
          <t>76.00</t>
        </is>
      </c>
      <c r="I99" s="15" t="inlineStr">
        <is>
          <t>MELBOURNE IVF</t>
        </is>
      </c>
      <c r="J99" s="15" t="n"/>
      <c r="K99" s="18" t="n">
        <v>506.37</v>
      </c>
      <c r="L99" s="17" t="inlineStr">
        <is>
          <t>833.17</t>
        </is>
      </c>
      <c r="M99" s="16" t="n">
        <v>45949</v>
      </c>
      <c r="N99" s="16" t="n">
        <v>41332</v>
      </c>
      <c r="O99" s="17" t="inlineStr"/>
      <c r="P99" s="17" t="inlineStr">
        <is>
          <t>326.80</t>
        </is>
      </c>
      <c r="Q99" s="16" t="n"/>
    </row>
    <row r="100" ht="79.2" customHeight="1">
      <c r="A100" s="11" t="n">
        <v>726</v>
      </c>
      <c r="B100" s="12" t="n">
        <v>41332</v>
      </c>
      <c r="C100" s="11" t="inlineStr">
        <is>
          <t>Pathology Laboratory Technician</t>
        </is>
      </c>
      <c r="D100" s="11" t="n"/>
      <c r="E100" s="11" t="inlineStr">
        <is>
          <t>FP - Full Time Waged</t>
        </is>
      </c>
      <c r="F100" s="11" t="inlineStr">
        <is>
          <t>Health Professionals and Support Services Award</t>
        </is>
      </c>
      <c r="G100" s="11" t="inlineStr">
        <is>
          <t>Victoria</t>
        </is>
      </c>
      <c r="H100" s="13" t="inlineStr">
        <is>
          <t>76.00</t>
        </is>
      </c>
      <c r="I100" s="11" t="inlineStr">
        <is>
          <t>MELBOURNE IVF</t>
        </is>
      </c>
      <c r="J100" s="11" t="n"/>
      <c r="K100" s="14" t="n">
        <v>574.77</v>
      </c>
      <c r="L100" s="13" t="inlineStr">
        <is>
          <t>833.17</t>
        </is>
      </c>
      <c r="M100" s="12" t="n">
        <v>45949</v>
      </c>
      <c r="N100" s="12" t="n">
        <v>41332</v>
      </c>
      <c r="O100" s="13" t="inlineStr"/>
      <c r="P100" s="13" t="inlineStr">
        <is>
          <t>258.40</t>
        </is>
      </c>
      <c r="Q100" s="12" t="n"/>
    </row>
    <row r="101" ht="66" customHeight="1">
      <c r="A101" s="15" t="n">
        <v>746</v>
      </c>
      <c r="B101" s="16" t="n">
        <v>41416</v>
      </c>
      <c r="C101" s="15" t="inlineStr">
        <is>
          <t>Genetic Counsellor</t>
        </is>
      </c>
      <c r="D101" s="15" t="n"/>
      <c r="E101" s="15" t="inlineStr">
        <is>
          <t>PT - Part Time Waged</t>
        </is>
      </c>
      <c r="F101" s="15" t="inlineStr">
        <is>
          <t>Melbourne IVF Counselling Enterprise Agreement</t>
        </is>
      </c>
      <c r="G101" s="15" t="inlineStr">
        <is>
          <t>Victoria</t>
        </is>
      </c>
      <c r="H101" s="17" t="inlineStr">
        <is>
          <t>30.40</t>
        </is>
      </c>
      <c r="I101" s="15" t="inlineStr">
        <is>
          <t>MELBOURNE IVF</t>
        </is>
      </c>
      <c r="J101" s="15" t="n"/>
      <c r="K101" s="18" t="n">
        <v>128.84</v>
      </c>
      <c r="L101" s="17" t="inlineStr">
        <is>
          <t>276.48</t>
        </is>
      </c>
      <c r="M101" s="16" t="n">
        <v>45949</v>
      </c>
      <c r="N101" s="16" t="n">
        <v>41416</v>
      </c>
      <c r="O101" s="17" t="inlineStr"/>
      <c r="P101" s="17" t="inlineStr">
        <is>
          <t>147.64</t>
        </is>
      </c>
      <c r="Q101" s="16" t="n"/>
    </row>
    <row r="102" ht="66" customHeight="1">
      <c r="A102" s="11" t="n">
        <v>771</v>
      </c>
      <c r="B102" s="12" t="n">
        <v>41512</v>
      </c>
      <c r="C102" s="11" t="inlineStr">
        <is>
          <t>Patient Liaison Administrator</t>
        </is>
      </c>
      <c r="D102" s="11" t="n"/>
      <c r="E102" s="11" t="inlineStr">
        <is>
          <t>PT - Part Time Waged</t>
        </is>
      </c>
      <c r="F102" s="11" t="inlineStr">
        <is>
          <t>Melbourne IVF Support Services Enterprise Agreement</t>
        </is>
      </c>
      <c r="G102" s="11" t="inlineStr">
        <is>
          <t>Victoria</t>
        </is>
      </c>
      <c r="H102" s="13" t="inlineStr">
        <is>
          <t>45.60</t>
        </is>
      </c>
      <c r="I102" s="11" t="inlineStr">
        <is>
          <t>MELBOURNE IVF</t>
        </is>
      </c>
      <c r="J102" s="11" t="n"/>
      <c r="K102" s="14" t="n">
        <v>313.89</v>
      </c>
      <c r="L102" s="13" t="inlineStr">
        <is>
          <t>83.37</t>
        </is>
      </c>
      <c r="M102" s="12" t="n">
        <v>45949</v>
      </c>
      <c r="N102" s="12" t="n">
        <v>45164</v>
      </c>
      <c r="O102" s="13" t="inlineStr">
        <is>
          <t>390.12</t>
        </is>
      </c>
      <c r="P102" s="13" t="inlineStr">
        <is>
          <t>159.60</t>
        </is>
      </c>
      <c r="Q102" s="12" t="n"/>
    </row>
    <row r="103" ht="52.8" customHeight="1">
      <c r="A103" s="15" t="n">
        <v>786</v>
      </c>
      <c r="B103" s="16" t="n">
        <v>41589</v>
      </c>
      <c r="C103" s="15" t="inlineStr">
        <is>
          <t>Registered Nurse</t>
        </is>
      </c>
      <c r="D103" s="15" t="n"/>
      <c r="E103" s="15" t="inlineStr">
        <is>
          <t>PT - Part Time Waged</t>
        </is>
      </c>
      <c r="F103" s="15" t="inlineStr">
        <is>
          <t>Melbourne IVF Nurses Enterprise Agreement</t>
        </is>
      </c>
      <c r="G103" s="15" t="inlineStr">
        <is>
          <t>Victoria</t>
        </is>
      </c>
      <c r="H103" s="17" t="inlineStr">
        <is>
          <t>38.00</t>
        </is>
      </c>
      <c r="I103" s="15" t="inlineStr">
        <is>
          <t>MELBOURNE IVF</t>
        </is>
      </c>
      <c r="J103" s="15" t="n"/>
      <c r="K103" s="18" t="n">
        <v>311.53</v>
      </c>
      <c r="L103" s="17" t="inlineStr">
        <is>
          <t>52.74</t>
        </is>
      </c>
      <c r="M103" s="16" t="n">
        <v>45949</v>
      </c>
      <c r="N103" s="16" t="n">
        <v>45249</v>
      </c>
      <c r="O103" s="17" t="inlineStr">
        <is>
          <t>258.79</t>
        </is>
      </c>
      <c r="P103" s="17" t="inlineStr"/>
      <c r="Q103" s="16" t="n"/>
    </row>
    <row r="104" ht="66" customHeight="1">
      <c r="A104" s="11" t="n">
        <v>796</v>
      </c>
      <c r="B104" s="12" t="n">
        <v>41645</v>
      </c>
      <c r="C104" s="11" t="inlineStr">
        <is>
          <t>Embryologist</t>
        </is>
      </c>
      <c r="D104" s="11" t="n"/>
      <c r="E104" s="11" t="inlineStr">
        <is>
          <t>PT - Part Time Waged</t>
        </is>
      </c>
      <c r="F104" s="11" t="inlineStr">
        <is>
          <t>Melbourne IVF Medical Scientists Enterprise Agreement</t>
        </is>
      </c>
      <c r="G104" s="11" t="inlineStr">
        <is>
          <t>Victoria</t>
        </is>
      </c>
      <c r="H104" s="13" t="inlineStr">
        <is>
          <t>60.80</t>
        </is>
      </c>
      <c r="I104" s="11" t="inlineStr">
        <is>
          <t>MELBOURNE IVF</t>
        </is>
      </c>
      <c r="J104" s="11" t="n"/>
      <c r="K104" s="14" t="n">
        <v>621.35</v>
      </c>
      <c r="L104" s="13" t="inlineStr">
        <is>
          <t>621.35</t>
        </is>
      </c>
      <c r="M104" s="12" t="n">
        <v>45949</v>
      </c>
      <c r="N104" s="12" t="n">
        <v>41645</v>
      </c>
      <c r="O104" s="13" t="inlineStr"/>
      <c r="P104" s="13" t="inlineStr"/>
      <c r="Q104" s="12" t="n"/>
    </row>
    <row r="105" ht="66" customHeight="1">
      <c r="A105" s="15" t="n">
        <v>801</v>
      </c>
      <c r="B105" s="16" t="n">
        <v>41667</v>
      </c>
      <c r="C105" s="15" t="inlineStr">
        <is>
          <t>Counsellor</t>
        </is>
      </c>
      <c r="D105" s="15" t="n"/>
      <c r="E105" s="15" t="inlineStr">
        <is>
          <t>PT - Part Time Waged</t>
        </is>
      </c>
      <c r="F105" s="15" t="inlineStr">
        <is>
          <t>Melbourne IVF Counselling Enterprise Agreement</t>
        </is>
      </c>
      <c r="G105" s="15" t="inlineStr">
        <is>
          <t>Victoria</t>
        </is>
      </c>
      <c r="H105" s="17" t="inlineStr">
        <is>
          <t>60.80</t>
        </is>
      </c>
      <c r="I105" s="15" t="inlineStr">
        <is>
          <t>MELBOURNE IVF</t>
        </is>
      </c>
      <c r="J105" s="15" t="n"/>
      <c r="K105" s="18" t="n">
        <v>181.17</v>
      </c>
      <c r="L105" s="17" t="inlineStr">
        <is>
          <t>618.17</t>
        </is>
      </c>
      <c r="M105" s="16" t="n">
        <v>45949</v>
      </c>
      <c r="N105" s="16" t="n">
        <v>41645</v>
      </c>
      <c r="O105" s="17" t="inlineStr"/>
      <c r="P105" s="17" t="inlineStr">
        <is>
          <t>437.00</t>
        </is>
      </c>
      <c r="Q105" s="16" t="n"/>
    </row>
    <row r="106" ht="66" customHeight="1">
      <c r="A106" s="11" t="n">
        <v>802</v>
      </c>
      <c r="B106" s="12" t="n">
        <v>41667</v>
      </c>
      <c r="C106" s="11" t="inlineStr">
        <is>
          <t>Counsellor</t>
        </is>
      </c>
      <c r="D106" s="11" t="n"/>
      <c r="E106" s="11" t="inlineStr">
        <is>
          <t>PT - Part Time Waged</t>
        </is>
      </c>
      <c r="F106" s="11" t="inlineStr">
        <is>
          <t>Melbourne IVF Counselling Enterprise Agreement</t>
        </is>
      </c>
      <c r="G106" s="11" t="inlineStr">
        <is>
          <t>Victoria</t>
        </is>
      </c>
      <c r="H106" s="13" t="inlineStr">
        <is>
          <t>30.40</t>
        </is>
      </c>
      <c r="I106" s="11" t="inlineStr">
        <is>
          <t>MELBOURNE IVF</t>
        </is>
      </c>
      <c r="J106" s="11" t="n"/>
      <c r="K106" s="14" t="n">
        <v>299.08</v>
      </c>
      <c r="L106" s="13" t="inlineStr">
        <is>
          <t>344.68</t>
        </is>
      </c>
      <c r="M106" s="12" t="n">
        <v>45949</v>
      </c>
      <c r="N106" s="12" t="n">
        <v>41667</v>
      </c>
      <c r="O106" s="13" t="inlineStr"/>
      <c r="P106" s="13" t="inlineStr">
        <is>
          <t>45.60</t>
        </is>
      </c>
      <c r="Q106" s="12" t="n"/>
    </row>
    <row r="107" ht="66" customHeight="1">
      <c r="A107" s="15" t="n">
        <v>838</v>
      </c>
      <c r="B107" s="16" t="n">
        <v>41800</v>
      </c>
      <c r="C107" s="15" t="inlineStr">
        <is>
          <t>Andrology Laboratory Manager</t>
        </is>
      </c>
      <c r="D107" s="15" t="n"/>
      <c r="E107" s="15" t="inlineStr">
        <is>
          <t>FP - Full Time Waged</t>
        </is>
      </c>
      <c r="F107" s="15" t="inlineStr">
        <is>
          <t>Melbourne IVF Medical Scientists Enterprise Agreement</t>
        </is>
      </c>
      <c r="G107" s="15" t="inlineStr">
        <is>
          <t>Victoria</t>
        </is>
      </c>
      <c r="H107" s="17" t="inlineStr">
        <is>
          <t>76.00</t>
        </is>
      </c>
      <c r="I107" s="15" t="inlineStr">
        <is>
          <t>MELBOURNE IVF</t>
        </is>
      </c>
      <c r="J107" s="15" t="n"/>
      <c r="K107" s="18" t="n">
        <v>748.71</v>
      </c>
      <c r="L107" s="17" t="inlineStr">
        <is>
          <t>748.71</t>
        </is>
      </c>
      <c r="M107" s="16" t="n">
        <v>45949</v>
      </c>
      <c r="N107" s="16" t="n">
        <v>41800</v>
      </c>
      <c r="O107" s="17" t="inlineStr"/>
      <c r="P107" s="17" t="inlineStr"/>
      <c r="Q107" s="16" t="n"/>
    </row>
    <row r="108" ht="66" customHeight="1">
      <c r="A108" s="11" t="n">
        <v>846</v>
      </c>
      <c r="B108" s="12" t="n">
        <v>41829</v>
      </c>
      <c r="C108" s="11" t="inlineStr">
        <is>
          <t>Customer Service Consultant</t>
        </is>
      </c>
      <c r="D108" s="11" t="n"/>
      <c r="E108" s="11" t="inlineStr">
        <is>
          <t>FP - Full Time Waged</t>
        </is>
      </c>
      <c r="F108" s="11" t="inlineStr">
        <is>
          <t>Melbourne IVF Support Services Enterprise Agreement</t>
        </is>
      </c>
      <c r="G108" s="11" t="inlineStr">
        <is>
          <t>Victoria</t>
        </is>
      </c>
      <c r="H108" s="13" t="inlineStr">
        <is>
          <t>76.00</t>
        </is>
      </c>
      <c r="I108" s="11" t="inlineStr">
        <is>
          <t>MELBOURNE IVF</t>
        </is>
      </c>
      <c r="J108" s="11" t="n"/>
      <c r="K108" s="14" t="n">
        <v>740.05</v>
      </c>
      <c r="L108" s="13" t="inlineStr">
        <is>
          <t>83.37</t>
        </is>
      </c>
      <c r="M108" s="12" t="n">
        <v>45949</v>
      </c>
      <c r="N108" s="12" t="n">
        <v>45487</v>
      </c>
      <c r="O108" s="13" t="inlineStr">
        <is>
          <t>656.68</t>
        </is>
      </c>
      <c r="P108" s="13" t="inlineStr"/>
      <c r="Q108" s="12" t="n"/>
    </row>
    <row r="109" ht="66" customHeight="1">
      <c r="A109" s="15" t="n">
        <v>857</v>
      </c>
      <c r="B109" s="16" t="n">
        <v>41863</v>
      </c>
      <c r="C109" s="15" t="inlineStr">
        <is>
          <t>Embryologist</t>
        </is>
      </c>
      <c r="D109" s="15" t="n"/>
      <c r="E109" s="15" t="inlineStr">
        <is>
          <t>FP - Full Time Waged</t>
        </is>
      </c>
      <c r="F109" s="15" t="inlineStr">
        <is>
          <t>Melbourne IVF Medical Scientists Enterprise Agreement</t>
        </is>
      </c>
      <c r="G109" s="15" t="inlineStr">
        <is>
          <t>Victoria</t>
        </is>
      </c>
      <c r="H109" s="17" t="inlineStr">
        <is>
          <t>76.00</t>
        </is>
      </c>
      <c r="I109" s="15" t="inlineStr">
        <is>
          <t>MELBOURNE IVF</t>
        </is>
      </c>
      <c r="J109" s="15" t="n"/>
      <c r="K109" s="18" t="n">
        <v>121.17</v>
      </c>
      <c r="L109" s="17" t="inlineStr">
        <is>
          <t>723.57</t>
        </is>
      </c>
      <c r="M109" s="16" t="n">
        <v>45949</v>
      </c>
      <c r="N109" s="16" t="n">
        <v>41863</v>
      </c>
      <c r="O109" s="17" t="inlineStr"/>
      <c r="P109" s="17" t="inlineStr">
        <is>
          <t>602.40</t>
        </is>
      </c>
      <c r="Q109" s="16" t="n"/>
    </row>
    <row r="110" ht="66" customHeight="1">
      <c r="A110" s="11" t="n">
        <v>862</v>
      </c>
      <c r="B110" s="12" t="n">
        <v>41897</v>
      </c>
      <c r="C110" s="11" t="inlineStr">
        <is>
          <t>IVF Laboratory Supervisor - Templestowe</t>
        </is>
      </c>
      <c r="D110" s="11" t="n"/>
      <c r="E110" s="11" t="inlineStr">
        <is>
          <t>FP - Full Time Waged</t>
        </is>
      </c>
      <c r="F110" s="11" t="inlineStr">
        <is>
          <t>Melbourne IVF Medical Scientists Enterprise Agreement</t>
        </is>
      </c>
      <c r="G110" s="11" t="inlineStr">
        <is>
          <t>Victoria</t>
        </is>
      </c>
      <c r="H110" s="13" t="inlineStr">
        <is>
          <t>76.00</t>
        </is>
      </c>
      <c r="I110" s="11" t="inlineStr">
        <is>
          <t>MELBOURNE IVF</t>
        </is>
      </c>
      <c r="J110" s="11" t="n"/>
      <c r="K110" s="14" t="n">
        <v>731.21</v>
      </c>
      <c r="L110" s="13" t="inlineStr">
        <is>
          <t>731.21</t>
        </is>
      </c>
      <c r="M110" s="12" t="n">
        <v>45949</v>
      </c>
      <c r="N110" s="12" t="n">
        <v>41897</v>
      </c>
      <c r="O110" s="13" t="inlineStr"/>
      <c r="P110" s="13" t="inlineStr"/>
      <c r="Q110" s="12" t="n"/>
    </row>
    <row r="111" ht="66" customHeight="1">
      <c r="A111" s="15" t="n">
        <v>869</v>
      </c>
      <c r="B111" s="16" t="n">
        <v>41920</v>
      </c>
      <c r="C111" s="15" t="inlineStr">
        <is>
          <t>Andrologist</t>
        </is>
      </c>
      <c r="D111" s="15" t="n"/>
      <c r="E111" s="15" t="inlineStr">
        <is>
          <t>PT - Part Time Waged</t>
        </is>
      </c>
      <c r="F111" s="15" t="inlineStr">
        <is>
          <t>Melbourne IVF Medical Scientists Enterprise Agreement</t>
        </is>
      </c>
      <c r="G111" s="15" t="inlineStr">
        <is>
          <t>Victoria</t>
        </is>
      </c>
      <c r="H111" s="17" t="inlineStr">
        <is>
          <t>60.80</t>
        </is>
      </c>
      <c r="I111" s="15" t="inlineStr">
        <is>
          <t>MELBOURNE IVF</t>
        </is>
      </c>
      <c r="J111" s="15" t="n"/>
      <c r="K111" s="18" t="n">
        <v>581.64</v>
      </c>
      <c r="L111" s="17" t="inlineStr">
        <is>
          <t>581.64</t>
        </is>
      </c>
      <c r="M111" s="16" t="n">
        <v>45949</v>
      </c>
      <c r="N111" s="16" t="n">
        <v>41920</v>
      </c>
      <c r="O111" s="17" t="inlineStr"/>
      <c r="P111" s="17" t="inlineStr"/>
      <c r="Q111" s="16" t="n"/>
    </row>
    <row r="112" ht="66" customHeight="1">
      <c r="A112" s="11" t="n">
        <v>873</v>
      </c>
      <c r="B112" s="12" t="n">
        <v>41991</v>
      </c>
      <c r="C112" s="11" t="inlineStr">
        <is>
          <t>Andrologist</t>
        </is>
      </c>
      <c r="D112" s="11" t="n"/>
      <c r="E112" s="11" t="inlineStr">
        <is>
          <t>PT - Part Time Waged</t>
        </is>
      </c>
      <c r="F112" s="11" t="inlineStr">
        <is>
          <t>Melbourne IVF Medical Scientists Enterprise Agreement</t>
        </is>
      </c>
      <c r="G112" s="11" t="inlineStr">
        <is>
          <t>Victoria</t>
        </is>
      </c>
      <c r="H112" s="13" t="inlineStr">
        <is>
          <t>45.60</t>
        </is>
      </c>
      <c r="I112" s="11" t="inlineStr">
        <is>
          <t>MELBOURNE IVF</t>
        </is>
      </c>
      <c r="J112" s="11" t="n"/>
      <c r="K112" s="14" t="n">
        <v>483.88</v>
      </c>
      <c r="L112" s="13" t="inlineStr">
        <is>
          <t>590.28</t>
        </is>
      </c>
      <c r="M112" s="12" t="n">
        <v>45949</v>
      </c>
      <c r="N112" s="12" t="n">
        <v>41991</v>
      </c>
      <c r="O112" s="13" t="inlineStr"/>
      <c r="P112" s="13" t="inlineStr">
        <is>
          <t>106.40</t>
        </is>
      </c>
      <c r="Q112" s="12" t="n"/>
    </row>
    <row r="113" ht="66" customHeight="1">
      <c r="A113" s="15" t="n">
        <v>888</v>
      </c>
      <c r="B113" s="16" t="n">
        <v>42135</v>
      </c>
      <c r="C113" s="15" t="inlineStr">
        <is>
          <t>Quality Assurance Embryologist</t>
        </is>
      </c>
      <c r="D113" s="15" t="n"/>
      <c r="E113" s="15" t="inlineStr">
        <is>
          <t>FP - Full Time Waged</t>
        </is>
      </c>
      <c r="F113" s="15" t="inlineStr">
        <is>
          <t>Melbourne IVF Medical Scientists Enterprise Agreement</t>
        </is>
      </c>
      <c r="G113" s="15" t="inlineStr">
        <is>
          <t>Victoria</t>
        </is>
      </c>
      <c r="H113" s="17" t="inlineStr">
        <is>
          <t>76.00</t>
        </is>
      </c>
      <c r="I113" s="15" t="inlineStr">
        <is>
          <t>MELBOURNE IVF</t>
        </is>
      </c>
      <c r="J113" s="15" t="n"/>
      <c r="K113" s="18" t="n">
        <v>648.26</v>
      </c>
      <c r="L113" s="17" t="inlineStr">
        <is>
          <t>688.26</t>
        </is>
      </c>
      <c r="M113" s="16" t="n">
        <v>45949</v>
      </c>
      <c r="N113" s="16" t="n">
        <v>42135</v>
      </c>
      <c r="O113" s="17" t="inlineStr"/>
      <c r="P113" s="17" t="inlineStr">
        <is>
          <t>40.00</t>
        </is>
      </c>
      <c r="Q113" s="16" t="n"/>
    </row>
    <row r="114" ht="52.8" customHeight="1">
      <c r="A114" s="11" t="n">
        <v>12</v>
      </c>
      <c r="B114" s="12" t="n">
        <v>40777</v>
      </c>
      <c r="C114" s="11" t="inlineStr">
        <is>
          <t>Embryologist</t>
        </is>
      </c>
      <c r="D114" s="11" t="n"/>
      <c r="E114" s="11" t="inlineStr">
        <is>
          <t>PT - Part Time Waged</t>
        </is>
      </c>
      <c r="F114" s="11" t="inlineStr">
        <is>
          <t>TAS IVF Scientists Enterprise Agreement</t>
        </is>
      </c>
      <c r="G114" s="11" t="inlineStr">
        <is>
          <t>Tasmania</t>
        </is>
      </c>
      <c r="H114" s="13" t="inlineStr">
        <is>
          <t>45.00</t>
        </is>
      </c>
      <c r="I114" s="11" t="inlineStr">
        <is>
          <t>TAS IVF PTY LTD</t>
        </is>
      </c>
      <c r="J114" s="11" t="n"/>
      <c r="K114" s="14" t="n">
        <v>310.91</v>
      </c>
      <c r="L114" s="13" t="inlineStr">
        <is>
          <t>83.21</t>
        </is>
      </c>
      <c r="M114" s="12" t="n">
        <v>45949</v>
      </c>
      <c r="N114" s="12" t="n">
        <v>44430</v>
      </c>
      <c r="O114" s="13" t="inlineStr">
        <is>
          <t>227.70</t>
        </is>
      </c>
      <c r="P114" s="13" t="inlineStr"/>
      <c r="Q114" s="12" t="n"/>
    </row>
    <row r="115" ht="52.8" customHeight="1">
      <c r="A115" s="15" t="n">
        <v>23</v>
      </c>
      <c r="B115" s="16" t="n">
        <v>36906</v>
      </c>
      <c r="C115" s="15" t="inlineStr">
        <is>
          <t>Scientific Director</t>
        </is>
      </c>
      <c r="D115" s="15" t="n"/>
      <c r="E115" s="15" t="inlineStr">
        <is>
          <t>FP - Full Time Salaried</t>
        </is>
      </c>
      <c r="F115" s="15" t="inlineStr">
        <is>
          <t>Common Law Employment Contract</t>
        </is>
      </c>
      <c r="G115" s="15" t="inlineStr">
        <is>
          <t>Tasmania</t>
        </is>
      </c>
      <c r="H115" s="17" t="inlineStr">
        <is>
          <t>75.00</t>
        </is>
      </c>
      <c r="I115" s="15" t="inlineStr">
        <is>
          <t>TAS IVF PTY LTD</t>
        </is>
      </c>
      <c r="J115" s="15" t="n"/>
      <c r="K115" s="18" t="n">
        <v>490.22</v>
      </c>
      <c r="L115" s="17" t="inlineStr">
        <is>
          <t>149.48</t>
        </is>
      </c>
      <c r="M115" s="16" t="n">
        <v>45949</v>
      </c>
      <c r="N115" s="16" t="n">
        <v>44211</v>
      </c>
      <c r="O115" s="17" t="inlineStr">
        <is>
          <t>655.74</t>
        </is>
      </c>
      <c r="P115" s="17" t="inlineStr">
        <is>
          <t>315.00</t>
        </is>
      </c>
      <c r="Q115" s="16" t="n"/>
    </row>
    <row r="116" ht="52.8" customHeight="1">
      <c r="A116" s="11" t="n">
        <v>32</v>
      </c>
      <c r="B116" s="12" t="n">
        <v>40246</v>
      </c>
      <c r="C116" s="11" t="inlineStr">
        <is>
          <t>Embryologist</t>
        </is>
      </c>
      <c r="D116" s="11" t="n"/>
      <c r="E116" s="11" t="inlineStr">
        <is>
          <t>FP - Full Time Waged</t>
        </is>
      </c>
      <c r="F116" s="11" t="inlineStr">
        <is>
          <t>TAS IVF Scientists Enterprise Agreement</t>
        </is>
      </c>
      <c r="G116" s="11" t="inlineStr">
        <is>
          <t>Tasmania</t>
        </is>
      </c>
      <c r="H116" s="13" t="inlineStr">
        <is>
          <t>75.00</t>
        </is>
      </c>
      <c r="I116" s="11" t="inlineStr">
        <is>
          <t>TAS IVF PTY LTD</t>
        </is>
      </c>
      <c r="J116" s="11" t="n"/>
      <c r="K116" s="14" t="n">
        <v>170.32</v>
      </c>
      <c r="L116" s="13" t="inlineStr">
        <is>
          <t>19.95</t>
        </is>
      </c>
      <c r="M116" s="12" t="n">
        <v>45949</v>
      </c>
      <c r="N116" s="12" t="n">
        <v>45725</v>
      </c>
      <c r="O116" s="13" t="inlineStr">
        <is>
          <t>150.37</t>
        </is>
      </c>
      <c r="P116" s="13" t="inlineStr"/>
      <c r="Q116" s="12" t="n"/>
    </row>
    <row r="117" ht="52.8" customHeight="1">
      <c r="A117" s="15" t="n">
        <v>38</v>
      </c>
      <c r="B117" s="16" t="n">
        <v>41016</v>
      </c>
      <c r="C117" s="15" t="inlineStr">
        <is>
          <t>Registered Nurse</t>
        </is>
      </c>
      <c r="D117" s="15" t="n"/>
      <c r="E117" s="15" t="inlineStr">
        <is>
          <t>PT - Part Time Waged</t>
        </is>
      </c>
      <c r="F117" s="15" t="inlineStr">
        <is>
          <t>TAS IVF Nurses Enterprise Agreement</t>
        </is>
      </c>
      <c r="G117" s="15" t="inlineStr">
        <is>
          <t>Tasmania</t>
        </is>
      </c>
      <c r="H117" s="17" t="inlineStr">
        <is>
          <t>30.00</t>
        </is>
      </c>
      <c r="I117" s="15" t="inlineStr">
        <is>
          <t>TAS IVF PTY LTD</t>
        </is>
      </c>
      <c r="J117" s="15" t="n"/>
      <c r="K117" s="18" t="n">
        <v>184.66</v>
      </c>
      <c r="L117" s="17" t="inlineStr">
        <is>
          <t>45.91</t>
        </is>
      </c>
      <c r="M117" s="16" t="n">
        <v>45949</v>
      </c>
      <c r="N117" s="16" t="n">
        <v>44668</v>
      </c>
      <c r="O117" s="17" t="inlineStr">
        <is>
          <t>138.75</t>
        </is>
      </c>
      <c r="P117" s="17" t="inlineStr"/>
      <c r="Q117" s="16" t="n"/>
    </row>
    <row r="118" ht="52.8" customHeight="1">
      <c r="A118" s="11" t="n">
        <v>39</v>
      </c>
      <c r="B118" s="12" t="n">
        <v>39574</v>
      </c>
      <c r="C118" s="11" t="inlineStr">
        <is>
          <t>Registered Nurse</t>
        </is>
      </c>
      <c r="D118" s="11" t="n"/>
      <c r="E118" s="11" t="inlineStr">
        <is>
          <t>PT - Part Time Waged</t>
        </is>
      </c>
      <c r="F118" s="11" t="inlineStr">
        <is>
          <t>TAS IVF Nurses Enterprise Agreement</t>
        </is>
      </c>
      <c r="G118" s="11" t="inlineStr">
        <is>
          <t>Tasmania</t>
        </is>
      </c>
      <c r="H118" s="13" t="inlineStr">
        <is>
          <t>43.00</t>
        </is>
      </c>
      <c r="I118" s="11" t="inlineStr">
        <is>
          <t>TAS IVF PTY LTD</t>
        </is>
      </c>
      <c r="J118" s="11" t="n"/>
      <c r="K118" s="14" t="n">
        <v>36.9</v>
      </c>
      <c r="L118" s="13" t="inlineStr">
        <is>
          <t>33.69</t>
        </is>
      </c>
      <c r="M118" s="12" t="n">
        <v>45949</v>
      </c>
      <c r="N118" s="12" t="n">
        <v>45052</v>
      </c>
      <c r="O118" s="13" t="inlineStr">
        <is>
          <t>3.21</t>
        </is>
      </c>
      <c r="P118" s="13" t="inlineStr"/>
      <c r="Q118" s="12" t="n"/>
    </row>
    <row r="119" ht="79.2" customHeight="1">
      <c r="A119" s="15" t="n">
        <v>901</v>
      </c>
      <c r="B119" s="16" t="n">
        <v>42303</v>
      </c>
      <c r="C119" s="15" t="inlineStr">
        <is>
          <t>Phlebotomist</t>
        </is>
      </c>
      <c r="D119" s="15" t="n"/>
      <c r="E119" s="15" t="inlineStr">
        <is>
          <t>PT - Part Time Waged</t>
        </is>
      </c>
      <c r="F119" s="15" t="inlineStr">
        <is>
          <t>Health Professionals and Support Services Award</t>
        </is>
      </c>
      <c r="G119" s="15" t="inlineStr">
        <is>
          <t>Victoria</t>
        </is>
      </c>
      <c r="H119" s="17" t="inlineStr">
        <is>
          <t>45.60</t>
        </is>
      </c>
      <c r="I119" s="15" t="inlineStr">
        <is>
          <t>MELBOURNE IVF</t>
        </is>
      </c>
      <c r="J119" s="15" t="n"/>
      <c r="K119" s="18" t="n">
        <v>15.92</v>
      </c>
      <c r="L119" s="17" t="inlineStr">
        <is>
          <t>59.06</t>
        </is>
      </c>
      <c r="M119" s="16" t="n">
        <v>45949</v>
      </c>
      <c r="N119" s="16" t="n">
        <v>44860</v>
      </c>
      <c r="O119" s="17" t="inlineStr">
        <is>
          <t>126.86</t>
        </is>
      </c>
      <c r="P119" s="17" t="inlineStr">
        <is>
          <t>170.00</t>
        </is>
      </c>
      <c r="Q119" s="16" t="n"/>
    </row>
    <row r="120" ht="52.8" customHeight="1">
      <c r="A120" s="11" t="n">
        <v>910</v>
      </c>
      <c r="B120" s="12" t="n">
        <v>42338</v>
      </c>
      <c r="C120" s="11" t="inlineStr">
        <is>
          <t>Enrolled Nurse</t>
        </is>
      </c>
      <c r="D120" s="11" t="n"/>
      <c r="E120" s="11" t="inlineStr">
        <is>
          <t>PT - Part Time Waged</t>
        </is>
      </c>
      <c r="F120" s="11" t="inlineStr">
        <is>
          <t>Melbourne IVF Nurses Enterprise Agreement</t>
        </is>
      </c>
      <c r="G120" s="11" t="inlineStr">
        <is>
          <t>Victoria</t>
        </is>
      </c>
      <c r="H120" s="13" t="inlineStr">
        <is>
          <t>58.00</t>
        </is>
      </c>
      <c r="I120" s="11" t="inlineStr">
        <is>
          <t>MELBOURNE IVF</t>
        </is>
      </c>
      <c r="J120" s="11" t="n"/>
      <c r="K120" s="14" t="n">
        <v>176.75</v>
      </c>
      <c r="L120" s="13" t="inlineStr">
        <is>
          <t>40.39</t>
        </is>
      </c>
      <c r="M120" s="12" t="n">
        <v>45949</v>
      </c>
      <c r="N120" s="12" t="n">
        <v>45571</v>
      </c>
      <c r="O120" s="13" t="inlineStr">
        <is>
          <t>158.86</t>
        </is>
      </c>
      <c r="P120" s="13" t="inlineStr">
        <is>
          <t>22.50</t>
        </is>
      </c>
      <c r="Q120" s="12" t="n"/>
    </row>
    <row r="121" ht="52.8" customHeight="1">
      <c r="A121" s="15" t="n">
        <v>913</v>
      </c>
      <c r="B121" s="16" t="n">
        <v>42339</v>
      </c>
      <c r="C121" s="15" t="inlineStr">
        <is>
          <t>Registered Nurse</t>
        </is>
      </c>
      <c r="D121" s="15" t="n"/>
      <c r="E121" s="15" t="inlineStr">
        <is>
          <t>FP - Full Time Waged</t>
        </is>
      </c>
      <c r="F121" s="15" t="inlineStr">
        <is>
          <t>Melbourne IVF Nurses Enterprise Agreement</t>
        </is>
      </c>
      <c r="G121" s="15" t="inlineStr">
        <is>
          <t>Victoria</t>
        </is>
      </c>
      <c r="H121" s="17" t="inlineStr">
        <is>
          <t>76.00</t>
        </is>
      </c>
      <c r="I121" s="15" t="inlineStr">
        <is>
          <t>MELBOURNE IVF</t>
        </is>
      </c>
      <c r="J121" s="15" t="n"/>
      <c r="K121" s="18" t="n">
        <v>651.4400000000001</v>
      </c>
      <c r="L121" s="17" t="inlineStr">
        <is>
          <t>651.44</t>
        </is>
      </c>
      <c r="M121" s="16" t="n">
        <v>45949</v>
      </c>
      <c r="N121" s="16" t="n">
        <v>42339</v>
      </c>
      <c r="O121" s="17" t="inlineStr"/>
      <c r="P121" s="17" t="inlineStr"/>
      <c r="Q121" s="16" t="n"/>
    </row>
    <row r="122" ht="66" customHeight="1">
      <c r="A122" s="11" t="n">
        <v>917</v>
      </c>
      <c r="B122" s="12" t="n">
        <v>42411</v>
      </c>
      <c r="C122" s="11" t="inlineStr">
        <is>
          <t>Quality Assurance Embryologist</t>
        </is>
      </c>
      <c r="D122" s="11" t="n"/>
      <c r="E122" s="11" t="inlineStr">
        <is>
          <t>PT - Part Time Waged</t>
        </is>
      </c>
      <c r="F122" s="11" t="inlineStr">
        <is>
          <t>Melbourne IVF Medical Scientists Enterprise Agreement</t>
        </is>
      </c>
      <c r="G122" s="11" t="inlineStr">
        <is>
          <t>Victoria</t>
        </is>
      </c>
      <c r="H122" s="13" t="inlineStr">
        <is>
          <t>72.00</t>
        </is>
      </c>
      <c r="I122" s="11" t="inlineStr">
        <is>
          <t>MELBOURNE IVF</t>
        </is>
      </c>
      <c r="J122" s="11" t="n"/>
      <c r="K122" s="14" t="n">
        <v>566.63</v>
      </c>
      <c r="L122" s="13" t="inlineStr">
        <is>
          <t>566.63</t>
        </is>
      </c>
      <c r="M122" s="12" t="n">
        <v>45949</v>
      </c>
      <c r="N122" s="12" t="n">
        <v>42411</v>
      </c>
      <c r="O122" s="13" t="inlineStr"/>
      <c r="P122" s="13" t="inlineStr"/>
      <c r="Q122" s="12" t="n"/>
    </row>
    <row r="123" ht="66" customHeight="1">
      <c r="A123" s="15" t="n">
        <v>45</v>
      </c>
      <c r="B123" s="16" t="n">
        <v>42416</v>
      </c>
      <c r="C123" s="15" t="inlineStr">
        <is>
          <t>Patient Liaison Administrator</t>
        </is>
      </c>
      <c r="D123" s="15" t="n"/>
      <c r="E123" s="15" t="inlineStr">
        <is>
          <t>PT - Part Time Waged</t>
        </is>
      </c>
      <c r="F123" s="15" t="inlineStr">
        <is>
          <t>TAS IVF Support Services Enterprise Agreement</t>
        </is>
      </c>
      <c r="G123" s="15" t="inlineStr">
        <is>
          <t>Tasmania</t>
        </is>
      </c>
      <c r="H123" s="17" t="inlineStr">
        <is>
          <t>55.00</t>
        </is>
      </c>
      <c r="I123" s="15" t="inlineStr">
        <is>
          <t>TAS IVF PTY LTD</t>
        </is>
      </c>
      <c r="J123" s="15" t="n"/>
      <c r="K123" s="18" t="n">
        <v>251.67</v>
      </c>
      <c r="L123" s="17" t="inlineStr">
        <is>
          <t>251.67</t>
        </is>
      </c>
      <c r="M123" s="16" t="n">
        <v>45949</v>
      </c>
      <c r="N123" s="16" t="n">
        <v>42416</v>
      </c>
      <c r="O123" s="17" t="inlineStr"/>
      <c r="P123" s="17" t="inlineStr"/>
      <c r="Q123" s="16" t="n"/>
    </row>
    <row r="124" ht="52.8" customHeight="1">
      <c r="A124" s="11" t="n">
        <v>931</v>
      </c>
      <c r="B124" s="12" t="n">
        <v>42422</v>
      </c>
      <c r="C124" s="11" t="inlineStr">
        <is>
          <t>Clinical Nurse Specialist</t>
        </is>
      </c>
      <c r="D124" s="11" t="n"/>
      <c r="E124" s="11" t="inlineStr">
        <is>
          <t>PT - Part Time Waged</t>
        </is>
      </c>
      <c r="F124" s="11" t="inlineStr">
        <is>
          <t>Melbourne IVF Nurses Enterprise Agreement</t>
        </is>
      </c>
      <c r="G124" s="11" t="inlineStr">
        <is>
          <t>Victoria</t>
        </is>
      </c>
      <c r="H124" s="13" t="inlineStr">
        <is>
          <t>45.00</t>
        </is>
      </c>
      <c r="I124" s="11" t="inlineStr">
        <is>
          <t>MELBOURNE IVF</t>
        </is>
      </c>
      <c r="J124" s="11" t="n"/>
      <c r="K124" s="14" t="n">
        <v>293.53</v>
      </c>
      <c r="L124" s="13" t="inlineStr">
        <is>
          <t>67.32</t>
        </is>
      </c>
      <c r="M124" s="12" t="n">
        <v>45949</v>
      </c>
      <c r="N124" s="12" t="n">
        <v>42422</v>
      </c>
      <c r="O124" s="13" t="inlineStr">
        <is>
          <t>226.21</t>
        </is>
      </c>
      <c r="P124" s="13" t="inlineStr"/>
      <c r="Q124" s="12" t="n"/>
    </row>
    <row r="125" ht="52.8" customHeight="1">
      <c r="A125" s="15" t="n">
        <v>952</v>
      </c>
      <c r="B125" s="16" t="n">
        <v>42562</v>
      </c>
      <c r="C125" s="15" t="inlineStr">
        <is>
          <t>Associate Nurse Unit Manager</t>
        </is>
      </c>
      <c r="D125" s="15" t="n"/>
      <c r="E125" s="15" t="inlineStr">
        <is>
          <t>FP - Full Time Waged</t>
        </is>
      </c>
      <c r="F125" s="15" t="inlineStr">
        <is>
          <t>Melbourne IVF Nurses Enterprise Agreement</t>
        </is>
      </c>
      <c r="G125" s="15" t="inlineStr">
        <is>
          <t>Victoria</t>
        </is>
      </c>
      <c r="H125" s="17" t="inlineStr">
        <is>
          <t>76.00</t>
        </is>
      </c>
      <c r="I125" s="15" t="inlineStr">
        <is>
          <t>MELBOURNE IVF</t>
        </is>
      </c>
      <c r="J125" s="15" t="n"/>
      <c r="K125" s="18" t="n">
        <v>488.48</v>
      </c>
      <c r="L125" s="17" t="inlineStr">
        <is>
          <t>488.48</t>
        </is>
      </c>
      <c r="M125" s="16" t="n">
        <v>45949</v>
      </c>
      <c r="N125" s="16" t="n">
        <v>42562</v>
      </c>
      <c r="O125" s="17" t="inlineStr"/>
      <c r="P125" s="17" t="inlineStr"/>
      <c r="Q125" s="16" t="n"/>
    </row>
    <row r="126" ht="66" customHeight="1">
      <c r="A126" s="11" t="n">
        <v>965</v>
      </c>
      <c r="B126" s="12" t="n">
        <v>42667</v>
      </c>
      <c r="C126" s="11" t="inlineStr">
        <is>
          <t>Genetic Scientist</t>
        </is>
      </c>
      <c r="D126" s="11" t="n"/>
      <c r="E126" s="11" t="inlineStr">
        <is>
          <t>FP - Full Time Waged</t>
        </is>
      </c>
      <c r="F126" s="11" t="inlineStr">
        <is>
          <t>Melbourne IVF Medical Scientists Enterprise Agreement</t>
        </is>
      </c>
      <c r="G126" s="11" t="inlineStr">
        <is>
          <t>Victoria</t>
        </is>
      </c>
      <c r="H126" s="13" t="inlineStr">
        <is>
          <t>76.00</t>
        </is>
      </c>
      <c r="I126" s="11" t="inlineStr">
        <is>
          <t>MELBOURNE IVF</t>
        </is>
      </c>
      <c r="J126" s="11" t="n"/>
      <c r="K126" s="14" t="n">
        <v>592.26</v>
      </c>
      <c r="L126" s="13" t="inlineStr">
        <is>
          <t>592.26</t>
        </is>
      </c>
      <c r="M126" s="12" t="n">
        <v>45949</v>
      </c>
      <c r="N126" s="12" t="n">
        <v>42667</v>
      </c>
      <c r="O126" s="13" t="inlineStr"/>
      <c r="P126" s="13" t="inlineStr"/>
      <c r="Q126" s="12" t="n"/>
    </row>
    <row r="127" ht="52.8" customHeight="1">
      <c r="A127" s="15" t="n">
        <v>983</v>
      </c>
      <c r="B127" s="16" t="n">
        <v>42800</v>
      </c>
      <c r="C127" s="15" t="inlineStr">
        <is>
          <t>Director of Art Services</t>
        </is>
      </c>
      <c r="D127" s="15" t="n"/>
      <c r="E127" s="15" t="inlineStr">
        <is>
          <t>FP - Full Time Salaried</t>
        </is>
      </c>
      <c r="F127" s="15" t="inlineStr">
        <is>
          <t>Common Law Employment Contract</t>
        </is>
      </c>
      <c r="G127" s="15" t="inlineStr">
        <is>
          <t>Victoria</t>
        </is>
      </c>
      <c r="H127" s="17" t="inlineStr">
        <is>
          <t>76.00</t>
        </is>
      </c>
      <c r="I127" s="15" t="inlineStr">
        <is>
          <t>MELBOURNE IVF</t>
        </is>
      </c>
      <c r="J127" s="15" t="n"/>
      <c r="K127" s="18" t="n">
        <v>284.14</v>
      </c>
      <c r="L127" s="17" t="inlineStr">
        <is>
          <t>284.14</t>
        </is>
      </c>
      <c r="M127" s="16" t="n">
        <v>45949</v>
      </c>
      <c r="N127" s="16" t="n">
        <v>42800</v>
      </c>
      <c r="O127" s="17" t="inlineStr"/>
      <c r="P127" s="17" t="inlineStr"/>
      <c r="Q127" s="16" t="n"/>
    </row>
    <row r="128" ht="52.8" customHeight="1">
      <c r="A128" s="11" t="n">
        <v>56</v>
      </c>
      <c r="B128" s="12" t="n">
        <v>42821</v>
      </c>
      <c r="C128" s="11" t="inlineStr">
        <is>
          <t>Associate Nurse Unit Manager</t>
        </is>
      </c>
      <c r="D128" s="11" t="n"/>
      <c r="E128" s="11" t="inlineStr">
        <is>
          <t>PT - Part Time Waged</t>
        </is>
      </c>
      <c r="F128" s="11" t="inlineStr">
        <is>
          <t>TAS IVF Nurses Enterprise Agreement</t>
        </is>
      </c>
      <c r="G128" s="11" t="inlineStr">
        <is>
          <t>Tasmania</t>
        </is>
      </c>
      <c r="H128" s="13" t="inlineStr">
        <is>
          <t>72.00</t>
        </is>
      </c>
      <c r="I128" s="11" t="inlineStr">
        <is>
          <t>TAS IVF PTY LTD</t>
        </is>
      </c>
      <c r="J128" s="11" t="n"/>
      <c r="K128" s="14" t="n">
        <v>241.8</v>
      </c>
      <c r="L128" s="13" t="inlineStr">
        <is>
          <t>241.80</t>
        </is>
      </c>
      <c r="M128" s="12" t="n">
        <v>45949</v>
      </c>
      <c r="N128" s="12" t="n">
        <v>42821</v>
      </c>
      <c r="O128" s="13" t="inlineStr"/>
      <c r="P128" s="13" t="inlineStr"/>
      <c r="Q128" s="12" t="n"/>
    </row>
    <row r="129" ht="52.8" customHeight="1">
      <c r="A129" s="15" t="n">
        <v>57</v>
      </c>
      <c r="B129" s="16" t="n">
        <v>42835</v>
      </c>
      <c r="C129" s="15" t="inlineStr">
        <is>
          <t>Enrolled Nurse</t>
        </is>
      </c>
      <c r="D129" s="15" t="n"/>
      <c r="E129" s="15" t="inlineStr">
        <is>
          <t>PT - Part Time Waged</t>
        </is>
      </c>
      <c r="F129" s="15" t="inlineStr">
        <is>
          <t>TAS IVF Nurses Enterprise Agreement</t>
        </is>
      </c>
      <c r="G129" s="15" t="inlineStr">
        <is>
          <t>Tasmania</t>
        </is>
      </c>
      <c r="H129" s="17" t="inlineStr">
        <is>
          <t>48.00</t>
        </is>
      </c>
      <c r="I129" s="15" t="inlineStr">
        <is>
          <t>TAS IVF PTY LTD</t>
        </is>
      </c>
      <c r="J129" s="15" t="n"/>
      <c r="K129" s="18" t="n">
        <v>186.61</v>
      </c>
      <c r="L129" s="17" t="inlineStr">
        <is>
          <t>186.61</t>
        </is>
      </c>
      <c r="M129" s="16" t="n">
        <v>45949</v>
      </c>
      <c r="N129" s="16" t="n">
        <v>42835</v>
      </c>
      <c r="O129" s="17" t="inlineStr"/>
      <c r="P129" s="17" t="inlineStr"/>
      <c r="Q129" s="16" t="n"/>
    </row>
    <row r="130" ht="52.8" customHeight="1">
      <c r="A130" s="11" t="n">
        <v>993</v>
      </c>
      <c r="B130" s="12" t="n">
        <v>42912</v>
      </c>
      <c r="C130" s="11" t="inlineStr">
        <is>
          <t>Registered Nurse</t>
        </is>
      </c>
      <c r="D130" s="11" t="n"/>
      <c r="E130" s="11" t="inlineStr">
        <is>
          <t>FP - Full Time Waged</t>
        </is>
      </c>
      <c r="F130" s="11" t="inlineStr">
        <is>
          <t>Melbourne IVF Nurses Enterprise Agreement</t>
        </is>
      </c>
      <c r="G130" s="11" t="inlineStr">
        <is>
          <t>Victoria</t>
        </is>
      </c>
      <c r="H130" s="13" t="inlineStr">
        <is>
          <t>76.00</t>
        </is>
      </c>
      <c r="I130" s="11" t="inlineStr">
        <is>
          <t>MELBOURNE IVF</t>
        </is>
      </c>
      <c r="J130" s="11" t="n"/>
      <c r="K130" s="14" t="n">
        <v>222.25</v>
      </c>
      <c r="L130" s="13" t="inlineStr">
        <is>
          <t>222.25</t>
        </is>
      </c>
      <c r="M130" s="12" t="n">
        <v>45949</v>
      </c>
      <c r="N130" s="12" t="n">
        <v>42912</v>
      </c>
      <c r="O130" s="13" t="inlineStr"/>
      <c r="P130" s="13" t="inlineStr"/>
      <c r="Q130" s="12" t="n"/>
    </row>
    <row r="131" ht="52.8" customHeight="1">
      <c r="A131" s="15" t="n">
        <v>1005</v>
      </c>
      <c r="B131" s="16" t="n">
        <v>42975</v>
      </c>
      <c r="C131" s="15" t="inlineStr">
        <is>
          <t>Registered Nurse</t>
        </is>
      </c>
      <c r="D131" s="15" t="n"/>
      <c r="E131" s="15" t="inlineStr">
        <is>
          <t>PT - Part Time Waged</t>
        </is>
      </c>
      <c r="F131" s="15" t="inlineStr">
        <is>
          <t>Melbourne IVF Nurses Enterprise Agreement</t>
        </is>
      </c>
      <c r="G131" s="15" t="inlineStr">
        <is>
          <t>Victoria</t>
        </is>
      </c>
      <c r="H131" s="17" t="inlineStr">
        <is>
          <t>30.40</t>
        </is>
      </c>
      <c r="I131" s="15" t="inlineStr">
        <is>
          <t>MELBOURNE IVF</t>
        </is>
      </c>
      <c r="J131" s="15" t="n"/>
      <c r="K131" s="18" t="n">
        <v>64.53</v>
      </c>
      <c r="L131" s="17" t="inlineStr">
        <is>
          <t>25.26</t>
        </is>
      </c>
      <c r="M131" s="16" t="n">
        <v>45949</v>
      </c>
      <c r="N131" s="16" t="n">
        <v>45532</v>
      </c>
      <c r="O131" s="17" t="inlineStr">
        <is>
          <t>160.87</t>
        </is>
      </c>
      <c r="P131" s="17" t="inlineStr">
        <is>
          <t>121.60</t>
        </is>
      </c>
      <c r="Q131" s="16" t="n"/>
    </row>
    <row r="132" ht="79.2" customHeight="1">
      <c r="A132" s="11" t="n">
        <v>1025</v>
      </c>
      <c r="B132" s="12" t="n">
        <v>43012</v>
      </c>
      <c r="C132" s="11" t="inlineStr">
        <is>
          <t>Phlebotomist</t>
        </is>
      </c>
      <c r="D132" s="11" t="n"/>
      <c r="E132" s="11" t="inlineStr">
        <is>
          <t>PT - Part Time Waged</t>
        </is>
      </c>
      <c r="F132" s="11" t="inlineStr">
        <is>
          <t>Health Professionals and Support Services Award</t>
        </is>
      </c>
      <c r="G132" s="11" t="inlineStr">
        <is>
          <t>Victoria</t>
        </is>
      </c>
      <c r="H132" s="13" t="inlineStr">
        <is>
          <t>22.80</t>
        </is>
      </c>
      <c r="I132" s="11" t="inlineStr">
        <is>
          <t>MELBOURNE IVF</t>
        </is>
      </c>
      <c r="J132" s="11" t="n"/>
      <c r="K132" s="14" t="n">
        <v>79.51000000000001</v>
      </c>
      <c r="L132" s="13" t="inlineStr">
        <is>
          <t>79.51</t>
        </is>
      </c>
      <c r="M132" s="12" t="n">
        <v>45949</v>
      </c>
      <c r="N132" s="12" t="n">
        <v>43012</v>
      </c>
      <c r="O132" s="13" t="inlineStr"/>
      <c r="P132" s="13" t="inlineStr"/>
      <c r="Q132" s="12" t="n"/>
    </row>
    <row r="133" ht="52.8" customHeight="1">
      <c r="A133" s="15" t="n">
        <v>1027</v>
      </c>
      <c r="B133" s="16" t="n">
        <v>43059</v>
      </c>
      <c r="C133" s="15" t="inlineStr">
        <is>
          <t>Registered Nurse</t>
        </is>
      </c>
      <c r="D133" s="15" t="n"/>
      <c r="E133" s="15" t="inlineStr">
        <is>
          <t>PT - Part Time Waged</t>
        </is>
      </c>
      <c r="F133" s="15" t="inlineStr">
        <is>
          <t>Melbourne IVF Nurses Enterprise Agreement</t>
        </is>
      </c>
      <c r="G133" s="15" t="inlineStr">
        <is>
          <t>Victoria</t>
        </is>
      </c>
      <c r="H133" s="17" t="inlineStr">
        <is>
          <t>30.40</t>
        </is>
      </c>
      <c r="I133" s="15" t="inlineStr">
        <is>
          <t>MELBOURNE IVF</t>
        </is>
      </c>
      <c r="J133" s="15" t="n"/>
      <c r="K133" s="18" t="n">
        <v>431.47</v>
      </c>
      <c r="L133" s="17" t="inlineStr">
        <is>
          <t>431.47</t>
        </is>
      </c>
      <c r="M133" s="16" t="n">
        <v>45949</v>
      </c>
      <c r="N133" s="16" t="n">
        <v>43059</v>
      </c>
      <c r="O133" s="17" t="inlineStr"/>
      <c r="P133" s="17" t="inlineStr"/>
      <c r="Q133" s="16" t="n"/>
    </row>
    <row r="134" ht="66" customHeight="1">
      <c r="A134" s="11" t="n">
        <v>1032</v>
      </c>
      <c r="B134" s="12" t="n">
        <v>43073</v>
      </c>
      <c r="C134" s="11" t="inlineStr">
        <is>
          <t>IVF Laboratory Team Leader</t>
        </is>
      </c>
      <c r="D134" s="11" t="n"/>
      <c r="E134" s="11" t="inlineStr">
        <is>
          <t>FP - Full Time Waged</t>
        </is>
      </c>
      <c r="F134" s="11" t="inlineStr">
        <is>
          <t>Melbourne IVF Medical Scientists Enterprise Agreement</t>
        </is>
      </c>
      <c r="G134" s="11" t="inlineStr">
        <is>
          <t>Victoria</t>
        </is>
      </c>
      <c r="H134" s="13" t="inlineStr">
        <is>
          <t>76.00</t>
        </is>
      </c>
      <c r="I134" s="11" t="inlineStr">
        <is>
          <t>MELBOURNE IVF</t>
        </is>
      </c>
      <c r="J134" s="11" t="n"/>
      <c r="K134" s="14" t="n">
        <v>518.99</v>
      </c>
      <c r="L134" s="13" t="inlineStr">
        <is>
          <t>518.99</t>
        </is>
      </c>
      <c r="M134" s="12" t="n">
        <v>45949</v>
      </c>
      <c r="N134" s="12" t="n">
        <v>43073</v>
      </c>
      <c r="O134" s="13" t="inlineStr"/>
      <c r="P134" s="13" t="inlineStr"/>
      <c r="Q134" s="12" t="n"/>
    </row>
    <row r="135" ht="66" customHeight="1">
      <c r="A135" s="15" t="n">
        <v>1034</v>
      </c>
      <c r="B135" s="16" t="n">
        <v>43122</v>
      </c>
      <c r="C135" s="15" t="inlineStr">
        <is>
          <t>IVF Laboratory Team Leader</t>
        </is>
      </c>
      <c r="D135" s="15" t="n"/>
      <c r="E135" s="15" t="inlineStr">
        <is>
          <t>FP - Full Time Waged</t>
        </is>
      </c>
      <c r="F135" s="15" t="inlineStr">
        <is>
          <t>Melbourne IVF Medical Scientists Enterprise Agreement</t>
        </is>
      </c>
      <c r="G135" s="15" t="inlineStr">
        <is>
          <t>Victoria</t>
        </is>
      </c>
      <c r="H135" s="17" t="inlineStr">
        <is>
          <t>76.00</t>
        </is>
      </c>
      <c r="I135" s="15" t="inlineStr">
        <is>
          <t>MELBOURNE IVF</t>
        </is>
      </c>
      <c r="J135" s="15" t="n"/>
      <c r="K135" s="18" t="n">
        <v>510.15</v>
      </c>
      <c r="L135" s="17" t="inlineStr">
        <is>
          <t>510.15</t>
        </is>
      </c>
      <c r="M135" s="16" t="n">
        <v>45949</v>
      </c>
      <c r="N135" s="16" t="n">
        <v>43153</v>
      </c>
      <c r="O135" s="17" t="inlineStr"/>
      <c r="P135" s="17" t="inlineStr"/>
      <c r="Q135" s="16" t="n"/>
    </row>
    <row r="136" ht="52.8" customHeight="1">
      <c r="A136" s="11" t="n">
        <v>1040</v>
      </c>
      <c r="B136" s="12" t="n">
        <v>43152</v>
      </c>
      <c r="C136" s="11" t="inlineStr">
        <is>
          <t>Counselling Manager</t>
        </is>
      </c>
      <c r="D136" s="11" t="n"/>
      <c r="E136" s="11" t="inlineStr">
        <is>
          <t>PT - Part Time Salaried</t>
        </is>
      </c>
      <c r="F136" s="11" t="inlineStr">
        <is>
          <t>Common Law Employment Contract</t>
        </is>
      </c>
      <c r="G136" s="11" t="inlineStr">
        <is>
          <t>Victoria</t>
        </is>
      </c>
      <c r="H136" s="13" t="inlineStr">
        <is>
          <t>60.80</t>
        </is>
      </c>
      <c r="I136" s="11" t="inlineStr">
        <is>
          <t>MELBOURNE IVF</t>
        </is>
      </c>
      <c r="J136" s="11" t="n"/>
      <c r="K136" s="14" t="n">
        <v>201.9</v>
      </c>
      <c r="L136" s="13" t="inlineStr">
        <is>
          <t>201.90</t>
        </is>
      </c>
      <c r="M136" s="12" t="n">
        <v>45949</v>
      </c>
      <c r="N136" s="12" t="n">
        <v>43152</v>
      </c>
      <c r="O136" s="13" t="inlineStr"/>
      <c r="P136" s="13" t="inlineStr"/>
      <c r="Q136" s="12" t="n"/>
    </row>
    <row r="137" ht="52.8" customHeight="1">
      <c r="A137" s="15" t="n">
        <v>1043</v>
      </c>
      <c r="B137" s="16" t="n">
        <v>43178</v>
      </c>
      <c r="C137" s="15" t="inlineStr">
        <is>
          <t>Associate Nurse Manager</t>
        </is>
      </c>
      <c r="D137" s="15" t="n"/>
      <c r="E137" s="15" t="inlineStr">
        <is>
          <t>FP - Full Time Waged</t>
        </is>
      </c>
      <c r="F137" s="15" t="inlineStr">
        <is>
          <t>Melbourne IVF Nurses Enterprise Agreement</t>
        </is>
      </c>
      <c r="G137" s="15" t="inlineStr">
        <is>
          <t>Victoria</t>
        </is>
      </c>
      <c r="H137" s="17" t="inlineStr">
        <is>
          <t>76.00</t>
        </is>
      </c>
      <c r="I137" s="15" t="inlineStr">
        <is>
          <t>MELBOURNE IVF</t>
        </is>
      </c>
      <c r="J137" s="15" t="n"/>
      <c r="K137" s="18" t="n">
        <v>500.05</v>
      </c>
      <c r="L137" s="17" t="inlineStr">
        <is>
          <t>500.05</t>
        </is>
      </c>
      <c r="M137" s="16" t="n">
        <v>45949</v>
      </c>
      <c r="N137" s="16" t="n">
        <v>43178</v>
      </c>
      <c r="O137" s="17" t="inlineStr"/>
      <c r="P137" s="17" t="inlineStr"/>
      <c r="Q137" s="16" t="n"/>
    </row>
    <row r="138" ht="52.8" customHeight="1">
      <c r="A138" s="11" t="n">
        <v>1046</v>
      </c>
      <c r="B138" s="12" t="n">
        <v>43178</v>
      </c>
      <c r="C138" s="11" t="inlineStr">
        <is>
          <t>Nurse Educator</t>
        </is>
      </c>
      <c r="D138" s="11" t="n"/>
      <c r="E138" s="11" t="inlineStr">
        <is>
          <t>FP - Full Time Waged</t>
        </is>
      </c>
      <c r="F138" s="11" t="inlineStr">
        <is>
          <t>Melbourne IVF Nurses Enterprise Agreement</t>
        </is>
      </c>
      <c r="G138" s="11" t="inlineStr">
        <is>
          <t>Victoria</t>
        </is>
      </c>
      <c r="H138" s="13" t="inlineStr">
        <is>
          <t>76.00</t>
        </is>
      </c>
      <c r="I138" s="11" t="inlineStr">
        <is>
          <t>MELBOURNE IVF</t>
        </is>
      </c>
      <c r="J138" s="11" t="n"/>
      <c r="K138" s="14" t="n">
        <v>236.4</v>
      </c>
      <c r="L138" s="13" t="inlineStr">
        <is>
          <t>236.40</t>
        </is>
      </c>
      <c r="M138" s="12" t="n">
        <v>45949</v>
      </c>
      <c r="N138" s="12" t="n">
        <v>43178</v>
      </c>
      <c r="O138" s="13" t="inlineStr"/>
      <c r="P138" s="13" t="inlineStr"/>
      <c r="Q138" s="12" t="n"/>
    </row>
    <row r="139" ht="66" customHeight="1">
      <c r="A139" s="15" t="n">
        <v>1053</v>
      </c>
      <c r="B139" s="16" t="n">
        <v>43202</v>
      </c>
      <c r="C139" s="15" t="inlineStr">
        <is>
          <t>Counsellor</t>
        </is>
      </c>
      <c r="D139" s="15" t="n"/>
      <c r="E139" s="15" t="inlineStr">
        <is>
          <t>PT - Part Time Waged</t>
        </is>
      </c>
      <c r="F139" s="15" t="inlineStr">
        <is>
          <t>Melbourne IVF Counselling Enterprise Agreement</t>
        </is>
      </c>
      <c r="G139" s="15" t="inlineStr">
        <is>
          <t>Tasmania</t>
        </is>
      </c>
      <c r="H139" s="17" t="inlineStr">
        <is>
          <t>45.60</t>
        </is>
      </c>
      <c r="I139" s="15" t="inlineStr">
        <is>
          <t>MELBOURNE IVF</t>
        </is>
      </c>
      <c r="J139" s="15" t="n"/>
      <c r="K139" s="18" t="n">
        <v>380.2</v>
      </c>
      <c r="L139" s="17" t="inlineStr">
        <is>
          <t>380.20</t>
        </is>
      </c>
      <c r="M139" s="16" t="n">
        <v>45949</v>
      </c>
      <c r="N139" s="16" t="n">
        <v>43202</v>
      </c>
      <c r="O139" s="17" t="inlineStr"/>
      <c r="P139" s="17" t="inlineStr"/>
      <c r="Q139" s="16" t="n"/>
    </row>
    <row r="140" ht="52.8" customHeight="1">
      <c r="A140" s="11" t="n">
        <v>1068</v>
      </c>
      <c r="B140" s="12" t="n">
        <v>43273</v>
      </c>
      <c r="C140" s="11" t="inlineStr">
        <is>
          <t>Registered Nurse</t>
        </is>
      </c>
      <c r="D140" s="11" t="n"/>
      <c r="E140" s="11" t="inlineStr">
        <is>
          <t>PT - Part Time Waged</t>
        </is>
      </c>
      <c r="F140" s="11" t="inlineStr">
        <is>
          <t>Melbourne IVF Nurses Enterprise Agreement</t>
        </is>
      </c>
      <c r="G140" s="11" t="inlineStr">
        <is>
          <t>Victoria</t>
        </is>
      </c>
      <c r="H140" s="13" t="inlineStr">
        <is>
          <t>38.00</t>
        </is>
      </c>
      <c r="I140" s="11" t="inlineStr">
        <is>
          <t>MELBOURNE IVF</t>
        </is>
      </c>
      <c r="J140" s="11" t="n"/>
      <c r="K140" s="14" t="n">
        <v>253.39</v>
      </c>
      <c r="L140" s="13" t="inlineStr">
        <is>
          <t>310.39</t>
        </is>
      </c>
      <c r="M140" s="12" t="n">
        <v>45949</v>
      </c>
      <c r="N140" s="12" t="n">
        <v>43273</v>
      </c>
      <c r="O140" s="13" t="inlineStr"/>
      <c r="P140" s="13" t="inlineStr">
        <is>
          <t>57.00</t>
        </is>
      </c>
      <c r="Q140" s="12" t="n"/>
    </row>
    <row r="141" ht="52.8" customHeight="1">
      <c r="A141" s="15" t="n">
        <v>76</v>
      </c>
      <c r="B141" s="16" t="n">
        <v>43311</v>
      </c>
      <c r="C141" s="15" t="inlineStr">
        <is>
          <t>Registered Nurse</t>
        </is>
      </c>
      <c r="D141" s="15" t="n"/>
      <c r="E141" s="15" t="inlineStr">
        <is>
          <t>PT - Part Time Waged</t>
        </is>
      </c>
      <c r="F141" s="15" t="inlineStr">
        <is>
          <t>TAS IVF Nurses Enterprise Agreement</t>
        </is>
      </c>
      <c r="G141" s="15" t="inlineStr">
        <is>
          <t>Tasmania</t>
        </is>
      </c>
      <c r="H141" s="17" t="inlineStr">
        <is>
          <t>48.00</t>
        </is>
      </c>
      <c r="I141" s="15" t="inlineStr">
        <is>
          <t>TAS IVF PTY LTD</t>
        </is>
      </c>
      <c r="J141" s="15" t="n"/>
      <c r="K141" s="18" t="n">
        <v>263.71</v>
      </c>
      <c r="L141" s="17" t="inlineStr">
        <is>
          <t>263.71</t>
        </is>
      </c>
      <c r="M141" s="16" t="n">
        <v>45949</v>
      </c>
      <c r="N141" s="16" t="n">
        <v>43311</v>
      </c>
      <c r="O141" s="17" t="inlineStr"/>
      <c r="P141" s="17" t="inlineStr"/>
      <c r="Q141" s="16" t="n"/>
    </row>
    <row r="142" ht="52.8" customHeight="1">
      <c r="A142" s="11" t="n">
        <v>1076</v>
      </c>
      <c r="B142" s="12" t="n">
        <v>43304</v>
      </c>
      <c r="C142" s="11" t="inlineStr">
        <is>
          <t>Enrolled Nurse</t>
        </is>
      </c>
      <c r="D142" s="11" t="n"/>
      <c r="E142" s="11" t="inlineStr">
        <is>
          <t>PT - Part Time Waged</t>
        </is>
      </c>
      <c r="F142" s="11" t="inlineStr">
        <is>
          <t>Melbourne IVF Nurses Enterprise Agreement</t>
        </is>
      </c>
      <c r="G142" s="11" t="inlineStr">
        <is>
          <t>Victoria</t>
        </is>
      </c>
      <c r="H142" s="13" t="inlineStr">
        <is>
          <t>30.40</t>
        </is>
      </c>
      <c r="I142" s="11" t="inlineStr">
        <is>
          <t>MELBOURNE IVF</t>
        </is>
      </c>
      <c r="J142" s="11" t="n"/>
      <c r="K142" s="14" t="n">
        <v>233.85</v>
      </c>
      <c r="L142" s="13" t="inlineStr">
        <is>
          <t>233.85</t>
        </is>
      </c>
      <c r="M142" s="12" t="n">
        <v>45949</v>
      </c>
      <c r="N142" s="12" t="n">
        <v>43304</v>
      </c>
      <c r="O142" s="13" t="inlineStr"/>
      <c r="P142" s="13" t="inlineStr"/>
      <c r="Q142" s="12" t="n"/>
    </row>
    <row r="143" ht="52.8" customHeight="1">
      <c r="A143" s="15" t="n">
        <v>1080</v>
      </c>
      <c r="B143" s="16" t="n">
        <v>43333</v>
      </c>
      <c r="C143" s="15" t="inlineStr">
        <is>
          <t>Registered Nurse</t>
        </is>
      </c>
      <c r="D143" s="15" t="n"/>
      <c r="E143" s="15" t="inlineStr">
        <is>
          <t>FP - Full Time Waged</t>
        </is>
      </c>
      <c r="F143" s="15" t="inlineStr">
        <is>
          <t>Melbourne IVF Nurses Enterprise Agreement</t>
        </is>
      </c>
      <c r="G143" s="15" t="inlineStr">
        <is>
          <t>Victoria</t>
        </is>
      </c>
      <c r="H143" s="17" t="inlineStr">
        <is>
          <t>76.00</t>
        </is>
      </c>
      <c r="I143" s="15" t="inlineStr">
        <is>
          <t>MELBOURNE IVF</t>
        </is>
      </c>
      <c r="J143" s="15" t="n"/>
      <c r="K143" s="18" t="n">
        <v>257.51</v>
      </c>
      <c r="L143" s="17" t="inlineStr">
        <is>
          <t>257.51</t>
        </is>
      </c>
      <c r="M143" s="16" t="n">
        <v>45949</v>
      </c>
      <c r="N143" s="16" t="n">
        <v>43333</v>
      </c>
      <c r="O143" s="17" t="inlineStr"/>
      <c r="P143" s="17" t="inlineStr"/>
      <c r="Q143" s="16" t="n"/>
    </row>
    <row r="144" ht="66" customHeight="1">
      <c r="A144" s="11" t="n">
        <v>1092</v>
      </c>
      <c r="B144" s="12" t="n">
        <v>42304</v>
      </c>
      <c r="C144" s="11" t="inlineStr">
        <is>
          <t>Pathology Scientist</t>
        </is>
      </c>
      <c r="D144" s="11" t="n"/>
      <c r="E144" s="11" t="inlineStr">
        <is>
          <t>FP - Full Time Waged</t>
        </is>
      </c>
      <c r="F144" s="11" t="inlineStr">
        <is>
          <t>Melbourne IVF Medical Scientists Enterprise Agreement</t>
        </is>
      </c>
      <c r="G144" s="11" t="inlineStr">
        <is>
          <t>Victoria</t>
        </is>
      </c>
      <c r="H144" s="13" t="inlineStr">
        <is>
          <t>76.00</t>
        </is>
      </c>
      <c r="I144" s="11" t="inlineStr">
        <is>
          <t>MELBOURNE IVF</t>
        </is>
      </c>
      <c r="J144" s="11" t="n"/>
      <c r="K144" s="14" t="n">
        <v>657.76</v>
      </c>
      <c r="L144" s="13" t="inlineStr">
        <is>
          <t>657.76</t>
        </is>
      </c>
      <c r="M144" s="12" t="n">
        <v>45949</v>
      </c>
      <c r="N144" s="12" t="n">
        <v>42304</v>
      </c>
      <c r="O144" s="13" t="inlineStr"/>
      <c r="P144" s="13" t="inlineStr"/>
      <c r="Q144" s="12" t="n"/>
    </row>
    <row r="145" ht="66" customHeight="1">
      <c r="A145" s="15" t="n">
        <v>1096</v>
      </c>
      <c r="B145" s="16" t="n">
        <v>43430</v>
      </c>
      <c r="C145" s="15" t="inlineStr">
        <is>
          <t>Embryologist</t>
        </is>
      </c>
      <c r="D145" s="15" t="n"/>
      <c r="E145" s="15" t="inlineStr">
        <is>
          <t>FP - Full Time Waged</t>
        </is>
      </c>
      <c r="F145" s="15" t="inlineStr">
        <is>
          <t>Melbourne IVF Medical Scientists Enterprise Agreement</t>
        </is>
      </c>
      <c r="G145" s="15" t="inlineStr">
        <is>
          <t>Victoria</t>
        </is>
      </c>
      <c r="H145" s="17" t="inlineStr">
        <is>
          <t>76.00</t>
        </is>
      </c>
      <c r="I145" s="15" t="inlineStr">
        <is>
          <t>MELBOURNE IVF</t>
        </is>
      </c>
      <c r="J145" s="15" t="n"/>
      <c r="K145" s="18" t="n">
        <v>454.57</v>
      </c>
      <c r="L145" s="17" t="inlineStr">
        <is>
          <t>454.57</t>
        </is>
      </c>
      <c r="M145" s="16" t="n">
        <v>45949</v>
      </c>
      <c r="N145" s="16" t="n">
        <v>43430</v>
      </c>
      <c r="O145" s="17" t="inlineStr"/>
      <c r="P145" s="17" t="inlineStr"/>
      <c r="Q145" s="16" t="n"/>
    </row>
    <row r="146" ht="52.8" customHeight="1">
      <c r="A146" s="11" t="n">
        <v>1098</v>
      </c>
      <c r="B146" s="12" t="n">
        <v>41758</v>
      </c>
      <c r="C146" s="11" t="inlineStr">
        <is>
          <t>Enrolled Nurse</t>
        </is>
      </c>
      <c r="D146" s="11" t="n"/>
      <c r="E146" s="11" t="inlineStr">
        <is>
          <t>PT - Part Time Waged</t>
        </is>
      </c>
      <c r="F146" s="11" t="inlineStr">
        <is>
          <t>Melbourne IVF Nurses Enterprise Agreement</t>
        </is>
      </c>
      <c r="G146" s="11" t="inlineStr">
        <is>
          <t>Victoria</t>
        </is>
      </c>
      <c r="H146" s="13" t="inlineStr">
        <is>
          <t>30.40</t>
        </is>
      </c>
      <c r="I146" s="11" t="inlineStr">
        <is>
          <t>MELBOURNE IVF</t>
        </is>
      </c>
      <c r="J146" s="11" t="n"/>
      <c r="K146" s="14" t="n">
        <v>122.71</v>
      </c>
      <c r="L146" s="13" t="inlineStr">
        <is>
          <t>16.17</t>
        </is>
      </c>
      <c r="M146" s="12" t="n">
        <v>45949</v>
      </c>
      <c r="N146" s="12" t="n">
        <v>45725</v>
      </c>
      <c r="O146" s="13" t="inlineStr">
        <is>
          <t>287.14</t>
        </is>
      </c>
      <c r="P146" s="13" t="inlineStr">
        <is>
          <t>180.60</t>
        </is>
      </c>
      <c r="Q146" s="12" t="n"/>
    </row>
    <row r="147" ht="52.8" customHeight="1">
      <c r="A147" s="15" t="n">
        <v>88</v>
      </c>
      <c r="B147" s="16" t="n">
        <v>43563</v>
      </c>
      <c r="C147" s="15" t="inlineStr">
        <is>
          <t>Embryologist</t>
        </is>
      </c>
      <c r="D147" s="15" t="n"/>
      <c r="E147" s="15" t="inlineStr">
        <is>
          <t>PT - Part Time Waged</t>
        </is>
      </c>
      <c r="F147" s="15" t="inlineStr">
        <is>
          <t>TAS IVF Scientists Enterprise Agreement</t>
        </is>
      </c>
      <c r="G147" s="15" t="inlineStr">
        <is>
          <t>Tasmania</t>
        </is>
      </c>
      <c r="H147" s="17" t="inlineStr">
        <is>
          <t>60.00</t>
        </is>
      </c>
      <c r="I147" s="15" t="inlineStr">
        <is>
          <t>TAS IVF PTY LTD</t>
        </is>
      </c>
      <c r="J147" s="15" t="n"/>
      <c r="K147" s="18" t="n">
        <v>193.46</v>
      </c>
      <c r="L147" s="17" t="inlineStr">
        <is>
          <t>193.46</t>
        </is>
      </c>
      <c r="M147" s="16" t="n">
        <v>45949</v>
      </c>
      <c r="N147" s="16" t="n">
        <v>43563</v>
      </c>
      <c r="O147" s="17" t="inlineStr"/>
      <c r="P147" s="17" t="inlineStr"/>
      <c r="Q147" s="16" t="n"/>
    </row>
    <row r="148" ht="66" customHeight="1">
      <c r="A148" s="11" t="n">
        <v>1117</v>
      </c>
      <c r="B148" s="12" t="n">
        <v>43591</v>
      </c>
      <c r="C148" s="11" t="inlineStr">
        <is>
          <t>Clinical Research Scientist</t>
        </is>
      </c>
      <c r="D148" s="11" t="n"/>
      <c r="E148" s="11" t="inlineStr">
        <is>
          <t>PT - Part Time Waged</t>
        </is>
      </c>
      <c r="F148" s="11" t="inlineStr">
        <is>
          <t>Melbourne IVF Medical Scientists Enterprise Agreement</t>
        </is>
      </c>
      <c r="G148" s="11" t="inlineStr">
        <is>
          <t>Victoria</t>
        </is>
      </c>
      <c r="H148" s="13" t="inlineStr">
        <is>
          <t>64.00</t>
        </is>
      </c>
      <c r="I148" s="11" t="inlineStr">
        <is>
          <t>MELBOURNE IVF</t>
        </is>
      </c>
      <c r="J148" s="11" t="n"/>
      <c r="K148" s="14" t="n">
        <v>358.33</v>
      </c>
      <c r="L148" s="13" t="inlineStr">
        <is>
          <t>358.33</t>
        </is>
      </c>
      <c r="M148" s="12" t="n">
        <v>45949</v>
      </c>
      <c r="N148" s="12" t="n">
        <v>43591</v>
      </c>
      <c r="O148" s="13" t="inlineStr"/>
      <c r="P148" s="13" t="inlineStr"/>
      <c r="Q148" s="12" t="n"/>
    </row>
    <row r="149" ht="52.8" customHeight="1">
      <c r="A149" s="15" t="n">
        <v>1119</v>
      </c>
      <c r="B149" s="16" t="n">
        <v>43592</v>
      </c>
      <c r="C149" s="15" t="inlineStr">
        <is>
          <t>Registered Nurse</t>
        </is>
      </c>
      <c r="D149" s="15" t="n"/>
      <c r="E149" s="15" t="inlineStr">
        <is>
          <t>PT - Part Time Waged</t>
        </is>
      </c>
      <c r="F149" s="15" t="inlineStr">
        <is>
          <t>Melbourne IVF Nurses Enterprise Agreement</t>
        </is>
      </c>
      <c r="G149" s="15" t="inlineStr">
        <is>
          <t>Victoria</t>
        </is>
      </c>
      <c r="H149" s="17" t="inlineStr">
        <is>
          <t>45.60</t>
        </is>
      </c>
      <c r="I149" s="15" t="inlineStr">
        <is>
          <t>MELBOURNE IVF</t>
        </is>
      </c>
      <c r="J149" s="15" t="n"/>
      <c r="K149" s="18" t="n">
        <v>185.32</v>
      </c>
      <c r="L149" s="17" t="inlineStr">
        <is>
          <t>185.32</t>
        </is>
      </c>
      <c r="M149" s="16" t="n">
        <v>45949</v>
      </c>
      <c r="N149" s="16" t="n">
        <v>43592</v>
      </c>
      <c r="O149" s="17" t="inlineStr"/>
      <c r="P149" s="17" t="inlineStr"/>
      <c r="Q149" s="16" t="n"/>
    </row>
    <row r="150" ht="66" customHeight="1">
      <c r="A150" s="11" t="n">
        <v>92</v>
      </c>
      <c r="B150" s="12" t="n">
        <v>43661</v>
      </c>
      <c r="C150" s="11" t="inlineStr">
        <is>
          <t>Patient Administration Services Team Leader</t>
        </is>
      </c>
      <c r="D150" s="11" t="n"/>
      <c r="E150" s="11" t="inlineStr">
        <is>
          <t>FP - Full Time Waged</t>
        </is>
      </c>
      <c r="F150" s="11" t="inlineStr">
        <is>
          <t>TAS IVF Support Services Enterprise Agreement</t>
        </is>
      </c>
      <c r="G150" s="11" t="inlineStr">
        <is>
          <t>Tasmania</t>
        </is>
      </c>
      <c r="H150" s="13" t="inlineStr">
        <is>
          <t>75.00</t>
        </is>
      </c>
      <c r="I150" s="11" t="inlineStr">
        <is>
          <t>TAS IVF PTY LTD</t>
        </is>
      </c>
      <c r="J150" s="11" t="n"/>
      <c r="K150" s="14" t="n">
        <v>203.73</v>
      </c>
      <c r="L150" s="13" t="inlineStr">
        <is>
          <t>203.73</t>
        </is>
      </c>
      <c r="M150" s="12" t="n">
        <v>45949</v>
      </c>
      <c r="N150" s="12" t="n">
        <v>43661</v>
      </c>
      <c r="O150" s="13" t="inlineStr"/>
      <c r="P150" s="13" t="inlineStr"/>
      <c r="Q150" s="12" t="n"/>
    </row>
    <row r="151" ht="52.8" customHeight="1">
      <c r="A151" s="15" t="n">
        <v>95</v>
      </c>
      <c r="B151" s="16" t="n">
        <v>43724</v>
      </c>
      <c r="C151" s="15" t="inlineStr">
        <is>
          <t>Registered Nurse</t>
        </is>
      </c>
      <c r="D151" s="15" t="n"/>
      <c r="E151" s="15" t="inlineStr">
        <is>
          <t>PT - Part Time Waged</t>
        </is>
      </c>
      <c r="F151" s="15" t="inlineStr">
        <is>
          <t>TAS IVF Nurses Enterprise Agreement</t>
        </is>
      </c>
      <c r="G151" s="15" t="inlineStr">
        <is>
          <t>Tasmania</t>
        </is>
      </c>
      <c r="H151" s="17" t="inlineStr">
        <is>
          <t>64.00</t>
        </is>
      </c>
      <c r="I151" s="15" t="inlineStr">
        <is>
          <t>TAS IVF PTY LTD</t>
        </is>
      </c>
      <c r="J151" s="15" t="n"/>
      <c r="K151" s="18" t="n">
        <v>169.06</v>
      </c>
      <c r="L151" s="17" t="inlineStr">
        <is>
          <t>169.06</t>
        </is>
      </c>
      <c r="M151" s="16" t="n">
        <v>45949</v>
      </c>
      <c r="N151" s="16" t="n">
        <v>43724</v>
      </c>
      <c r="O151" s="17" t="inlineStr"/>
      <c r="P151" s="17" t="inlineStr"/>
      <c r="Q151" s="16" t="n"/>
    </row>
    <row r="152" ht="66" customHeight="1">
      <c r="A152" s="11" t="n">
        <v>1142</v>
      </c>
      <c r="B152" s="12" t="n">
        <v>43745</v>
      </c>
      <c r="C152" s="11" t="inlineStr">
        <is>
          <t>Patient Services Manager</t>
        </is>
      </c>
      <c r="D152" s="11" t="n"/>
      <c r="E152" s="11" t="inlineStr">
        <is>
          <t>FP - Full Time Waged</t>
        </is>
      </c>
      <c r="F152" s="11" t="inlineStr">
        <is>
          <t>Melbourne IVF Support Services Enterprise Agreement</t>
        </is>
      </c>
      <c r="G152" s="11" t="inlineStr">
        <is>
          <t>Victoria</t>
        </is>
      </c>
      <c r="H152" s="13" t="inlineStr">
        <is>
          <t>76.00</t>
        </is>
      </c>
      <c r="I152" s="11" t="inlineStr">
        <is>
          <t>MELBOURNE IVF</t>
        </is>
      </c>
      <c r="J152" s="11" t="n"/>
      <c r="K152" s="14" t="n">
        <v>397.73</v>
      </c>
      <c r="L152" s="13" t="inlineStr">
        <is>
          <t>397.73</t>
        </is>
      </c>
      <c r="M152" s="12" t="n">
        <v>45949</v>
      </c>
      <c r="N152" s="12" t="n">
        <v>43745</v>
      </c>
      <c r="O152" s="13" t="inlineStr"/>
      <c r="P152" s="13" t="inlineStr"/>
      <c r="Q152" s="12" t="n"/>
    </row>
    <row r="153" ht="52.8" customHeight="1">
      <c r="A153" s="15" t="n">
        <v>1144</v>
      </c>
      <c r="B153" s="16" t="n">
        <v>43325</v>
      </c>
      <c r="C153" s="15" t="inlineStr">
        <is>
          <t>Registered Nurse</t>
        </is>
      </c>
      <c r="D153" s="15" t="n"/>
      <c r="E153" s="15" t="inlineStr">
        <is>
          <t>PT - Part Time Waged</t>
        </is>
      </c>
      <c r="F153" s="15" t="inlineStr">
        <is>
          <t>Melbourne IVF Nurses Enterprise Agreement</t>
        </is>
      </c>
      <c r="G153" s="15" t="inlineStr">
        <is>
          <t>Victoria</t>
        </is>
      </c>
      <c r="H153" s="17" t="inlineStr">
        <is>
          <t>30.40</t>
        </is>
      </c>
      <c r="I153" s="15" t="inlineStr">
        <is>
          <t>MELBOURNE IVF</t>
        </is>
      </c>
      <c r="J153" s="15" t="n"/>
      <c r="K153" s="18" t="n">
        <v>189.41</v>
      </c>
      <c r="L153" s="17" t="inlineStr">
        <is>
          <t>189.41</t>
        </is>
      </c>
      <c r="M153" s="16" t="n">
        <v>45949</v>
      </c>
      <c r="N153" s="16" t="n">
        <v>43325</v>
      </c>
      <c r="O153" s="17" t="inlineStr"/>
      <c r="P153" s="17" t="inlineStr"/>
      <c r="Q153" s="16" t="n"/>
    </row>
    <row r="154" ht="52.8" customHeight="1">
      <c r="A154" s="11" t="n">
        <v>1147</v>
      </c>
      <c r="B154" s="12" t="n">
        <v>43844</v>
      </c>
      <c r="C154" s="11" t="inlineStr">
        <is>
          <t>Registered Nurse</t>
        </is>
      </c>
      <c r="D154" s="11" t="n"/>
      <c r="E154" s="11" t="inlineStr">
        <is>
          <t>PT - Part Time Waged</t>
        </is>
      </c>
      <c r="F154" s="11" t="inlineStr">
        <is>
          <t>Melbourne IVF Nurses Enterprise Agreement</t>
        </is>
      </c>
      <c r="G154" s="11" t="inlineStr">
        <is>
          <t>Victoria</t>
        </is>
      </c>
      <c r="H154" s="13" t="inlineStr">
        <is>
          <t>30.40</t>
        </is>
      </c>
      <c r="I154" s="11" t="inlineStr">
        <is>
          <t>MELBOURNE IVF</t>
        </is>
      </c>
      <c r="J154" s="11" t="n"/>
      <c r="K154" s="14" t="n">
        <v>151.94</v>
      </c>
      <c r="L154" s="13" t="inlineStr">
        <is>
          <t>151.94</t>
        </is>
      </c>
      <c r="M154" s="12" t="n">
        <v>45949</v>
      </c>
      <c r="N154" s="12" t="n">
        <v>43844</v>
      </c>
      <c r="O154" s="13" t="inlineStr"/>
      <c r="P154" s="13" t="inlineStr"/>
      <c r="Q154" s="12" t="n"/>
    </row>
    <row r="155" ht="52.8" customHeight="1">
      <c r="A155" s="15" t="n">
        <v>97</v>
      </c>
      <c r="B155" s="16" t="n">
        <v>43871</v>
      </c>
      <c r="C155" s="15" t="inlineStr">
        <is>
          <t>Registered Nurse</t>
        </is>
      </c>
      <c r="D155" s="15" t="n"/>
      <c r="E155" s="15" t="inlineStr">
        <is>
          <t>FP - Full Time Waged</t>
        </is>
      </c>
      <c r="F155" s="15" t="inlineStr">
        <is>
          <t>TAS IVF Nurses Enterprise Agreement</t>
        </is>
      </c>
      <c r="G155" s="15" t="inlineStr">
        <is>
          <t>Tasmania</t>
        </is>
      </c>
      <c r="H155" s="17" t="inlineStr">
        <is>
          <t>75.00</t>
        </is>
      </c>
      <c r="I155" s="15" t="inlineStr">
        <is>
          <t>TAS IVF PTY LTD</t>
        </is>
      </c>
      <c r="J155" s="15" t="n"/>
      <c r="K155" s="18" t="n">
        <v>185.03</v>
      </c>
      <c r="L155" s="17" t="inlineStr">
        <is>
          <t>185.03</t>
        </is>
      </c>
      <c r="M155" s="16" t="n">
        <v>45949</v>
      </c>
      <c r="N155" s="16" t="n">
        <v>43871</v>
      </c>
      <c r="O155" s="17" t="inlineStr"/>
      <c r="P155" s="17" t="inlineStr"/>
      <c r="Q155" s="16" t="n"/>
    </row>
    <row r="156" ht="66" customHeight="1">
      <c r="A156" s="11" t="n">
        <v>1156</v>
      </c>
      <c r="B156" s="12" t="n">
        <v>43878</v>
      </c>
      <c r="C156" s="11" t="inlineStr">
        <is>
          <t>Counsellor</t>
        </is>
      </c>
      <c r="D156" s="11" t="n"/>
      <c r="E156" s="11" t="inlineStr">
        <is>
          <t>PT - Part Time Waged</t>
        </is>
      </c>
      <c r="F156" s="11" t="inlineStr">
        <is>
          <t>Melbourne IVF Counselling Enterprise Agreement</t>
        </is>
      </c>
      <c r="G156" s="11" t="inlineStr">
        <is>
          <t>Victoria</t>
        </is>
      </c>
      <c r="H156" s="13" t="inlineStr">
        <is>
          <t>45.60</t>
        </is>
      </c>
      <c r="I156" s="11" t="inlineStr">
        <is>
          <t>MELBOURNE IVF</t>
        </is>
      </c>
      <c r="J156" s="11" t="n"/>
      <c r="K156" s="14" t="n">
        <v>224.24</v>
      </c>
      <c r="L156" s="13" t="inlineStr">
        <is>
          <t>224.24</t>
        </is>
      </c>
      <c r="M156" s="12" t="n">
        <v>45949</v>
      </c>
      <c r="N156" s="12" t="n">
        <v>43878</v>
      </c>
      <c r="O156" s="13" t="inlineStr"/>
      <c r="P156" s="13" t="inlineStr"/>
      <c r="Q156" s="12" t="n"/>
    </row>
    <row r="157" ht="66" customHeight="1">
      <c r="A157" s="15" t="n">
        <v>1160</v>
      </c>
      <c r="B157" s="16" t="n">
        <v>43885</v>
      </c>
      <c r="C157" s="15" t="inlineStr">
        <is>
          <t>Counsellor</t>
        </is>
      </c>
      <c r="D157" s="15" t="n"/>
      <c r="E157" s="15" t="inlineStr">
        <is>
          <t>PT - Part Time Waged</t>
        </is>
      </c>
      <c r="F157" s="15" t="inlineStr">
        <is>
          <t>Melbourne IVF Counselling Enterprise Agreement</t>
        </is>
      </c>
      <c r="G157" s="15" t="inlineStr">
        <is>
          <t>Victoria</t>
        </is>
      </c>
      <c r="H157" s="17" t="inlineStr">
        <is>
          <t>60.80</t>
        </is>
      </c>
      <c r="I157" s="15" t="inlineStr">
        <is>
          <t>MELBOURNE IVF</t>
        </is>
      </c>
      <c r="J157" s="15" t="n"/>
      <c r="K157" s="18" t="n">
        <v>312.33</v>
      </c>
      <c r="L157" s="17" t="inlineStr">
        <is>
          <t>312.33</t>
        </is>
      </c>
      <c r="M157" s="16" t="n">
        <v>45949</v>
      </c>
      <c r="N157" s="16" t="n">
        <v>43885</v>
      </c>
      <c r="O157" s="17" t="inlineStr"/>
      <c r="P157" s="17" t="inlineStr"/>
      <c r="Q157" s="16" t="n"/>
    </row>
    <row r="158" ht="52.8" customHeight="1">
      <c r="A158" s="11" t="n">
        <v>99</v>
      </c>
      <c r="B158" s="12" t="n">
        <v>43871</v>
      </c>
      <c r="C158" s="11" t="inlineStr">
        <is>
          <t>Registered Nurse</t>
        </is>
      </c>
      <c r="D158" s="11" t="n"/>
      <c r="E158" s="11" t="inlineStr">
        <is>
          <t>PT - Part Time Waged</t>
        </is>
      </c>
      <c r="F158" s="11" t="inlineStr">
        <is>
          <t>TAS IVF Nurses Enterprise Agreement</t>
        </is>
      </c>
      <c r="G158" s="11" t="inlineStr">
        <is>
          <t>Tasmania</t>
        </is>
      </c>
      <c r="H158" s="13" t="inlineStr">
        <is>
          <t>52.00</t>
        </is>
      </c>
      <c r="I158" s="11" t="inlineStr">
        <is>
          <t>TAS IVF PTY LTD</t>
        </is>
      </c>
      <c r="J158" s="11" t="n"/>
      <c r="K158" s="14" t="n">
        <v>118.4</v>
      </c>
      <c r="L158" s="13" t="inlineStr">
        <is>
          <t>118.40</t>
        </is>
      </c>
      <c r="M158" s="12" t="n">
        <v>45949</v>
      </c>
      <c r="N158" s="12" t="n">
        <v>43871</v>
      </c>
      <c r="O158" s="13" t="inlineStr"/>
      <c r="P158" s="13" t="inlineStr"/>
      <c r="Q158" s="12" t="n"/>
    </row>
    <row r="159" ht="66" customHeight="1">
      <c r="A159" s="15" t="n">
        <v>1162</v>
      </c>
      <c r="B159" s="16" t="n">
        <v>43894</v>
      </c>
      <c r="C159" s="15" t="inlineStr">
        <is>
          <t>Counsellor</t>
        </is>
      </c>
      <c r="D159" s="15" t="n"/>
      <c r="E159" s="15" t="inlineStr">
        <is>
          <t>PT - Part Time Waged</t>
        </is>
      </c>
      <c r="F159" s="15" t="inlineStr">
        <is>
          <t>Melbourne IVF Counselling Enterprise Agreement</t>
        </is>
      </c>
      <c r="G159" s="15" t="inlineStr">
        <is>
          <t>Western Australia</t>
        </is>
      </c>
      <c r="H159" s="17" t="inlineStr">
        <is>
          <t>60.80</t>
        </is>
      </c>
      <c r="I159" s="15" t="inlineStr">
        <is>
          <t>MELBOURNE IVF</t>
        </is>
      </c>
      <c r="J159" s="15" t="n"/>
      <c r="K159" s="18" t="n">
        <v>271.01</v>
      </c>
      <c r="L159" s="17" t="inlineStr">
        <is>
          <t>271.01</t>
        </is>
      </c>
      <c r="M159" s="16" t="n">
        <v>45949</v>
      </c>
      <c r="N159" s="16" t="n">
        <v>43894</v>
      </c>
      <c r="O159" s="17" t="inlineStr"/>
      <c r="P159" s="17" t="inlineStr"/>
      <c r="Q159" s="16" t="n"/>
    </row>
    <row r="160" ht="66" customHeight="1">
      <c r="A160" s="11" t="n">
        <v>103</v>
      </c>
      <c r="B160" s="12" t="n">
        <v>43914</v>
      </c>
      <c r="C160" s="11" t="inlineStr">
        <is>
          <t>Donor Coordinator</t>
        </is>
      </c>
      <c r="D160" s="11" t="n"/>
      <c r="E160" s="11" t="inlineStr">
        <is>
          <t>PT - Part Time Waged</t>
        </is>
      </c>
      <c r="F160" s="11" t="inlineStr">
        <is>
          <t>TAS IVF Support Services Enterprise Agreement</t>
        </is>
      </c>
      <c r="G160" s="11" t="inlineStr">
        <is>
          <t>Tasmania</t>
        </is>
      </c>
      <c r="H160" s="13" t="inlineStr">
        <is>
          <t>60.00</t>
        </is>
      </c>
      <c r="I160" s="11" t="inlineStr">
        <is>
          <t>TAS IVF PTY LTD</t>
        </is>
      </c>
      <c r="J160" s="11" t="n"/>
      <c r="K160" s="14" t="n">
        <v>125.97</v>
      </c>
      <c r="L160" s="13" t="inlineStr">
        <is>
          <t>125.97</t>
        </is>
      </c>
      <c r="M160" s="12" t="n">
        <v>45949</v>
      </c>
      <c r="N160" s="12" t="n">
        <v>43914</v>
      </c>
      <c r="O160" s="13" t="inlineStr"/>
      <c r="P160" s="13" t="inlineStr"/>
      <c r="Q160" s="12" t="n"/>
    </row>
    <row r="161" ht="52.8" customHeight="1">
      <c r="A161" s="15" t="n">
        <v>1172</v>
      </c>
      <c r="B161" s="16" t="n">
        <v>43864</v>
      </c>
      <c r="C161" s="15" t="inlineStr">
        <is>
          <t>Nurse Unit Manager</t>
        </is>
      </c>
      <c r="D161" s="15" t="n"/>
      <c r="E161" s="15" t="inlineStr">
        <is>
          <t>FP - Full Time Waged</t>
        </is>
      </c>
      <c r="F161" s="15" t="inlineStr">
        <is>
          <t>Melbourne IVF Nurses Enterprise Agreement</t>
        </is>
      </c>
      <c r="G161" s="15" t="inlineStr">
        <is>
          <t>Victoria</t>
        </is>
      </c>
      <c r="H161" s="17" t="inlineStr">
        <is>
          <t>76.00</t>
        </is>
      </c>
      <c r="I161" s="15" t="inlineStr">
        <is>
          <t>MELBOURNE IVF</t>
        </is>
      </c>
      <c r="J161" s="15" t="n"/>
      <c r="K161" s="18" t="n">
        <v>376.25</v>
      </c>
      <c r="L161" s="17" t="inlineStr">
        <is>
          <t>376.25</t>
        </is>
      </c>
      <c r="M161" s="16" t="n">
        <v>45949</v>
      </c>
      <c r="N161" s="16" t="n">
        <v>43864</v>
      </c>
      <c r="O161" s="17" t="inlineStr"/>
      <c r="P161" s="17" t="inlineStr"/>
      <c r="Q161" s="16" t="n"/>
    </row>
    <row r="162" ht="52.8" customHeight="1">
      <c r="A162" s="11" t="n">
        <v>1174</v>
      </c>
      <c r="B162" s="12" t="n">
        <v>43878</v>
      </c>
      <c r="C162" s="11" t="inlineStr">
        <is>
          <t>Registered Nurse</t>
        </is>
      </c>
      <c r="D162" s="11" t="n"/>
      <c r="E162" s="11" t="inlineStr">
        <is>
          <t>PT - Part Time Waged</t>
        </is>
      </c>
      <c r="F162" s="11" t="inlineStr">
        <is>
          <t>Melbourne IVF Nurses Enterprise Agreement</t>
        </is>
      </c>
      <c r="G162" s="11" t="inlineStr">
        <is>
          <t>Victoria</t>
        </is>
      </c>
      <c r="H162" s="13" t="inlineStr">
        <is>
          <t>76.00</t>
        </is>
      </c>
      <c r="I162" s="11" t="inlineStr">
        <is>
          <t>MELBOURNE IVF</t>
        </is>
      </c>
      <c r="J162" s="11" t="n"/>
      <c r="K162" s="14" t="n">
        <v>224.24</v>
      </c>
      <c r="L162" s="13" t="inlineStr">
        <is>
          <t>224.24</t>
        </is>
      </c>
      <c r="M162" s="12" t="n">
        <v>45949</v>
      </c>
      <c r="N162" s="12" t="n">
        <v>43878</v>
      </c>
      <c r="O162" s="13" t="inlineStr"/>
      <c r="P162" s="13" t="inlineStr"/>
      <c r="Q162" s="12" t="n"/>
    </row>
    <row r="163" ht="66" customHeight="1">
      <c r="A163" s="15" t="n">
        <v>1176</v>
      </c>
      <c r="B163" s="16" t="n">
        <v>43619</v>
      </c>
      <c r="C163" s="15" t="inlineStr">
        <is>
          <t>New Patient Care Consultant</t>
        </is>
      </c>
      <c r="D163" s="15" t="n"/>
      <c r="E163" s="15" t="inlineStr">
        <is>
          <t>PT - Part Time Waged</t>
        </is>
      </c>
      <c r="F163" s="15" t="inlineStr">
        <is>
          <t>Melbourne IVF Support Services Enterprise Agreement</t>
        </is>
      </c>
      <c r="G163" s="15" t="inlineStr">
        <is>
          <t>Victoria</t>
        </is>
      </c>
      <c r="H163" s="17" t="inlineStr">
        <is>
          <t>45.60</t>
        </is>
      </c>
      <c r="I163" s="15" t="inlineStr">
        <is>
          <t>MELBOURNE IVF</t>
        </is>
      </c>
      <c r="J163" s="15" t="n"/>
      <c r="K163" s="18" t="n">
        <v>139.79</v>
      </c>
      <c r="L163" s="17" t="inlineStr">
        <is>
          <t>139.79</t>
        </is>
      </c>
      <c r="M163" s="16" t="n">
        <v>45949</v>
      </c>
      <c r="N163" s="16" t="n">
        <v>43619</v>
      </c>
      <c r="O163" s="17" t="inlineStr"/>
      <c r="P163" s="17" t="inlineStr"/>
      <c r="Q163" s="16" t="n"/>
    </row>
    <row r="164" ht="52.8" customHeight="1">
      <c r="A164" s="11" t="n">
        <v>1183</v>
      </c>
      <c r="B164" s="12" t="n">
        <v>43983</v>
      </c>
      <c r="C164" s="11" t="inlineStr">
        <is>
          <t>Nurse Unit Manager</t>
        </is>
      </c>
      <c r="D164" s="11" t="n"/>
      <c r="E164" s="11" t="inlineStr">
        <is>
          <t>FP - Full Time Waged</t>
        </is>
      </c>
      <c r="F164" s="11" t="inlineStr">
        <is>
          <t>Melbourne IVF Nurses Enterprise Agreement</t>
        </is>
      </c>
      <c r="G164" s="11" t="inlineStr">
        <is>
          <t>Victoria</t>
        </is>
      </c>
      <c r="H164" s="13" t="inlineStr">
        <is>
          <t>76.00</t>
        </is>
      </c>
      <c r="I164" s="11" t="inlineStr">
        <is>
          <t>MELBOURNE IVF</t>
        </is>
      </c>
      <c r="J164" s="11" t="n"/>
      <c r="K164" s="14" t="n">
        <v>354.78</v>
      </c>
      <c r="L164" s="13" t="inlineStr">
        <is>
          <t>354.78</t>
        </is>
      </c>
      <c r="M164" s="12" t="n">
        <v>45949</v>
      </c>
      <c r="N164" s="12" t="n">
        <v>43983</v>
      </c>
      <c r="O164" s="13" t="inlineStr"/>
      <c r="P164" s="13" t="inlineStr"/>
      <c r="Q164" s="12" t="n"/>
    </row>
    <row r="165" ht="66" customHeight="1">
      <c r="A165" s="15" t="n">
        <v>1185</v>
      </c>
      <c r="B165" s="16" t="n">
        <v>43985</v>
      </c>
      <c r="C165" s="15" t="inlineStr">
        <is>
          <t>Counsellor</t>
        </is>
      </c>
      <c r="D165" s="15" t="n"/>
      <c r="E165" s="15" t="inlineStr">
        <is>
          <t>FP - Full Time Waged</t>
        </is>
      </c>
      <c r="F165" s="15" t="inlineStr">
        <is>
          <t>Melbourne IVF Counselling Enterprise Agreement</t>
        </is>
      </c>
      <c r="G165" s="15" t="inlineStr">
        <is>
          <t>Victoria</t>
        </is>
      </c>
      <c r="H165" s="17" t="inlineStr">
        <is>
          <t>76.00</t>
        </is>
      </c>
      <c r="I165" s="15" t="inlineStr">
        <is>
          <t>MELBOURNE IVF</t>
        </is>
      </c>
      <c r="J165" s="15" t="n"/>
      <c r="K165" s="18" t="n">
        <v>288.08</v>
      </c>
      <c r="L165" s="17" t="inlineStr">
        <is>
          <t>288.08</t>
        </is>
      </c>
      <c r="M165" s="16" t="n">
        <v>45949</v>
      </c>
      <c r="N165" s="16" t="n">
        <v>43985</v>
      </c>
      <c r="O165" s="17" t="inlineStr"/>
      <c r="P165" s="17" t="inlineStr"/>
      <c r="Q165" s="16" t="n"/>
    </row>
    <row r="166" ht="52.8" customHeight="1">
      <c r="A166" s="11" t="n">
        <v>1193</v>
      </c>
      <c r="B166" s="12" t="n">
        <v>43991</v>
      </c>
      <c r="C166" s="11" t="inlineStr">
        <is>
          <t>Clinical Nurse Specialist</t>
        </is>
      </c>
      <c r="D166" s="11" t="n"/>
      <c r="E166" s="11" t="inlineStr">
        <is>
          <t>PT - Part Time Waged</t>
        </is>
      </c>
      <c r="F166" s="11" t="inlineStr">
        <is>
          <t>Melbourne IVF Nurses Enterprise Agreement</t>
        </is>
      </c>
      <c r="G166" s="11" t="inlineStr">
        <is>
          <t>Victoria</t>
        </is>
      </c>
      <c r="H166" s="13" t="inlineStr">
        <is>
          <t>60.80</t>
        </is>
      </c>
      <c r="I166" s="11" t="inlineStr">
        <is>
          <t>MELBOURNE IVF</t>
        </is>
      </c>
      <c r="J166" s="11" t="n"/>
      <c r="K166" s="14" t="n">
        <v>282.67</v>
      </c>
      <c r="L166" s="13" t="inlineStr">
        <is>
          <t>282.67</t>
        </is>
      </c>
      <c r="M166" s="12" t="n">
        <v>45949</v>
      </c>
      <c r="N166" s="12" t="n">
        <v>43991</v>
      </c>
      <c r="O166" s="13" t="inlineStr"/>
      <c r="P166" s="13" t="inlineStr"/>
      <c r="Q166" s="12" t="n"/>
    </row>
    <row r="167" ht="52.8" customHeight="1">
      <c r="A167" s="15" t="n">
        <v>107</v>
      </c>
      <c r="B167" s="16" t="n">
        <v>43997</v>
      </c>
      <c r="C167" s="15" t="inlineStr">
        <is>
          <t>Registered Nurse</t>
        </is>
      </c>
      <c r="D167" s="15" t="n"/>
      <c r="E167" s="15" t="inlineStr">
        <is>
          <t>PT - Part Time Waged</t>
        </is>
      </c>
      <c r="F167" s="15" t="inlineStr">
        <is>
          <t>TAS IVF Nurses Enterprise Agreement</t>
        </is>
      </c>
      <c r="G167" s="15" t="inlineStr">
        <is>
          <t>Tasmania</t>
        </is>
      </c>
      <c r="H167" s="17" t="inlineStr">
        <is>
          <t>32.00</t>
        </is>
      </c>
      <c r="I167" s="15" t="inlineStr">
        <is>
          <t>TAS IVF PTY LTD</t>
        </is>
      </c>
      <c r="J167" s="15" t="n"/>
      <c r="K167" s="18" t="n">
        <v>74.16</v>
      </c>
      <c r="L167" s="17" t="inlineStr">
        <is>
          <t>74.16</t>
        </is>
      </c>
      <c r="M167" s="16" t="n">
        <v>45949</v>
      </c>
      <c r="N167" s="16" t="n">
        <v>43997</v>
      </c>
      <c r="O167" s="17" t="inlineStr"/>
      <c r="P167" s="17" t="inlineStr"/>
      <c r="Q167" s="16" t="n"/>
    </row>
    <row r="168" ht="66" customHeight="1">
      <c r="A168" s="11" t="n">
        <v>1210</v>
      </c>
      <c r="B168" s="12" t="n">
        <v>44060</v>
      </c>
      <c r="C168" s="11" t="inlineStr">
        <is>
          <t>Accounts Payable Administrator</t>
        </is>
      </c>
      <c r="D168" s="11" t="n"/>
      <c r="E168" s="11" t="inlineStr">
        <is>
          <t>PT - Part Time Waged</t>
        </is>
      </c>
      <c r="F168" s="11" t="inlineStr">
        <is>
          <t>Melbourne IVF Support Services Enterprise Agreement</t>
        </is>
      </c>
      <c r="G168" s="11" t="inlineStr">
        <is>
          <t>Victoria</t>
        </is>
      </c>
      <c r="H168" s="13" t="inlineStr">
        <is>
          <t>45.60</t>
        </is>
      </c>
      <c r="I168" s="11" t="inlineStr">
        <is>
          <t>MELBOURNE IVF</t>
        </is>
      </c>
      <c r="J168" s="11" t="n"/>
      <c r="K168" s="14" t="n">
        <v>174.75</v>
      </c>
      <c r="L168" s="13" t="inlineStr">
        <is>
          <t>174.75</t>
        </is>
      </c>
      <c r="M168" s="12" t="n">
        <v>45949</v>
      </c>
      <c r="N168" s="12" t="n">
        <v>44060</v>
      </c>
      <c r="O168" s="13" t="inlineStr"/>
      <c r="P168" s="13" t="inlineStr"/>
      <c r="Q168" s="12" t="n"/>
    </row>
    <row r="169" ht="66" customHeight="1">
      <c r="A169" s="15" t="n">
        <v>1208</v>
      </c>
      <c r="B169" s="16" t="n">
        <v>44060</v>
      </c>
      <c r="C169" s="15" t="inlineStr">
        <is>
          <t>Genetics Scientist</t>
        </is>
      </c>
      <c r="D169" s="15" t="n"/>
      <c r="E169" s="15" t="inlineStr">
        <is>
          <t>FP - Full Time Waged</t>
        </is>
      </c>
      <c r="F169" s="15" t="inlineStr">
        <is>
          <t>Melbourne IVF Medical Scientists Enterprise Agreement</t>
        </is>
      </c>
      <c r="G169" s="15" t="inlineStr">
        <is>
          <t>Victoria</t>
        </is>
      </c>
      <c r="H169" s="17" t="inlineStr">
        <is>
          <t>76.00</t>
        </is>
      </c>
      <c r="I169" s="15" t="inlineStr">
        <is>
          <t>MELBOURNE IVF</t>
        </is>
      </c>
      <c r="J169" s="15" t="n"/>
      <c r="K169" s="18" t="n">
        <v>340.88</v>
      </c>
      <c r="L169" s="17" t="inlineStr">
        <is>
          <t>340.88</t>
        </is>
      </c>
      <c r="M169" s="16" t="n">
        <v>45949</v>
      </c>
      <c r="N169" s="16" t="n">
        <v>44060</v>
      </c>
      <c r="O169" s="17" t="inlineStr"/>
      <c r="P169" s="17" t="inlineStr"/>
      <c r="Q169" s="16" t="n"/>
    </row>
    <row r="170" ht="52.8" customHeight="1">
      <c r="A170" s="11" t="n">
        <v>118</v>
      </c>
      <c r="B170" s="12" t="n">
        <v>44081</v>
      </c>
      <c r="C170" s="11" t="inlineStr">
        <is>
          <t>Registered Nurse</t>
        </is>
      </c>
      <c r="D170" s="11" t="n"/>
      <c r="E170" s="11" t="inlineStr">
        <is>
          <t>PT - Part Time Waged</t>
        </is>
      </c>
      <c r="F170" s="11" t="inlineStr">
        <is>
          <t>TAS IVF Nurses Enterprise Agreement</t>
        </is>
      </c>
      <c r="G170" s="11" t="inlineStr">
        <is>
          <t>Tasmania</t>
        </is>
      </c>
      <c r="H170" s="13" t="inlineStr">
        <is>
          <t>16.00</t>
        </is>
      </c>
      <c r="I170" s="11" t="inlineStr">
        <is>
          <t>TAS IVF PTY LTD</t>
        </is>
      </c>
      <c r="J170" s="11" t="n"/>
      <c r="K170" s="14" t="n">
        <v>68.04000000000001</v>
      </c>
      <c r="L170" s="13" t="inlineStr">
        <is>
          <t>68.04</t>
        </is>
      </c>
      <c r="M170" s="12" t="n">
        <v>45949</v>
      </c>
      <c r="N170" s="12" t="n">
        <v>44081</v>
      </c>
      <c r="O170" s="13" t="inlineStr"/>
      <c r="P170" s="13" t="inlineStr"/>
      <c r="Q170" s="12" t="n"/>
    </row>
    <row r="171" ht="66" customHeight="1">
      <c r="A171" s="15" t="n">
        <v>1220</v>
      </c>
      <c r="B171" s="16" t="n">
        <v>44095</v>
      </c>
      <c r="C171" s="15" t="inlineStr">
        <is>
          <t>Embryologist</t>
        </is>
      </c>
      <c r="D171" s="15" t="n"/>
      <c r="E171" s="15" t="inlineStr">
        <is>
          <t>FP - Full Time Waged</t>
        </is>
      </c>
      <c r="F171" s="15" t="inlineStr">
        <is>
          <t>Melbourne IVF Medical Scientists Enterprise Agreement</t>
        </is>
      </c>
      <c r="G171" s="15" t="inlineStr">
        <is>
          <t>Victoria</t>
        </is>
      </c>
      <c r="H171" s="17" t="inlineStr">
        <is>
          <t>76.00</t>
        </is>
      </c>
      <c r="I171" s="15" t="inlineStr">
        <is>
          <t>MELBOURNE IVF</t>
        </is>
      </c>
      <c r="J171" s="15" t="n"/>
      <c r="K171" s="18" t="n">
        <v>334.57</v>
      </c>
      <c r="L171" s="17" t="inlineStr">
        <is>
          <t>334.57</t>
        </is>
      </c>
      <c r="M171" s="16" t="n">
        <v>45949</v>
      </c>
      <c r="N171" s="16" t="n">
        <v>44095</v>
      </c>
      <c r="O171" s="17" t="inlineStr"/>
      <c r="P171" s="17" t="inlineStr"/>
      <c r="Q171" s="16" t="n"/>
    </row>
    <row r="172" ht="52.8" customHeight="1">
      <c r="A172" s="11" t="n">
        <v>119</v>
      </c>
      <c r="B172" s="12" t="n">
        <v>44102</v>
      </c>
      <c r="C172" s="11" t="inlineStr">
        <is>
          <t>Director of Nursing</t>
        </is>
      </c>
      <c r="D172" s="11" t="n"/>
      <c r="E172" s="11" t="inlineStr">
        <is>
          <t>FP - Full Time Salaried</t>
        </is>
      </c>
      <c r="F172" s="11" t="inlineStr">
        <is>
          <t>Common Law Employment Contract</t>
        </is>
      </c>
      <c r="G172" s="11" t="inlineStr">
        <is>
          <t>Tasmania</t>
        </is>
      </c>
      <c r="H172" s="13" t="inlineStr">
        <is>
          <t>75.00</t>
        </is>
      </c>
      <c r="I172" s="11" t="inlineStr">
        <is>
          <t>TAS IVF PTY LTD</t>
        </is>
      </c>
      <c r="J172" s="11" t="n"/>
      <c r="K172" s="14" t="n">
        <v>164.49</v>
      </c>
      <c r="L172" s="13" t="inlineStr">
        <is>
          <t>164.49</t>
        </is>
      </c>
      <c r="M172" s="12" t="n">
        <v>45949</v>
      </c>
      <c r="N172" s="12" t="n">
        <v>44102</v>
      </c>
      <c r="O172" s="13" t="inlineStr"/>
      <c r="P172" s="13" t="inlineStr"/>
      <c r="Q172" s="12" t="n"/>
    </row>
    <row r="173" ht="52.8" customHeight="1">
      <c r="A173" s="15" t="n">
        <v>1224</v>
      </c>
      <c r="B173" s="16" t="n">
        <v>44118</v>
      </c>
      <c r="C173" s="15" t="inlineStr">
        <is>
          <t>Donor Nurse</t>
        </is>
      </c>
      <c r="D173" s="15" t="n"/>
      <c r="E173" s="15" t="inlineStr">
        <is>
          <t>PT - Part Time Waged</t>
        </is>
      </c>
      <c r="F173" s="15" t="inlineStr">
        <is>
          <t>Melbourne IVF Nurses Enterprise Agreement</t>
        </is>
      </c>
      <c r="G173" s="15" t="inlineStr">
        <is>
          <t>Victoria</t>
        </is>
      </c>
      <c r="H173" s="17" t="inlineStr">
        <is>
          <t>45.60</t>
        </is>
      </c>
      <c r="I173" s="15" t="inlineStr">
        <is>
          <t>MELBOURNE IVF</t>
        </is>
      </c>
      <c r="J173" s="15" t="n"/>
      <c r="K173" s="18" t="n">
        <v>195.52</v>
      </c>
      <c r="L173" s="17" t="inlineStr">
        <is>
          <t>195.52</t>
        </is>
      </c>
      <c r="M173" s="16" t="n">
        <v>45949</v>
      </c>
      <c r="N173" s="16" t="n">
        <v>44118</v>
      </c>
      <c r="O173" s="17" t="inlineStr"/>
      <c r="P173" s="17" t="inlineStr"/>
      <c r="Q173" s="16" t="n"/>
    </row>
    <row r="174" ht="66" customHeight="1">
      <c r="A174" s="11" t="n">
        <v>1228</v>
      </c>
      <c r="B174" s="12" t="n">
        <v>44144</v>
      </c>
      <c r="C174" s="11" t="inlineStr">
        <is>
          <t>Receptionist</t>
        </is>
      </c>
      <c r="D174" s="11" t="n"/>
      <c r="E174" s="11" t="inlineStr">
        <is>
          <t>FP - Full Time Waged</t>
        </is>
      </c>
      <c r="F174" s="11" t="inlineStr">
        <is>
          <t>Melbourne IVF Support Services Enterprise Agreement</t>
        </is>
      </c>
      <c r="G174" s="11" t="inlineStr">
        <is>
          <t>Victoria</t>
        </is>
      </c>
      <c r="H174" s="13" t="inlineStr">
        <is>
          <t>76.00</t>
        </is>
      </c>
      <c r="I174" s="11" t="inlineStr">
        <is>
          <t>MELBOURNE IVF</t>
        </is>
      </c>
      <c r="J174" s="11" t="n"/>
      <c r="K174" s="14" t="n">
        <v>316.67</v>
      </c>
      <c r="L174" s="13" t="inlineStr">
        <is>
          <t>316.67</t>
        </is>
      </c>
      <c r="M174" s="12" t="n">
        <v>45949</v>
      </c>
      <c r="N174" s="12" t="n">
        <v>44144</v>
      </c>
      <c r="O174" s="13" t="inlineStr"/>
      <c r="P174" s="13" t="inlineStr"/>
      <c r="Q174" s="12" t="n"/>
    </row>
    <row r="175" ht="52.8" customHeight="1">
      <c r="A175" s="15" t="n">
        <v>120</v>
      </c>
      <c r="B175" s="16" t="n">
        <v>44139</v>
      </c>
      <c r="C175" s="15" t="inlineStr">
        <is>
          <t>Registered Nurse</t>
        </is>
      </c>
      <c r="D175" s="15" t="n"/>
      <c r="E175" s="15" t="inlineStr">
        <is>
          <t>PT - Part Time Waged</t>
        </is>
      </c>
      <c r="F175" s="15" t="inlineStr">
        <is>
          <t>TAS IVF Nurses Enterprise Agreement</t>
        </is>
      </c>
      <c r="G175" s="15" t="inlineStr">
        <is>
          <t>Tasmania</t>
        </is>
      </c>
      <c r="H175" s="17" t="inlineStr">
        <is>
          <t>40.00</t>
        </is>
      </c>
      <c r="I175" s="15" t="inlineStr">
        <is>
          <t>TAS IVF PTY LTD</t>
        </is>
      </c>
      <c r="J175" s="15" t="n"/>
      <c r="K175" s="18" t="n">
        <v>90.38</v>
      </c>
      <c r="L175" s="17" t="inlineStr">
        <is>
          <t>90.38</t>
        </is>
      </c>
      <c r="M175" s="16" t="n">
        <v>45949</v>
      </c>
      <c r="N175" s="16" t="n">
        <v>44139</v>
      </c>
      <c r="O175" s="17" t="inlineStr"/>
      <c r="P175" s="17" t="inlineStr"/>
      <c r="Q175" s="16" t="n"/>
    </row>
    <row r="176" ht="66" customHeight="1">
      <c r="A176" s="11" t="n">
        <v>1237</v>
      </c>
      <c r="B176" s="12" t="n">
        <v>44200</v>
      </c>
      <c r="C176" s="11" t="inlineStr">
        <is>
          <t>Genetics Scientist</t>
        </is>
      </c>
      <c r="D176" s="11" t="n"/>
      <c r="E176" s="11" t="inlineStr">
        <is>
          <t>PT - Part Time Waged</t>
        </is>
      </c>
      <c r="F176" s="11" t="inlineStr">
        <is>
          <t>Melbourne IVF Medical Scientists Enterprise Agreement</t>
        </is>
      </c>
      <c r="G176" s="11" t="inlineStr">
        <is>
          <t>Victoria</t>
        </is>
      </c>
      <c r="H176" s="13" t="inlineStr">
        <is>
          <t>60.80</t>
        </is>
      </c>
      <c r="I176" s="11" t="inlineStr">
        <is>
          <t>MELBOURNE IVF</t>
        </is>
      </c>
      <c r="J176" s="11" t="n"/>
      <c r="K176" s="14" t="n">
        <v>252.49</v>
      </c>
      <c r="L176" s="13" t="inlineStr">
        <is>
          <t>252.49</t>
        </is>
      </c>
      <c r="M176" s="12" t="n">
        <v>45949</v>
      </c>
      <c r="N176" s="12" t="n">
        <v>44200</v>
      </c>
      <c r="O176" s="13" t="inlineStr"/>
      <c r="P176" s="13" t="inlineStr"/>
      <c r="Q176" s="12" t="n"/>
    </row>
    <row r="177" ht="52.8" customHeight="1">
      <c r="A177" s="15" t="n">
        <v>1238</v>
      </c>
      <c r="B177" s="16" t="n">
        <v>44207</v>
      </c>
      <c r="C177" s="15" t="inlineStr">
        <is>
          <t>Registered Nurse</t>
        </is>
      </c>
      <c r="D177" s="15" t="n"/>
      <c r="E177" s="15" t="inlineStr">
        <is>
          <t>PT - Part Time Waged</t>
        </is>
      </c>
      <c r="F177" s="15" t="inlineStr">
        <is>
          <t>Melbourne IVF Nurses Enterprise Agreement</t>
        </is>
      </c>
      <c r="G177" s="15" t="inlineStr">
        <is>
          <t>Victoria</t>
        </is>
      </c>
      <c r="H177" s="17" t="inlineStr">
        <is>
          <t>30.40</t>
        </is>
      </c>
      <c r="I177" s="15" t="inlineStr">
        <is>
          <t>MELBOURNE IVF</t>
        </is>
      </c>
      <c r="J177" s="15" t="n"/>
      <c r="K177" s="18" t="n">
        <v>155.77</v>
      </c>
      <c r="L177" s="17" t="inlineStr">
        <is>
          <t>155.77</t>
        </is>
      </c>
      <c r="M177" s="16" t="n">
        <v>45949</v>
      </c>
      <c r="N177" s="16" t="n">
        <v>44207</v>
      </c>
      <c r="O177" s="17" t="inlineStr"/>
      <c r="P177" s="17" t="inlineStr"/>
      <c r="Q177" s="16" t="n"/>
    </row>
    <row r="178" ht="52.8" customHeight="1">
      <c r="A178" s="11" t="n">
        <v>1239</v>
      </c>
      <c r="B178" s="12" t="n">
        <v>44207</v>
      </c>
      <c r="C178" s="11" t="inlineStr">
        <is>
          <t>Registered Nurse</t>
        </is>
      </c>
      <c r="D178" s="11" t="n"/>
      <c r="E178" s="11" t="inlineStr">
        <is>
          <t>PT - Part Time Waged</t>
        </is>
      </c>
      <c r="F178" s="11" t="inlineStr">
        <is>
          <t>Melbourne IVF Nurses Enterprise Agreement</t>
        </is>
      </c>
      <c r="G178" s="11" t="inlineStr">
        <is>
          <t>Victoria</t>
        </is>
      </c>
      <c r="H178" s="13" t="inlineStr">
        <is>
          <t>60.40</t>
        </is>
      </c>
      <c r="I178" s="11" t="inlineStr">
        <is>
          <t>MELBOURNE IVF</t>
        </is>
      </c>
      <c r="J178" s="11" t="n"/>
      <c r="K178" s="14" t="n">
        <v>312.84</v>
      </c>
      <c r="L178" s="13" t="inlineStr">
        <is>
          <t>312.84</t>
        </is>
      </c>
      <c r="M178" s="12" t="n">
        <v>45949</v>
      </c>
      <c r="N178" s="12" t="n">
        <v>44207</v>
      </c>
      <c r="O178" s="13" t="inlineStr"/>
      <c r="P178" s="13" t="inlineStr"/>
      <c r="Q178" s="12" t="n"/>
    </row>
    <row r="179" ht="52.8" customHeight="1">
      <c r="A179" s="15" t="n">
        <v>1240</v>
      </c>
      <c r="B179" s="16" t="n">
        <v>44207</v>
      </c>
      <c r="C179" s="15" t="inlineStr">
        <is>
          <t>Donor and Surrogacy Team Leader</t>
        </is>
      </c>
      <c r="D179" s="15" t="n"/>
      <c r="E179" s="15" t="inlineStr">
        <is>
          <t>PT - Part Time Waged</t>
        </is>
      </c>
      <c r="F179" s="15" t="inlineStr">
        <is>
          <t>Melbourne IVF Nurses Enterprise Agreement</t>
        </is>
      </c>
      <c r="G179" s="15" t="inlineStr">
        <is>
          <t>Victoria</t>
        </is>
      </c>
      <c r="H179" s="17" t="inlineStr">
        <is>
          <t>53.20</t>
        </is>
      </c>
      <c r="I179" s="15" t="inlineStr">
        <is>
          <t>MELBOURNE IVF</t>
        </is>
      </c>
      <c r="J179" s="15" t="n"/>
      <c r="K179" s="18" t="n">
        <v>246.9</v>
      </c>
      <c r="L179" s="17" t="inlineStr">
        <is>
          <t>246.90</t>
        </is>
      </c>
      <c r="M179" s="16" t="n">
        <v>45949</v>
      </c>
      <c r="N179" s="16" t="n">
        <v>44207</v>
      </c>
      <c r="O179" s="17" t="inlineStr"/>
      <c r="P179" s="17" t="inlineStr"/>
      <c r="Q179" s="16" t="n"/>
    </row>
    <row r="180" ht="52.8" customHeight="1">
      <c r="A180" s="11" t="n">
        <v>1241</v>
      </c>
      <c r="B180" s="12" t="n">
        <v>44207</v>
      </c>
      <c r="C180" s="11" t="inlineStr">
        <is>
          <t>Registered Nurse</t>
        </is>
      </c>
      <c r="D180" s="11" t="n"/>
      <c r="E180" s="11" t="inlineStr">
        <is>
          <t>PT - Part Time Waged</t>
        </is>
      </c>
      <c r="F180" s="11" t="inlineStr">
        <is>
          <t>Melbourne IVF Nurses Enterprise Agreement</t>
        </is>
      </c>
      <c r="G180" s="11" t="inlineStr">
        <is>
          <t>Victoria</t>
        </is>
      </c>
      <c r="H180" s="13" t="inlineStr">
        <is>
          <t>60.80</t>
        </is>
      </c>
      <c r="I180" s="11" t="inlineStr">
        <is>
          <t>MELBOURNE IVF</t>
        </is>
      </c>
      <c r="J180" s="11" t="n"/>
      <c r="K180" s="14" t="n">
        <v>211.35</v>
      </c>
      <c r="L180" s="13" t="inlineStr">
        <is>
          <t>211.35</t>
        </is>
      </c>
      <c r="M180" s="12" t="n">
        <v>45949</v>
      </c>
      <c r="N180" s="12" t="n">
        <v>44207</v>
      </c>
      <c r="O180" s="13" t="inlineStr"/>
      <c r="P180" s="13" t="inlineStr"/>
      <c r="Q180" s="12" t="n"/>
    </row>
    <row r="181" ht="52.8" customHeight="1">
      <c r="A181" s="15" t="n">
        <v>1248</v>
      </c>
      <c r="B181" s="16" t="n">
        <v>44223</v>
      </c>
      <c r="C181" s="15" t="inlineStr">
        <is>
          <t>Enrolled Nurse</t>
        </is>
      </c>
      <c r="D181" s="15" t="n"/>
      <c r="E181" s="15" t="inlineStr">
        <is>
          <t>FP - Full Time Waged</t>
        </is>
      </c>
      <c r="F181" s="15" t="inlineStr">
        <is>
          <t>Melbourne IVF Nurses Enterprise Agreement</t>
        </is>
      </c>
      <c r="G181" s="15" t="inlineStr">
        <is>
          <t>Victoria</t>
        </is>
      </c>
      <c r="H181" s="17" t="inlineStr">
        <is>
          <t>76.00</t>
        </is>
      </c>
      <c r="I181" s="15" t="inlineStr">
        <is>
          <t>MELBOURNE IVF</t>
        </is>
      </c>
      <c r="J181" s="15" t="n"/>
      <c r="K181" s="18" t="n">
        <v>308.22</v>
      </c>
      <c r="L181" s="17" t="inlineStr">
        <is>
          <t>308.22</t>
        </is>
      </c>
      <c r="M181" s="16" t="n">
        <v>45949</v>
      </c>
      <c r="N181" s="16" t="n">
        <v>44223</v>
      </c>
      <c r="O181" s="17" t="inlineStr"/>
      <c r="P181" s="17" t="inlineStr"/>
      <c r="Q181" s="16" t="n"/>
    </row>
    <row r="182" ht="66" customHeight="1">
      <c r="A182" s="11" t="n">
        <v>1250</v>
      </c>
      <c r="B182" s="12" t="n">
        <v>44237</v>
      </c>
      <c r="C182" s="11" t="inlineStr">
        <is>
          <t>Patient Liaison Administrator Team Leader</t>
        </is>
      </c>
      <c r="D182" s="11" t="n"/>
      <c r="E182" s="11" t="inlineStr">
        <is>
          <t>FP - Full Time Waged</t>
        </is>
      </c>
      <c r="F182" s="11" t="inlineStr">
        <is>
          <t>Melbourne IVF Support Services Enterprise Agreement</t>
        </is>
      </c>
      <c r="G182" s="11" t="inlineStr">
        <is>
          <t>Victoria</t>
        </is>
      </c>
      <c r="H182" s="13" t="inlineStr">
        <is>
          <t>76.00</t>
        </is>
      </c>
      <c r="I182" s="11" t="inlineStr">
        <is>
          <t>MELBOURNE IVF</t>
        </is>
      </c>
      <c r="J182" s="11" t="n"/>
      <c r="K182" s="14" t="n">
        <v>308.94</v>
      </c>
      <c r="L182" s="13" t="inlineStr">
        <is>
          <t>308.94</t>
        </is>
      </c>
      <c r="M182" s="12" t="n">
        <v>45949</v>
      </c>
      <c r="N182" s="12" t="n">
        <v>44237</v>
      </c>
      <c r="O182" s="13" t="inlineStr"/>
      <c r="P182" s="13" t="inlineStr"/>
      <c r="Q182" s="12" t="n"/>
    </row>
    <row r="183" ht="52.8" customHeight="1">
      <c r="A183" s="15" t="n">
        <v>125</v>
      </c>
      <c r="B183" s="16" t="n">
        <v>44256</v>
      </c>
      <c r="C183" s="15" t="inlineStr">
        <is>
          <t>Registered Nurse</t>
        </is>
      </c>
      <c r="D183" s="15" t="n"/>
      <c r="E183" s="15" t="inlineStr">
        <is>
          <t>FP - Full Time Waged</t>
        </is>
      </c>
      <c r="F183" s="15" t="inlineStr">
        <is>
          <t>TAS IVF Nurses Enterprise Agreement</t>
        </is>
      </c>
      <c r="G183" s="15" t="inlineStr">
        <is>
          <t>Tasmania</t>
        </is>
      </c>
      <c r="H183" s="17" t="inlineStr">
        <is>
          <t>75.00</t>
        </is>
      </c>
      <c r="I183" s="15" t="inlineStr">
        <is>
          <t>TAS IVF PTY LTD</t>
        </is>
      </c>
      <c r="J183" s="15" t="n"/>
      <c r="K183" s="18" t="n">
        <v>150.75</v>
      </c>
      <c r="L183" s="17" t="inlineStr">
        <is>
          <t>150.75</t>
        </is>
      </c>
      <c r="M183" s="16" t="n">
        <v>45949</v>
      </c>
      <c r="N183" s="16" t="n">
        <v>44256</v>
      </c>
      <c r="O183" s="17" t="inlineStr"/>
      <c r="P183" s="17" t="inlineStr"/>
      <c r="Q183" s="16" t="n"/>
    </row>
    <row r="184" ht="66" customHeight="1">
      <c r="A184" s="11" t="n">
        <v>1256</v>
      </c>
      <c r="B184" s="12" t="n">
        <v>44256</v>
      </c>
      <c r="C184" s="11" t="inlineStr">
        <is>
          <t>Receptionist</t>
        </is>
      </c>
      <c r="D184" s="11" t="n"/>
      <c r="E184" s="11" t="inlineStr">
        <is>
          <t>FP - Full Time Waged</t>
        </is>
      </c>
      <c r="F184" s="11" t="inlineStr">
        <is>
          <t>Melbourne IVF Support Services Enterprise Agreement</t>
        </is>
      </c>
      <c r="G184" s="11" t="inlineStr">
        <is>
          <t>Victoria</t>
        </is>
      </c>
      <c r="H184" s="13" t="inlineStr">
        <is>
          <t>76.00</t>
        </is>
      </c>
      <c r="I184" s="11" t="inlineStr">
        <is>
          <t>MELBOURNE IVF</t>
        </is>
      </c>
      <c r="J184" s="11" t="n"/>
      <c r="K184" s="14" t="n">
        <v>305.51</v>
      </c>
      <c r="L184" s="13" t="inlineStr">
        <is>
          <t>305.51</t>
        </is>
      </c>
      <c r="M184" s="12" t="n">
        <v>45949</v>
      </c>
      <c r="N184" s="12" t="n">
        <v>44256</v>
      </c>
      <c r="O184" s="13" t="inlineStr"/>
      <c r="P184" s="13" t="inlineStr"/>
      <c r="Q184" s="12" t="n"/>
    </row>
    <row r="185" ht="52.8" customHeight="1">
      <c r="A185" s="15" t="n">
        <v>1258</v>
      </c>
      <c r="B185" s="16" t="n">
        <v>44256</v>
      </c>
      <c r="C185" s="15" t="inlineStr">
        <is>
          <t>Donor Nurse</t>
        </is>
      </c>
      <c r="D185" s="15" t="n"/>
      <c r="E185" s="15" t="inlineStr">
        <is>
          <t>PT - Part Time Waged</t>
        </is>
      </c>
      <c r="F185" s="15" t="inlineStr">
        <is>
          <t>Melbourne IVF Nurses Enterprise Agreement</t>
        </is>
      </c>
      <c r="G185" s="15" t="inlineStr">
        <is>
          <t>New South Wales</t>
        </is>
      </c>
      <c r="H185" s="17" t="inlineStr">
        <is>
          <t>53.20</t>
        </is>
      </c>
      <c r="I185" s="15" t="inlineStr">
        <is>
          <t>MELBOURNE IVF</t>
        </is>
      </c>
      <c r="J185" s="15" t="n"/>
      <c r="K185" s="18" t="n">
        <v>192.66</v>
      </c>
      <c r="L185" s="17" t="inlineStr">
        <is>
          <t>192.66</t>
        </is>
      </c>
      <c r="M185" s="16" t="n">
        <v>45949</v>
      </c>
      <c r="N185" s="16" t="n">
        <v>44256</v>
      </c>
      <c r="O185" s="17" t="inlineStr"/>
      <c r="P185" s="17" t="inlineStr"/>
      <c r="Q185" s="16" t="n"/>
    </row>
    <row r="186" ht="52.8" customHeight="1">
      <c r="A186" s="11" t="n">
        <v>1261</v>
      </c>
      <c r="B186" s="12" t="n">
        <v>44293</v>
      </c>
      <c r="C186" s="11" t="inlineStr">
        <is>
          <t>Donor Nurse</t>
        </is>
      </c>
      <c r="D186" s="11" t="n"/>
      <c r="E186" s="11" t="inlineStr">
        <is>
          <t>FP - Full Time Waged</t>
        </is>
      </c>
      <c r="F186" s="11" t="inlineStr">
        <is>
          <t>Melbourne IVF Nurses Enterprise Agreement</t>
        </is>
      </c>
      <c r="G186" s="11" t="inlineStr">
        <is>
          <t>Victoria</t>
        </is>
      </c>
      <c r="H186" s="13" t="inlineStr">
        <is>
          <t>76.00</t>
        </is>
      </c>
      <c r="I186" s="11" t="inlineStr">
        <is>
          <t>MELBOURNE IVF</t>
        </is>
      </c>
      <c r="J186" s="11" t="n"/>
      <c r="K186" s="14" t="n">
        <v>298.84</v>
      </c>
      <c r="L186" s="13" t="inlineStr">
        <is>
          <t>298.84</t>
        </is>
      </c>
      <c r="M186" s="12" t="n">
        <v>45949</v>
      </c>
      <c r="N186" s="12" t="n">
        <v>44293</v>
      </c>
      <c r="O186" s="13" t="inlineStr"/>
      <c r="P186" s="13" t="inlineStr"/>
      <c r="Q186" s="12" t="n"/>
    </row>
    <row r="187" ht="66" customHeight="1">
      <c r="A187" s="15" t="n">
        <v>1263</v>
      </c>
      <c r="B187" s="16" t="n">
        <v>44298</v>
      </c>
      <c r="C187" s="15" t="inlineStr">
        <is>
          <t>Genetics Scientist</t>
        </is>
      </c>
      <c r="D187" s="15" t="n"/>
      <c r="E187" s="15" t="inlineStr">
        <is>
          <t>PT - Part Time Waged</t>
        </is>
      </c>
      <c r="F187" s="15" t="inlineStr">
        <is>
          <t>Melbourne IVF Medical Scientists Enterprise Agreement</t>
        </is>
      </c>
      <c r="G187" s="15" t="inlineStr">
        <is>
          <t>Victoria</t>
        </is>
      </c>
      <c r="H187" s="17" t="inlineStr">
        <is>
          <t>60.80</t>
        </is>
      </c>
      <c r="I187" s="15" t="inlineStr">
        <is>
          <t>MELBOURNE IVF</t>
        </is>
      </c>
      <c r="J187" s="15" t="n"/>
      <c r="K187" s="18" t="n">
        <v>242.86</v>
      </c>
      <c r="L187" s="17" t="inlineStr">
        <is>
          <t>242.86</t>
        </is>
      </c>
      <c r="M187" s="16" t="n">
        <v>45949</v>
      </c>
      <c r="N187" s="16" t="n">
        <v>44298</v>
      </c>
      <c r="O187" s="17" t="inlineStr"/>
      <c r="P187" s="17" t="inlineStr"/>
      <c r="Q187" s="16" t="n"/>
    </row>
    <row r="188" ht="52.8" customHeight="1">
      <c r="A188" s="11" t="n">
        <v>1265</v>
      </c>
      <c r="B188" s="12" t="n">
        <v>44298</v>
      </c>
      <c r="C188" s="11" t="inlineStr">
        <is>
          <t>Registered Nurse</t>
        </is>
      </c>
      <c r="D188" s="11" t="n"/>
      <c r="E188" s="11" t="inlineStr">
        <is>
          <t>FP - Full Time Waged</t>
        </is>
      </c>
      <c r="F188" s="11" t="inlineStr">
        <is>
          <t>Melbourne IVF Nurses Enterprise Agreement</t>
        </is>
      </c>
      <c r="G188" s="11" t="inlineStr">
        <is>
          <t>Victoria</t>
        </is>
      </c>
      <c r="H188" s="13" t="inlineStr">
        <is>
          <t>76.00</t>
        </is>
      </c>
      <c r="I188" s="11" t="inlineStr">
        <is>
          <t>MELBOURNE IVF</t>
        </is>
      </c>
      <c r="J188" s="11" t="n"/>
      <c r="K188" s="14" t="n">
        <v>275.05</v>
      </c>
      <c r="L188" s="13" t="inlineStr">
        <is>
          <t>275.05</t>
        </is>
      </c>
      <c r="M188" s="12" t="n">
        <v>45949</v>
      </c>
      <c r="N188" s="12" t="n">
        <v>44298</v>
      </c>
      <c r="O188" s="13" t="inlineStr"/>
      <c r="P188" s="13" t="inlineStr"/>
      <c r="Q188" s="12" t="n"/>
    </row>
    <row r="189" ht="66" customHeight="1">
      <c r="A189" s="15" t="n">
        <v>1266</v>
      </c>
      <c r="B189" s="16" t="n">
        <v>44305</v>
      </c>
      <c r="C189" s="15" t="inlineStr">
        <is>
          <t>Receptionist</t>
        </is>
      </c>
      <c r="D189" s="15" t="n"/>
      <c r="E189" s="15" t="inlineStr">
        <is>
          <t>FP - Full Time Waged</t>
        </is>
      </c>
      <c r="F189" s="15" t="inlineStr">
        <is>
          <t>Melbourne IVF Support Services Enterprise Agreement</t>
        </is>
      </c>
      <c r="G189" s="15" t="inlineStr">
        <is>
          <t>Victoria</t>
        </is>
      </c>
      <c r="H189" s="17" t="inlineStr">
        <is>
          <t>76.00</t>
        </is>
      </c>
      <c r="I189" s="15" t="inlineStr">
        <is>
          <t>MELBOURNE IVF</t>
        </is>
      </c>
      <c r="J189" s="15" t="n"/>
      <c r="K189" s="18" t="n">
        <v>296.67</v>
      </c>
      <c r="L189" s="17" t="inlineStr">
        <is>
          <t>296.67</t>
        </is>
      </c>
      <c r="M189" s="16" t="n">
        <v>45949</v>
      </c>
      <c r="N189" s="16" t="n">
        <v>44305</v>
      </c>
      <c r="O189" s="17" t="inlineStr"/>
      <c r="P189" s="17" t="inlineStr"/>
      <c r="Q189" s="16" t="n"/>
    </row>
    <row r="190" ht="52.8" customHeight="1">
      <c r="A190" s="11" t="n">
        <v>1267</v>
      </c>
      <c r="B190" s="12" t="n">
        <v>44312</v>
      </c>
      <c r="C190" s="11" t="inlineStr">
        <is>
          <t>Clinical Nurse Specialist</t>
        </is>
      </c>
      <c r="D190" s="11" t="n"/>
      <c r="E190" s="11" t="inlineStr">
        <is>
          <t>FP - Full Time Waged</t>
        </is>
      </c>
      <c r="F190" s="11" t="inlineStr">
        <is>
          <t>Melbourne IVF Nurses Enterprise Agreement</t>
        </is>
      </c>
      <c r="G190" s="11" t="inlineStr">
        <is>
          <t>Victoria</t>
        </is>
      </c>
      <c r="H190" s="13" t="inlineStr">
        <is>
          <t>76.00</t>
        </is>
      </c>
      <c r="I190" s="11" t="inlineStr">
        <is>
          <t>MELBOURNE IVF</t>
        </is>
      </c>
      <c r="J190" s="11" t="n"/>
      <c r="K190" s="14" t="n">
        <v>295.41</v>
      </c>
      <c r="L190" s="13" t="inlineStr">
        <is>
          <t>295.41</t>
        </is>
      </c>
      <c r="M190" s="12" t="n">
        <v>45949</v>
      </c>
      <c r="N190" s="12" t="n">
        <v>44312</v>
      </c>
      <c r="O190" s="13" t="inlineStr"/>
      <c r="P190" s="13" t="inlineStr"/>
      <c r="Q190" s="12" t="n"/>
    </row>
    <row r="191" ht="52.8" customHeight="1">
      <c r="A191" s="15" t="n">
        <v>1268</v>
      </c>
      <c r="B191" s="16" t="n">
        <v>44312</v>
      </c>
      <c r="C191" s="15" t="inlineStr">
        <is>
          <t>Registered Nurse</t>
        </is>
      </c>
      <c r="D191" s="15" t="n"/>
      <c r="E191" s="15" t="inlineStr">
        <is>
          <t>PT - Part Time Waged</t>
        </is>
      </c>
      <c r="F191" s="15" t="inlineStr">
        <is>
          <t>Melbourne IVF Nurses Enterprise Agreement</t>
        </is>
      </c>
      <c r="G191" s="15" t="inlineStr">
        <is>
          <t>Victoria</t>
        </is>
      </c>
      <c r="H191" s="17" t="inlineStr">
        <is>
          <t>60.80</t>
        </is>
      </c>
      <c r="I191" s="15" t="inlineStr">
        <is>
          <t>MELBOURNE IVF</t>
        </is>
      </c>
      <c r="J191" s="15" t="n"/>
      <c r="K191" s="18" t="n">
        <v>236.33</v>
      </c>
      <c r="L191" s="17" t="inlineStr">
        <is>
          <t>236.33</t>
        </is>
      </c>
      <c r="M191" s="16" t="n">
        <v>45949</v>
      </c>
      <c r="N191" s="16" t="n">
        <v>44312</v>
      </c>
      <c r="O191" s="17" t="inlineStr"/>
      <c r="P191" s="17" t="inlineStr"/>
      <c r="Q191" s="16" t="n"/>
    </row>
    <row r="192" ht="52.8" customHeight="1">
      <c r="A192" s="11" t="n">
        <v>1270</v>
      </c>
      <c r="B192" s="12" t="n">
        <v>44312</v>
      </c>
      <c r="C192" s="11" t="inlineStr">
        <is>
          <t>Registered Nurse</t>
        </is>
      </c>
      <c r="D192" s="11" t="n"/>
      <c r="E192" s="11" t="inlineStr">
        <is>
          <t>FP - Full Time Waged</t>
        </is>
      </c>
      <c r="F192" s="11" t="inlineStr">
        <is>
          <t>Melbourne IVF Nurses Enterprise Agreement</t>
        </is>
      </c>
      <c r="G192" s="11" t="inlineStr">
        <is>
          <t>Victoria</t>
        </is>
      </c>
      <c r="H192" s="13" t="inlineStr">
        <is>
          <t>76.00</t>
        </is>
      </c>
      <c r="I192" s="11" t="inlineStr">
        <is>
          <t>MELBOURNE IVF</t>
        </is>
      </c>
      <c r="J192" s="11" t="n"/>
      <c r="K192" s="14" t="n">
        <v>295.41</v>
      </c>
      <c r="L192" s="13" t="inlineStr">
        <is>
          <t>295.41</t>
        </is>
      </c>
      <c r="M192" s="12" t="n">
        <v>45949</v>
      </c>
      <c r="N192" s="12" t="n">
        <v>44312</v>
      </c>
      <c r="O192" s="13" t="inlineStr"/>
      <c r="P192" s="13" t="inlineStr"/>
      <c r="Q192" s="12" t="n"/>
    </row>
    <row r="193" ht="52.8" customHeight="1">
      <c r="A193" s="15" t="n">
        <v>1271</v>
      </c>
      <c r="B193" s="16" t="n">
        <v>44312</v>
      </c>
      <c r="C193" s="15" t="inlineStr">
        <is>
          <t>Clinical Nurse Specialist</t>
        </is>
      </c>
      <c r="D193" s="15" t="n"/>
      <c r="E193" s="15" t="inlineStr">
        <is>
          <t>PT - Part Time Waged</t>
        </is>
      </c>
      <c r="F193" s="15" t="inlineStr">
        <is>
          <t>Melbourne IVF Nurses Enterprise Agreement</t>
        </is>
      </c>
      <c r="G193" s="15" t="inlineStr">
        <is>
          <t>Victoria</t>
        </is>
      </c>
      <c r="H193" s="17" t="inlineStr">
        <is>
          <t>45.60</t>
        </is>
      </c>
      <c r="I193" s="15" t="inlineStr">
        <is>
          <t>MELBOURNE IVF</t>
        </is>
      </c>
      <c r="J193" s="15" t="n"/>
      <c r="K193" s="18" t="n">
        <v>293.39</v>
      </c>
      <c r="L193" s="17" t="inlineStr">
        <is>
          <t>293.39</t>
        </is>
      </c>
      <c r="M193" s="16" t="n">
        <v>45949</v>
      </c>
      <c r="N193" s="16" t="n">
        <v>44312</v>
      </c>
      <c r="O193" s="17" t="inlineStr"/>
      <c r="P193" s="17" t="inlineStr"/>
      <c r="Q193" s="16" t="n"/>
    </row>
    <row r="194" ht="66" customHeight="1">
      <c r="A194" s="11" t="n">
        <v>1273</v>
      </c>
      <c r="B194" s="12" t="n">
        <v>44361</v>
      </c>
      <c r="C194" s="11" t="inlineStr">
        <is>
          <t>Genetic Counsellor</t>
        </is>
      </c>
      <c r="D194" s="11" t="n"/>
      <c r="E194" s="11" t="inlineStr">
        <is>
          <t>PT - Part Time Waged</t>
        </is>
      </c>
      <c r="F194" s="11" t="inlineStr">
        <is>
          <t>Melbourne IVF Counselling Enterprise Agreement</t>
        </is>
      </c>
      <c r="G194" s="11" t="inlineStr">
        <is>
          <t>Victoria</t>
        </is>
      </c>
      <c r="H194" s="13" t="inlineStr">
        <is>
          <t>45.60</t>
        </is>
      </c>
      <c r="I194" s="11" t="inlineStr">
        <is>
          <t>MELBOURNE IVF</t>
        </is>
      </c>
      <c r="J194" s="11" t="n"/>
      <c r="K194" s="14" t="n">
        <v>222.97</v>
      </c>
      <c r="L194" s="13" t="inlineStr">
        <is>
          <t>222.97</t>
        </is>
      </c>
      <c r="M194" s="12" t="n">
        <v>45949</v>
      </c>
      <c r="N194" s="12" t="n">
        <v>44361</v>
      </c>
      <c r="O194" s="13" t="inlineStr"/>
      <c r="P194" s="13" t="inlineStr"/>
      <c r="Q194" s="12" t="n"/>
    </row>
    <row r="195" ht="52.8" customHeight="1">
      <c r="A195" s="15" t="n">
        <v>1275</v>
      </c>
      <c r="B195" s="16" t="n">
        <v>44368</v>
      </c>
      <c r="C195" s="15" t="inlineStr">
        <is>
          <t>Registered Nurse</t>
        </is>
      </c>
      <c r="D195" s="15" t="n"/>
      <c r="E195" s="15" t="inlineStr">
        <is>
          <t>PT - Part Time Waged</t>
        </is>
      </c>
      <c r="F195" s="15" t="inlineStr">
        <is>
          <t>Melbourne IVF Nurses Enterprise Agreement</t>
        </is>
      </c>
      <c r="G195" s="15" t="inlineStr">
        <is>
          <t>Victoria</t>
        </is>
      </c>
      <c r="H195" s="17" t="inlineStr">
        <is>
          <t>60.80</t>
        </is>
      </c>
      <c r="I195" s="15" t="inlineStr">
        <is>
          <t>MELBOURNE IVF</t>
        </is>
      </c>
      <c r="J195" s="15" t="n"/>
      <c r="K195" s="18" t="n">
        <v>239.83</v>
      </c>
      <c r="L195" s="17" t="inlineStr">
        <is>
          <t>239.83</t>
        </is>
      </c>
      <c r="M195" s="16" t="n">
        <v>45949</v>
      </c>
      <c r="N195" s="16" t="n">
        <v>44368</v>
      </c>
      <c r="O195" s="17" t="inlineStr"/>
      <c r="P195" s="17" t="inlineStr"/>
      <c r="Q195" s="16" t="n"/>
    </row>
    <row r="196" ht="66" customHeight="1">
      <c r="A196" s="11" t="n">
        <v>1276</v>
      </c>
      <c r="B196" s="12" t="n">
        <v>44382</v>
      </c>
      <c r="C196" s="11" t="inlineStr">
        <is>
          <t>Counsellor</t>
        </is>
      </c>
      <c r="D196" s="11" t="n"/>
      <c r="E196" s="11" t="inlineStr">
        <is>
          <t>PT - Part Time Waged</t>
        </is>
      </c>
      <c r="F196" s="11" t="inlineStr">
        <is>
          <t>Melbourne IVF Counselling Enterprise Agreement</t>
        </is>
      </c>
      <c r="G196" s="11" t="inlineStr">
        <is>
          <t>Victoria</t>
        </is>
      </c>
      <c r="H196" s="13" t="inlineStr">
        <is>
          <t>60.80</t>
        </is>
      </c>
      <c r="I196" s="11" t="inlineStr">
        <is>
          <t>MELBOURNE IVF</t>
        </is>
      </c>
      <c r="J196" s="11" t="n"/>
      <c r="K196" s="14" t="n">
        <v>226.22</v>
      </c>
      <c r="L196" s="13" t="inlineStr">
        <is>
          <t>226.22</t>
        </is>
      </c>
      <c r="M196" s="12" t="n">
        <v>45949</v>
      </c>
      <c r="N196" s="12" t="n">
        <v>44382</v>
      </c>
      <c r="O196" s="13" t="inlineStr"/>
      <c r="P196" s="13" t="inlineStr"/>
      <c r="Q196" s="12" t="n"/>
    </row>
    <row r="197" ht="66" customHeight="1">
      <c r="A197" s="15" t="n">
        <v>1277</v>
      </c>
      <c r="B197" s="16" t="n">
        <v>44390</v>
      </c>
      <c r="C197" s="15" t="inlineStr">
        <is>
          <t>Patient Care Co-ordinator</t>
        </is>
      </c>
      <c r="D197" s="15" t="n"/>
      <c r="E197" s="15" t="inlineStr">
        <is>
          <t>FP - Full Time Waged</t>
        </is>
      </c>
      <c r="F197" s="15" t="inlineStr">
        <is>
          <t>Melbourne IVF Support Services Enterprise Agreement</t>
        </is>
      </c>
      <c r="G197" s="15" t="inlineStr">
        <is>
          <t>Victoria</t>
        </is>
      </c>
      <c r="H197" s="17" t="inlineStr">
        <is>
          <t>76.00</t>
        </is>
      </c>
      <c r="I197" s="15" t="inlineStr">
        <is>
          <t>MELBOURNE IVF</t>
        </is>
      </c>
      <c r="J197" s="15" t="n"/>
      <c r="K197" s="18" t="n">
        <v>281.33</v>
      </c>
      <c r="L197" s="17" t="inlineStr">
        <is>
          <t>281.33</t>
        </is>
      </c>
      <c r="M197" s="16" t="n">
        <v>45949</v>
      </c>
      <c r="N197" s="16" t="n">
        <v>44390</v>
      </c>
      <c r="O197" s="17" t="inlineStr"/>
      <c r="P197" s="17" t="inlineStr"/>
      <c r="Q197" s="16" t="n"/>
    </row>
    <row r="198" ht="66" customHeight="1">
      <c r="A198" s="11" t="n">
        <v>1281</v>
      </c>
      <c r="B198" s="12" t="n">
        <v>44405</v>
      </c>
      <c r="C198" s="11" t="inlineStr">
        <is>
          <t>Embryologist</t>
        </is>
      </c>
      <c r="D198" s="11" t="n"/>
      <c r="E198" s="11" t="inlineStr">
        <is>
          <t>FP - Full Time Waged</t>
        </is>
      </c>
      <c r="F198" s="11" t="inlineStr">
        <is>
          <t>Melbourne IVF Medical Scientists Enterprise Agreement</t>
        </is>
      </c>
      <c r="G198" s="11" t="inlineStr">
        <is>
          <t>Victoria</t>
        </is>
      </c>
      <c r="H198" s="13" t="inlineStr">
        <is>
          <t>76.00</t>
        </is>
      </c>
      <c r="I198" s="11" t="inlineStr">
        <is>
          <t>MELBOURNE IVF</t>
        </is>
      </c>
      <c r="J198" s="11" t="n"/>
      <c r="K198" s="14" t="n">
        <v>269.43</v>
      </c>
      <c r="L198" s="13" t="inlineStr">
        <is>
          <t>269.43</t>
        </is>
      </c>
      <c r="M198" s="12" t="n">
        <v>45949</v>
      </c>
      <c r="N198" s="12" t="n">
        <v>44405</v>
      </c>
      <c r="O198" s="13" t="inlineStr"/>
      <c r="P198" s="13" t="inlineStr"/>
      <c r="Q198" s="12" t="n"/>
    </row>
    <row r="199" ht="66" customHeight="1">
      <c r="A199" s="15" t="n">
        <v>1284</v>
      </c>
      <c r="B199" s="16" t="n">
        <v>44417</v>
      </c>
      <c r="C199" s="15" t="inlineStr">
        <is>
          <t>Embryologist</t>
        </is>
      </c>
      <c r="D199" s="15" t="n"/>
      <c r="E199" s="15" t="inlineStr">
        <is>
          <t>FP - Full Time Waged</t>
        </is>
      </c>
      <c r="F199" s="15" t="inlineStr">
        <is>
          <t>Melbourne IVF Medical Scientists Enterprise Agreement</t>
        </is>
      </c>
      <c r="G199" s="15" t="inlineStr">
        <is>
          <t>Victoria</t>
        </is>
      </c>
      <c r="H199" s="17" t="inlineStr">
        <is>
          <t>76.00</t>
        </is>
      </c>
      <c r="I199" s="15" t="inlineStr">
        <is>
          <t>MELBOURNE IVF</t>
        </is>
      </c>
      <c r="J199" s="15" t="n"/>
      <c r="K199" s="18" t="n">
        <v>276.46</v>
      </c>
      <c r="L199" s="17" t="inlineStr">
        <is>
          <t>276.46</t>
        </is>
      </c>
      <c r="M199" s="16" t="n">
        <v>45949</v>
      </c>
      <c r="N199" s="16" t="n">
        <v>44417</v>
      </c>
      <c r="O199" s="17" t="inlineStr"/>
      <c r="P199" s="17" t="inlineStr"/>
      <c r="Q199" s="16" t="n"/>
    </row>
    <row r="200" ht="52.8" customHeight="1">
      <c r="A200" s="11" t="n">
        <v>1286</v>
      </c>
      <c r="B200" s="12" t="n">
        <v>44389</v>
      </c>
      <c r="C200" s="11" t="inlineStr">
        <is>
          <t>Managing Medical Director TasIVF</t>
        </is>
      </c>
      <c r="D200" s="11" t="n"/>
      <c r="E200" s="11" t="inlineStr">
        <is>
          <t>PT - Part Time Salaried</t>
        </is>
      </c>
      <c r="F200" s="11" t="inlineStr">
        <is>
          <t>Common Law Employment Contract</t>
        </is>
      </c>
      <c r="G200" s="11" t="inlineStr">
        <is>
          <t>Victoria</t>
        </is>
      </c>
      <c r="H200" s="13" t="inlineStr">
        <is>
          <t>15.20</t>
        </is>
      </c>
      <c r="I200" s="11" t="inlineStr">
        <is>
          <t>TAS IVF PTY LTD</t>
        </is>
      </c>
      <c r="J200" s="11" t="n"/>
      <c r="K200" s="14" t="n">
        <v>56.3</v>
      </c>
      <c r="L200" s="13" t="inlineStr">
        <is>
          <t>56.30</t>
        </is>
      </c>
      <c r="M200" s="12" t="n">
        <v>45949</v>
      </c>
      <c r="N200" s="12" t="n">
        <v>44389</v>
      </c>
      <c r="O200" s="13" t="inlineStr"/>
      <c r="P200" s="13" t="inlineStr"/>
      <c r="Q200" s="12" t="n"/>
    </row>
    <row r="201" ht="52.8" customHeight="1">
      <c r="A201" s="15" t="n">
        <v>131</v>
      </c>
      <c r="B201" s="16" t="n">
        <v>44409</v>
      </c>
      <c r="C201" s="15" t="inlineStr">
        <is>
          <t>Registered Nurse</t>
        </is>
      </c>
      <c r="D201" s="15" t="n"/>
      <c r="E201" s="15" t="inlineStr">
        <is>
          <t>PT - Part Time Waged</t>
        </is>
      </c>
      <c r="F201" s="15" t="inlineStr">
        <is>
          <t>TAS IVF Nurses Enterprise Agreement</t>
        </is>
      </c>
      <c r="G201" s="15" t="inlineStr">
        <is>
          <t>Tasmania</t>
        </is>
      </c>
      <c r="H201" s="17" t="inlineStr">
        <is>
          <t>56.00</t>
        </is>
      </c>
      <c r="I201" s="15" t="inlineStr">
        <is>
          <t>TAS IVF PTY LTD</t>
        </is>
      </c>
      <c r="J201" s="15" t="n"/>
      <c r="K201" s="18" t="n">
        <v>74.06</v>
      </c>
      <c r="L201" s="17" t="inlineStr">
        <is>
          <t>74.06</t>
        </is>
      </c>
      <c r="M201" s="16" t="n">
        <v>45949</v>
      </c>
      <c r="N201" s="16" t="n">
        <v>44409</v>
      </c>
      <c r="O201" s="17" t="inlineStr"/>
      <c r="P201" s="17" t="inlineStr"/>
      <c r="Q201" s="16" t="n"/>
    </row>
    <row r="202" ht="52.8" customHeight="1">
      <c r="A202" s="11" t="n">
        <v>1293</v>
      </c>
      <c r="B202" s="12" t="n">
        <v>44445</v>
      </c>
      <c r="C202" s="11" t="inlineStr">
        <is>
          <t>Registered Nurse</t>
        </is>
      </c>
      <c r="D202" s="11" t="n"/>
      <c r="E202" s="11" t="inlineStr">
        <is>
          <t>PT - Part Time Waged</t>
        </is>
      </c>
      <c r="F202" s="11" t="inlineStr">
        <is>
          <t>Melbourne IVF Nurses Enterprise Agreement</t>
        </is>
      </c>
      <c r="G202" s="11" t="inlineStr">
        <is>
          <t>Victoria</t>
        </is>
      </c>
      <c r="H202" s="13" t="inlineStr">
        <is>
          <t>60.80</t>
        </is>
      </c>
      <c r="I202" s="11" t="inlineStr">
        <is>
          <t>MELBOURNE IVF</t>
        </is>
      </c>
      <c r="J202" s="11" t="n"/>
      <c r="K202" s="14" t="n">
        <v>217.13</v>
      </c>
      <c r="L202" s="13" t="inlineStr">
        <is>
          <t>217.13</t>
        </is>
      </c>
      <c r="M202" s="12" t="n">
        <v>45949</v>
      </c>
      <c r="N202" s="12" t="n">
        <v>44445</v>
      </c>
      <c r="O202" s="13" t="inlineStr"/>
      <c r="P202" s="13" t="inlineStr"/>
      <c r="Q202" s="12" t="n"/>
    </row>
    <row r="203" ht="66" customHeight="1">
      <c r="A203" s="15" t="n">
        <v>1300</v>
      </c>
      <c r="B203" s="16" t="n">
        <v>44460</v>
      </c>
      <c r="C203" s="15" t="inlineStr">
        <is>
          <t>Administration Clerk</t>
        </is>
      </c>
      <c r="D203" s="15" t="n"/>
      <c r="E203" s="15" t="inlineStr">
        <is>
          <t>PT - Part Time Waged</t>
        </is>
      </c>
      <c r="F203" s="15" t="inlineStr">
        <is>
          <t>Melbourne IVF Support Services Enterprise Agreement</t>
        </is>
      </c>
      <c r="G203" s="15" t="inlineStr">
        <is>
          <t>Victoria</t>
        </is>
      </c>
      <c r="H203" s="17" t="inlineStr">
        <is>
          <t>21.20</t>
        </is>
      </c>
      <c r="I203" s="15" t="inlineStr">
        <is>
          <t>MELBOURNE IVF</t>
        </is>
      </c>
      <c r="J203" s="15" t="n"/>
      <c r="K203" s="18" t="n">
        <v>185.62</v>
      </c>
      <c r="L203" s="17" t="inlineStr">
        <is>
          <t>185.62</t>
        </is>
      </c>
      <c r="M203" s="16" t="n">
        <v>45949</v>
      </c>
      <c r="N203" s="16" t="n">
        <v>44460</v>
      </c>
      <c r="O203" s="17" t="inlineStr"/>
      <c r="P203" s="17" t="inlineStr"/>
      <c r="Q203" s="16" t="n"/>
    </row>
    <row r="204" ht="52.8" customHeight="1">
      <c r="A204" s="11" t="n">
        <v>1302</v>
      </c>
      <c r="B204" s="12" t="n">
        <v>44461</v>
      </c>
      <c r="C204" s="11" t="inlineStr">
        <is>
          <t>Lead Chemical Pathologist</t>
        </is>
      </c>
      <c r="D204" s="11" t="n"/>
      <c r="E204" s="11" t="inlineStr">
        <is>
          <t>FP - Full Time Salaried</t>
        </is>
      </c>
      <c r="F204" s="11" t="inlineStr">
        <is>
          <t>Common Law Employment Contract</t>
        </is>
      </c>
      <c r="G204" s="11" t="inlineStr">
        <is>
          <t>Australian Capital Territory</t>
        </is>
      </c>
      <c r="H204" s="13" t="inlineStr">
        <is>
          <t>76.00</t>
        </is>
      </c>
      <c r="I204" s="11" t="inlineStr">
        <is>
          <t>MELBOURNE IVF</t>
        </is>
      </c>
      <c r="J204" s="11" t="n"/>
      <c r="K204" s="14" t="n">
        <v>134.26</v>
      </c>
      <c r="L204" s="13" t="inlineStr">
        <is>
          <t>134.26</t>
        </is>
      </c>
      <c r="M204" s="12" t="n">
        <v>45949</v>
      </c>
      <c r="N204" s="12" t="n">
        <v>44461</v>
      </c>
      <c r="O204" s="13" t="inlineStr"/>
      <c r="P204" s="13" t="inlineStr"/>
      <c r="Q204" s="12" t="n"/>
    </row>
    <row r="205" ht="66" customHeight="1">
      <c r="A205" s="15" t="n">
        <v>136</v>
      </c>
      <c r="B205" s="16" t="n">
        <v>44476</v>
      </c>
      <c r="C205" s="15" t="inlineStr">
        <is>
          <t>Administration Team Leader</t>
        </is>
      </c>
      <c r="D205" s="15" t="n"/>
      <c r="E205" s="15" t="inlineStr">
        <is>
          <t>FP - Full Time Waged</t>
        </is>
      </c>
      <c r="F205" s="15" t="inlineStr">
        <is>
          <t>TAS IVF Support Services Enterprise Agreement</t>
        </is>
      </c>
      <c r="G205" s="15" t="inlineStr">
        <is>
          <t>Tasmania</t>
        </is>
      </c>
      <c r="H205" s="17" t="inlineStr">
        <is>
          <t>75.00</t>
        </is>
      </c>
      <c r="I205" s="15" t="inlineStr">
        <is>
          <t>TAS IVF PTY LTD</t>
        </is>
      </c>
      <c r="J205" s="15" t="n"/>
      <c r="K205" s="18" t="n">
        <v>131.16</v>
      </c>
      <c r="L205" s="17" t="inlineStr">
        <is>
          <t>131.16</t>
        </is>
      </c>
      <c r="M205" s="16" t="n">
        <v>45949</v>
      </c>
      <c r="N205" s="16" t="n">
        <v>44476</v>
      </c>
      <c r="O205" s="17" t="inlineStr"/>
      <c r="P205" s="17" t="inlineStr"/>
      <c r="Q205" s="16" t="n"/>
    </row>
    <row r="206" ht="66" customHeight="1">
      <c r="A206" s="11" t="n">
        <v>1310</v>
      </c>
      <c r="B206" s="12" t="n">
        <v>44487</v>
      </c>
      <c r="C206" s="11" t="inlineStr">
        <is>
          <t>Genetics Scientist</t>
        </is>
      </c>
      <c r="D206" s="11" t="n"/>
      <c r="E206" s="11" t="inlineStr">
        <is>
          <t>FP - Full Time Waged</t>
        </is>
      </c>
      <c r="F206" s="11" t="inlineStr">
        <is>
          <t>Melbourne IVF Medical Scientists Enterprise Agreement</t>
        </is>
      </c>
      <c r="G206" s="11" t="inlineStr">
        <is>
          <t>Victoria</t>
        </is>
      </c>
      <c r="H206" s="13" t="inlineStr">
        <is>
          <t>76.00</t>
        </is>
      </c>
      <c r="I206" s="11" t="inlineStr">
        <is>
          <t>MELBOURNE IVF</t>
        </is>
      </c>
      <c r="J206" s="11" t="n"/>
      <c r="K206" s="14" t="n">
        <v>263.83</v>
      </c>
      <c r="L206" s="13" t="inlineStr">
        <is>
          <t>263.83</t>
        </is>
      </c>
      <c r="M206" s="12" t="n">
        <v>45949</v>
      </c>
      <c r="N206" s="12" t="n">
        <v>44487</v>
      </c>
      <c r="O206" s="13" t="inlineStr"/>
      <c r="P206" s="13" t="inlineStr"/>
      <c r="Q206" s="12" t="n"/>
    </row>
    <row r="207" ht="66" customHeight="1">
      <c r="A207" s="15" t="n">
        <v>1311</v>
      </c>
      <c r="B207" s="16" t="n">
        <v>44480</v>
      </c>
      <c r="C207" s="15" t="inlineStr">
        <is>
          <t>Embryologist</t>
        </is>
      </c>
      <c r="D207" s="15" t="n"/>
      <c r="E207" s="15" t="inlineStr">
        <is>
          <t>FP - Full Time Waged</t>
        </is>
      </c>
      <c r="F207" s="15" t="inlineStr">
        <is>
          <t>Melbourne IVF Medical Scientists Enterprise Agreement</t>
        </is>
      </c>
      <c r="G207" s="15" t="inlineStr">
        <is>
          <t>Victoria</t>
        </is>
      </c>
      <c r="H207" s="17" t="inlineStr">
        <is>
          <t>76.00</t>
        </is>
      </c>
      <c r="I207" s="15" t="inlineStr">
        <is>
          <t>MELBOURNE IVF</t>
        </is>
      </c>
      <c r="J207" s="15" t="n"/>
      <c r="K207" s="18" t="n">
        <v>198.65</v>
      </c>
      <c r="L207" s="17" t="inlineStr">
        <is>
          <t>198.65</t>
        </is>
      </c>
      <c r="M207" s="16" t="n">
        <v>45949</v>
      </c>
      <c r="N207" s="16" t="n">
        <v>44480</v>
      </c>
      <c r="O207" s="17" t="inlineStr"/>
      <c r="P207" s="17" t="inlineStr"/>
      <c r="Q207" s="16" t="n"/>
    </row>
    <row r="208" ht="66" customHeight="1">
      <c r="A208" s="11" t="n">
        <v>1313</v>
      </c>
      <c r="B208" s="12" t="n">
        <v>44503</v>
      </c>
      <c r="C208" s="11" t="inlineStr">
        <is>
          <t>Accounts Receivable Administrator</t>
        </is>
      </c>
      <c r="D208" s="11" t="n"/>
      <c r="E208" s="11" t="inlineStr">
        <is>
          <t>FP - Full Time Waged</t>
        </is>
      </c>
      <c r="F208" s="11" t="inlineStr">
        <is>
          <t>Melbourne IVF Support Services Enterprise Agreement</t>
        </is>
      </c>
      <c r="G208" s="11" t="inlineStr">
        <is>
          <t>Victoria</t>
        </is>
      </c>
      <c r="H208" s="13" t="inlineStr">
        <is>
          <t>76.00</t>
        </is>
      </c>
      <c r="I208" s="11" t="inlineStr">
        <is>
          <t>MELBOURNE IVF</t>
        </is>
      </c>
      <c r="J208" s="11" t="n"/>
      <c r="K208" s="14" t="n">
        <v>260.94</v>
      </c>
      <c r="L208" s="13" t="inlineStr">
        <is>
          <t>260.94</t>
        </is>
      </c>
      <c r="M208" s="12" t="n">
        <v>45949</v>
      </c>
      <c r="N208" s="12" t="n">
        <v>44503</v>
      </c>
      <c r="O208" s="13" t="inlineStr"/>
      <c r="P208" s="13" t="inlineStr"/>
      <c r="Q208" s="12" t="n"/>
    </row>
    <row r="209" ht="66" customHeight="1">
      <c r="A209" s="15" t="n">
        <v>1316</v>
      </c>
      <c r="B209" s="16" t="n">
        <v>44503</v>
      </c>
      <c r="C209" s="15" t="inlineStr">
        <is>
          <t>Genetics Scientist</t>
        </is>
      </c>
      <c r="D209" s="15" t="n"/>
      <c r="E209" s="15" t="inlineStr">
        <is>
          <t>FP - Full Time Waged</t>
        </is>
      </c>
      <c r="F209" s="15" t="inlineStr">
        <is>
          <t>Melbourne IVF Medical Scientists Enterprise Agreement</t>
        </is>
      </c>
      <c r="G209" s="15" t="inlineStr">
        <is>
          <t>Victoria</t>
        </is>
      </c>
      <c r="H209" s="17" t="inlineStr">
        <is>
          <t>76.00</t>
        </is>
      </c>
      <c r="I209" s="15" t="inlineStr">
        <is>
          <t>MELBOURNE IVF</t>
        </is>
      </c>
      <c r="J209" s="15" t="n"/>
      <c r="K209" s="18" t="n">
        <v>260.94</v>
      </c>
      <c r="L209" s="17" t="inlineStr">
        <is>
          <t>260.94</t>
        </is>
      </c>
      <c r="M209" s="16" t="n">
        <v>45949</v>
      </c>
      <c r="N209" s="16" t="n">
        <v>44503</v>
      </c>
      <c r="O209" s="17" t="inlineStr"/>
      <c r="P209" s="17" t="inlineStr"/>
      <c r="Q209" s="16" t="n"/>
    </row>
    <row r="210" ht="66" customHeight="1">
      <c r="A210" s="11" t="n">
        <v>1317</v>
      </c>
      <c r="B210" s="12" t="n">
        <v>44503</v>
      </c>
      <c r="C210" s="11" t="inlineStr">
        <is>
          <t>Genetics Scientist</t>
        </is>
      </c>
      <c r="D210" s="11" t="n"/>
      <c r="E210" s="11" t="inlineStr">
        <is>
          <t>FP - Full Time Waged</t>
        </is>
      </c>
      <c r="F210" s="11" t="inlineStr">
        <is>
          <t>Melbourne IVF Medical Scientists Enterprise Agreement</t>
        </is>
      </c>
      <c r="G210" s="11" t="inlineStr">
        <is>
          <t>Victoria</t>
        </is>
      </c>
      <c r="H210" s="13" t="inlineStr">
        <is>
          <t>76.00</t>
        </is>
      </c>
      <c r="I210" s="11" t="inlineStr">
        <is>
          <t>MELBOURNE IVF</t>
        </is>
      </c>
      <c r="J210" s="11" t="n"/>
      <c r="K210" s="14" t="n">
        <v>260.94</v>
      </c>
      <c r="L210" s="13" t="inlineStr">
        <is>
          <t>260.94</t>
        </is>
      </c>
      <c r="M210" s="12" t="n">
        <v>45949</v>
      </c>
      <c r="N210" s="12" t="n">
        <v>44503</v>
      </c>
      <c r="O210" s="13" t="inlineStr"/>
      <c r="P210" s="13" t="inlineStr"/>
      <c r="Q210" s="12" t="n"/>
    </row>
    <row r="211" ht="66" customHeight="1">
      <c r="A211" s="15" t="n">
        <v>1320</v>
      </c>
      <c r="B211" s="16" t="n">
        <v>44515</v>
      </c>
      <c r="C211" s="15" t="inlineStr">
        <is>
          <t>Genetics Scientist</t>
        </is>
      </c>
      <c r="D211" s="15" t="n"/>
      <c r="E211" s="15" t="inlineStr">
        <is>
          <t>FP - Full Time Waged</t>
        </is>
      </c>
      <c r="F211" s="15" t="inlineStr">
        <is>
          <t>Melbourne IVF Medical Scientists Enterprise Agreement</t>
        </is>
      </c>
      <c r="G211" s="15" t="inlineStr">
        <is>
          <t>Victoria</t>
        </is>
      </c>
      <c r="H211" s="17" t="inlineStr">
        <is>
          <t>76.00</t>
        </is>
      </c>
      <c r="I211" s="15" t="inlineStr">
        <is>
          <t>MELBOURNE IVF</t>
        </is>
      </c>
      <c r="J211" s="15" t="n"/>
      <c r="K211" s="18" t="n">
        <v>258.77</v>
      </c>
      <c r="L211" s="17" t="inlineStr">
        <is>
          <t>258.77</t>
        </is>
      </c>
      <c r="M211" s="16" t="n">
        <v>45949</v>
      </c>
      <c r="N211" s="16" t="n">
        <v>44515</v>
      </c>
      <c r="O211" s="17" t="inlineStr"/>
      <c r="P211" s="17" t="inlineStr"/>
      <c r="Q211" s="16" t="n"/>
    </row>
    <row r="212" ht="66" customHeight="1">
      <c r="A212" s="11" t="n">
        <v>1326</v>
      </c>
      <c r="B212" s="12" t="n">
        <v>44522</v>
      </c>
      <c r="C212" s="11" t="inlineStr">
        <is>
          <t>Receptionist</t>
        </is>
      </c>
      <c r="D212" s="11" t="n"/>
      <c r="E212" s="11" t="inlineStr">
        <is>
          <t>FP - Full Time Waged</t>
        </is>
      </c>
      <c r="F212" s="11" t="inlineStr">
        <is>
          <t>Melbourne IVF Support Services Enterprise Agreement</t>
        </is>
      </c>
      <c r="G212" s="11" t="inlineStr">
        <is>
          <t>Victoria</t>
        </is>
      </c>
      <c r="H212" s="13" t="inlineStr">
        <is>
          <t>76.00</t>
        </is>
      </c>
      <c r="I212" s="11" t="inlineStr">
        <is>
          <t>MELBOURNE IVF</t>
        </is>
      </c>
      <c r="J212" s="11" t="n"/>
      <c r="K212" s="14" t="n">
        <v>257.51</v>
      </c>
      <c r="L212" s="13" t="inlineStr">
        <is>
          <t>257.51</t>
        </is>
      </c>
      <c r="M212" s="12" t="n">
        <v>45949</v>
      </c>
      <c r="N212" s="12" t="n">
        <v>44522</v>
      </c>
      <c r="O212" s="13" t="inlineStr"/>
      <c r="P212" s="13" t="inlineStr"/>
      <c r="Q212" s="12" t="n"/>
    </row>
    <row r="213" ht="52.8" customHeight="1">
      <c r="A213" s="15" t="n">
        <v>140</v>
      </c>
      <c r="B213" s="16" t="n">
        <v>44540</v>
      </c>
      <c r="C213" s="15" t="inlineStr">
        <is>
          <t>Embryologist</t>
        </is>
      </c>
      <c r="D213" s="15" t="n"/>
      <c r="E213" s="15" t="inlineStr">
        <is>
          <t>FP - Full Time Waged</t>
        </is>
      </c>
      <c r="F213" s="15" t="inlineStr">
        <is>
          <t>TAS IVF Scientists Enterprise Agreement</t>
        </is>
      </c>
      <c r="G213" s="15" t="inlineStr">
        <is>
          <t>Tasmania</t>
        </is>
      </c>
      <c r="H213" s="17" t="inlineStr">
        <is>
          <t>75.00</t>
        </is>
      </c>
      <c r="I213" s="15" t="inlineStr">
        <is>
          <t>TAS IVF PTY LTD</t>
        </is>
      </c>
      <c r="J213" s="15" t="n"/>
      <c r="K213" s="18" t="n">
        <v>125.46</v>
      </c>
      <c r="L213" s="17" t="inlineStr">
        <is>
          <t>125.46</t>
        </is>
      </c>
      <c r="M213" s="16" t="n">
        <v>45949</v>
      </c>
      <c r="N213" s="16" t="n">
        <v>44540</v>
      </c>
      <c r="O213" s="17" t="inlineStr"/>
      <c r="P213" s="17" t="inlineStr"/>
      <c r="Q213" s="16" t="n"/>
    </row>
    <row r="214" ht="52.8" customHeight="1">
      <c r="A214" s="11" t="n">
        <v>143</v>
      </c>
      <c r="B214" s="12" t="n">
        <v>44572</v>
      </c>
      <c r="C214" s="11" t="inlineStr">
        <is>
          <t>Embryologist</t>
        </is>
      </c>
      <c r="D214" s="11" t="n"/>
      <c r="E214" s="11" t="inlineStr">
        <is>
          <t>PT - Part Time Waged</t>
        </is>
      </c>
      <c r="F214" s="11" t="inlineStr">
        <is>
          <t>TAS IVF Scientists Enterprise Agreement</t>
        </is>
      </c>
      <c r="G214" s="11" t="inlineStr">
        <is>
          <t>Tasmania</t>
        </is>
      </c>
      <c r="H214" s="13" t="inlineStr">
        <is>
          <t>60.00</t>
        </is>
      </c>
      <c r="I214" s="11" t="inlineStr">
        <is>
          <t>TAS IVF PTY LTD</t>
        </is>
      </c>
      <c r="J214" s="11" t="n"/>
      <c r="K214" s="14" t="n">
        <v>97.28</v>
      </c>
      <c r="L214" s="13" t="inlineStr">
        <is>
          <t>97.28</t>
        </is>
      </c>
      <c r="M214" s="12" t="n">
        <v>45949</v>
      </c>
      <c r="N214" s="12" t="n">
        <v>44572</v>
      </c>
      <c r="O214" s="13" t="inlineStr"/>
      <c r="P214" s="13" t="inlineStr"/>
      <c r="Q214" s="12" t="n"/>
    </row>
    <row r="215" ht="66" customHeight="1">
      <c r="A215" s="15" t="n">
        <v>1331</v>
      </c>
      <c r="B215" s="16" t="n">
        <v>44552</v>
      </c>
      <c r="C215" s="15" t="inlineStr">
        <is>
          <t>Medical Records Administrator</t>
        </is>
      </c>
      <c r="D215" s="15" t="n"/>
      <c r="E215" s="15" t="inlineStr">
        <is>
          <t>FP - Full Time Waged</t>
        </is>
      </c>
      <c r="F215" s="15" t="inlineStr">
        <is>
          <t>Melbourne IVF Support Services Enterprise Agreement</t>
        </is>
      </c>
      <c r="G215" s="15" t="inlineStr">
        <is>
          <t>Victoria</t>
        </is>
      </c>
      <c r="H215" s="17" t="inlineStr">
        <is>
          <t>76.00</t>
        </is>
      </c>
      <c r="I215" s="15" t="inlineStr">
        <is>
          <t>MELBOURNE IVF</t>
        </is>
      </c>
      <c r="J215" s="15" t="n"/>
      <c r="K215" s="18" t="n">
        <v>252.1</v>
      </c>
      <c r="L215" s="17" t="inlineStr">
        <is>
          <t>252.10</t>
        </is>
      </c>
      <c r="M215" s="16" t="n">
        <v>45949</v>
      </c>
      <c r="N215" s="16" t="n">
        <v>44552</v>
      </c>
      <c r="O215" s="17" t="inlineStr"/>
      <c r="P215" s="17" t="inlineStr"/>
      <c r="Q215" s="16" t="n"/>
    </row>
    <row r="216" ht="52.8" customHeight="1">
      <c r="A216" s="11" t="n">
        <v>1132</v>
      </c>
      <c r="B216" s="12" t="n">
        <v>44529</v>
      </c>
      <c r="C216" s="11" t="inlineStr">
        <is>
          <t>Registered Nurse</t>
        </is>
      </c>
      <c r="D216" s="11" t="n"/>
      <c r="E216" s="11" t="inlineStr">
        <is>
          <t>PT - Part Time Waged</t>
        </is>
      </c>
      <c r="F216" s="11" t="inlineStr">
        <is>
          <t>Melbourne IVF Nurses Enterprise Agreement</t>
        </is>
      </c>
      <c r="G216" s="11" t="inlineStr">
        <is>
          <t>Victoria</t>
        </is>
      </c>
      <c r="H216" s="13" t="inlineStr">
        <is>
          <t>45.60</t>
        </is>
      </c>
      <c r="I216" s="11" t="inlineStr">
        <is>
          <t>MELBOURNE IVF</t>
        </is>
      </c>
      <c r="J216" s="11" t="n"/>
      <c r="K216" s="14" t="n">
        <v>153.75</v>
      </c>
      <c r="L216" s="13" t="inlineStr">
        <is>
          <t>153.75</t>
        </is>
      </c>
      <c r="M216" s="12" t="n">
        <v>45949</v>
      </c>
      <c r="N216" s="12" t="n">
        <v>44529</v>
      </c>
      <c r="O216" s="13" t="inlineStr"/>
      <c r="P216" s="13" t="inlineStr"/>
      <c r="Q216" s="12" t="n"/>
    </row>
    <row r="217" ht="52.8" customHeight="1">
      <c r="A217" s="15" t="n">
        <v>1332</v>
      </c>
      <c r="B217" s="16" t="n">
        <v>44599</v>
      </c>
      <c r="C217" s="15" t="inlineStr">
        <is>
          <t>Clinical Nurse Specialist</t>
        </is>
      </c>
      <c r="D217" s="15" t="n"/>
      <c r="E217" s="15" t="inlineStr">
        <is>
          <t>FP - Full Time Waged</t>
        </is>
      </c>
      <c r="F217" s="15" t="inlineStr">
        <is>
          <t>Melbourne IVF Nurses Enterprise Agreement</t>
        </is>
      </c>
      <c r="G217" s="15" t="inlineStr">
        <is>
          <t>Victoria</t>
        </is>
      </c>
      <c r="H217" s="17" t="inlineStr">
        <is>
          <t>76.00</t>
        </is>
      </c>
      <c r="I217" s="15" t="inlineStr">
        <is>
          <t>MELBOURNE IVF</t>
        </is>
      </c>
      <c r="J217" s="15" t="n"/>
      <c r="K217" s="18" t="n">
        <v>243.62</v>
      </c>
      <c r="L217" s="17" t="inlineStr">
        <is>
          <t>243.62</t>
        </is>
      </c>
      <c r="M217" s="16" t="n">
        <v>45949</v>
      </c>
      <c r="N217" s="16" t="n">
        <v>44599</v>
      </c>
      <c r="O217" s="17" t="inlineStr"/>
      <c r="P217" s="17" t="inlineStr"/>
      <c r="Q217" s="16" t="n"/>
    </row>
    <row r="218" ht="66" customHeight="1">
      <c r="A218" s="11" t="n">
        <v>1334</v>
      </c>
      <c r="B218" s="12" t="n">
        <v>44599</v>
      </c>
      <c r="C218" s="11" t="inlineStr">
        <is>
          <t>Revenue and Billing Team Leader</t>
        </is>
      </c>
      <c r="D218" s="11" t="n"/>
      <c r="E218" s="11" t="inlineStr">
        <is>
          <t>FP - Full Time Waged</t>
        </is>
      </c>
      <c r="F218" s="11" t="inlineStr">
        <is>
          <t>Melbourne IVF Support Services Enterprise Agreement</t>
        </is>
      </c>
      <c r="G218" s="11" t="inlineStr">
        <is>
          <t>Victoria</t>
        </is>
      </c>
      <c r="H218" s="13" t="inlineStr">
        <is>
          <t>76.00</t>
        </is>
      </c>
      <c r="I218" s="11" t="inlineStr">
        <is>
          <t>MELBOURNE IVF</t>
        </is>
      </c>
      <c r="J218" s="11" t="n"/>
      <c r="K218" s="14" t="n">
        <v>236.33</v>
      </c>
      <c r="L218" s="13" t="inlineStr">
        <is>
          <t>236.33</t>
        </is>
      </c>
      <c r="M218" s="12" t="n">
        <v>45949</v>
      </c>
      <c r="N218" s="12" t="n">
        <v>44599</v>
      </c>
      <c r="O218" s="13" t="inlineStr"/>
      <c r="P218" s="13" t="inlineStr"/>
      <c r="Q218" s="12" t="n"/>
    </row>
    <row r="219" ht="52.8" customHeight="1">
      <c r="A219" s="15" t="n">
        <v>1338</v>
      </c>
      <c r="B219" s="16" t="n">
        <v>44599</v>
      </c>
      <c r="C219" s="15" t="inlineStr">
        <is>
          <t>Registered Nurse</t>
        </is>
      </c>
      <c r="D219" s="15" t="n"/>
      <c r="E219" s="15" t="inlineStr">
        <is>
          <t>PT - Part Time Waged</t>
        </is>
      </c>
      <c r="F219" s="15" t="inlineStr">
        <is>
          <t>Melbourne IVF Nurses Enterprise Agreement</t>
        </is>
      </c>
      <c r="G219" s="15" t="inlineStr">
        <is>
          <t>Victoria</t>
        </is>
      </c>
      <c r="H219" s="17" t="inlineStr">
        <is>
          <t>53.20</t>
        </is>
      </c>
      <c r="I219" s="15" t="inlineStr">
        <is>
          <t>MELBOURNE IVF</t>
        </is>
      </c>
      <c r="J219" s="15" t="n"/>
      <c r="K219" s="18" t="n">
        <v>159.74</v>
      </c>
      <c r="L219" s="17" t="inlineStr">
        <is>
          <t>159.74</t>
        </is>
      </c>
      <c r="M219" s="16" t="n">
        <v>45949</v>
      </c>
      <c r="N219" s="16" t="n">
        <v>44599</v>
      </c>
      <c r="O219" s="17" t="inlineStr"/>
      <c r="P219" s="17" t="inlineStr"/>
      <c r="Q219" s="16" t="n"/>
    </row>
    <row r="220" ht="66" customHeight="1">
      <c r="A220" s="11" t="n">
        <v>1445</v>
      </c>
      <c r="B220" s="12" t="n">
        <v>44613</v>
      </c>
      <c r="C220" s="11" t="inlineStr">
        <is>
          <t>Administration Team Leader</t>
        </is>
      </c>
      <c r="D220" s="11" t="n"/>
      <c r="E220" s="11" t="inlineStr">
        <is>
          <t>FP - Full Time Waged</t>
        </is>
      </c>
      <c r="F220" s="11" t="inlineStr">
        <is>
          <t>Melbourne IVF Support Services Enterprise Agreement</t>
        </is>
      </c>
      <c r="G220" s="11" t="inlineStr">
        <is>
          <t>Victoria</t>
        </is>
      </c>
      <c r="H220" s="13" t="inlineStr">
        <is>
          <t>76.00</t>
        </is>
      </c>
      <c r="I220" s="11" t="inlineStr">
        <is>
          <t>MELBOURNE IVF</t>
        </is>
      </c>
      <c r="J220" s="11" t="n"/>
      <c r="K220" s="14" t="n">
        <v>241.09</v>
      </c>
      <c r="L220" s="13" t="inlineStr">
        <is>
          <t>241.09</t>
        </is>
      </c>
      <c r="M220" s="12" t="n">
        <v>45949</v>
      </c>
      <c r="N220" s="12" t="n">
        <v>44613</v>
      </c>
      <c r="O220" s="13" t="inlineStr"/>
      <c r="P220" s="13" t="inlineStr"/>
      <c r="Q220" s="12" t="n"/>
    </row>
    <row r="221" ht="66" customHeight="1">
      <c r="A221" s="15" t="n">
        <v>1449</v>
      </c>
      <c r="B221" s="16" t="n">
        <v>44641</v>
      </c>
      <c r="C221" s="15" t="inlineStr">
        <is>
          <t>Genetic Counsellor</t>
        </is>
      </c>
      <c r="D221" s="15" t="n"/>
      <c r="E221" s="15" t="inlineStr">
        <is>
          <t>PT - Part Time Waged</t>
        </is>
      </c>
      <c r="F221" s="15" t="inlineStr">
        <is>
          <t>Melbourne IVF Counselling Enterprise Agreement</t>
        </is>
      </c>
      <c r="G221" s="15" t="inlineStr">
        <is>
          <t>Victoria</t>
        </is>
      </c>
      <c r="H221" s="17" t="inlineStr">
        <is>
          <t>45.60</t>
        </is>
      </c>
      <c r="I221" s="15" t="inlineStr">
        <is>
          <t>MELBOURNE IVF</t>
        </is>
      </c>
      <c r="J221" s="15" t="n"/>
      <c r="K221" s="18" t="n">
        <v>141.62</v>
      </c>
      <c r="L221" s="17" t="inlineStr">
        <is>
          <t>141.62</t>
        </is>
      </c>
      <c r="M221" s="16" t="n">
        <v>45949</v>
      </c>
      <c r="N221" s="16" t="n">
        <v>44641</v>
      </c>
      <c r="O221" s="17" t="inlineStr"/>
      <c r="P221" s="17" t="inlineStr"/>
      <c r="Q221" s="16" t="n"/>
    </row>
    <row r="222" ht="66" customHeight="1">
      <c r="A222" s="11" t="n">
        <v>147</v>
      </c>
      <c r="B222" s="12" t="n">
        <v>44634</v>
      </c>
      <c r="C222" s="11" t="inlineStr">
        <is>
          <t>Patient Liaison Administrator</t>
        </is>
      </c>
      <c r="D222" s="11" t="n"/>
      <c r="E222" s="11" t="inlineStr">
        <is>
          <t>FP - Full Time Waged</t>
        </is>
      </c>
      <c r="F222" s="11" t="inlineStr">
        <is>
          <t>TAS IVF Support Services Enterprise Agreement</t>
        </is>
      </c>
      <c r="G222" s="11" t="inlineStr">
        <is>
          <t>Tasmania</t>
        </is>
      </c>
      <c r="H222" s="13" t="inlineStr">
        <is>
          <t>75.00</t>
        </is>
      </c>
      <c r="I222" s="11" t="inlineStr">
        <is>
          <t>TAS IVF PTY LTD</t>
        </is>
      </c>
      <c r="J222" s="11" t="n"/>
      <c r="K222" s="14" t="n">
        <v>98.68000000000001</v>
      </c>
      <c r="L222" s="13" t="inlineStr">
        <is>
          <t>98.68</t>
        </is>
      </c>
      <c r="M222" s="12" t="n">
        <v>45949</v>
      </c>
      <c r="N222" s="12" t="n">
        <v>44634</v>
      </c>
      <c r="O222" s="13" t="inlineStr"/>
      <c r="P222" s="13" t="inlineStr"/>
      <c r="Q222" s="12" t="n"/>
    </row>
    <row r="223" ht="52.8" customHeight="1">
      <c r="A223" s="15" t="n">
        <v>148</v>
      </c>
      <c r="B223" s="16" t="n">
        <v>44648</v>
      </c>
      <c r="C223" s="15" t="inlineStr">
        <is>
          <t>Registered Nurse</t>
        </is>
      </c>
      <c r="D223" s="15" t="n"/>
      <c r="E223" s="15" t="inlineStr">
        <is>
          <t>PT - Part Time Waged</t>
        </is>
      </c>
      <c r="F223" s="15" t="inlineStr">
        <is>
          <t>TAS IVF Nurses Enterprise Agreement</t>
        </is>
      </c>
      <c r="G223" s="15" t="inlineStr">
        <is>
          <t>Tasmania</t>
        </is>
      </c>
      <c r="H223" s="17" t="inlineStr">
        <is>
          <t>32.00</t>
        </is>
      </c>
      <c r="I223" s="15" t="inlineStr">
        <is>
          <t>TAS IVF PTY LTD</t>
        </is>
      </c>
      <c r="J223" s="15" t="n"/>
      <c r="K223" s="18" t="n">
        <v>101.62</v>
      </c>
      <c r="L223" s="17" t="inlineStr">
        <is>
          <t>101.62</t>
        </is>
      </c>
      <c r="M223" s="16" t="n">
        <v>45949</v>
      </c>
      <c r="N223" s="16" t="n">
        <v>44648</v>
      </c>
      <c r="O223" s="17" t="inlineStr"/>
      <c r="P223" s="17" t="inlineStr"/>
      <c r="Q223" s="16" t="n"/>
    </row>
    <row r="224" ht="52.8" customHeight="1">
      <c r="A224" s="11" t="n">
        <v>1456</v>
      </c>
      <c r="B224" s="12" t="n">
        <v>44650</v>
      </c>
      <c r="C224" s="11" t="inlineStr">
        <is>
          <t>Registered Nurse</t>
        </is>
      </c>
      <c r="D224" s="11" t="n"/>
      <c r="E224" s="11" t="inlineStr">
        <is>
          <t>PT - Part Time Waged</t>
        </is>
      </c>
      <c r="F224" s="11" t="inlineStr">
        <is>
          <t>Melbourne IVF Nurses Enterprise Agreement</t>
        </is>
      </c>
      <c r="G224" s="11" t="inlineStr">
        <is>
          <t>Victoria</t>
        </is>
      </c>
      <c r="H224" s="13" t="inlineStr">
        <is>
          <t>53.20</t>
        </is>
      </c>
      <c r="I224" s="11" t="inlineStr">
        <is>
          <t>MELBOURNE IVF</t>
        </is>
      </c>
      <c r="J224" s="11" t="n"/>
      <c r="K224" s="14" t="n">
        <v>189.95</v>
      </c>
      <c r="L224" s="13" t="inlineStr">
        <is>
          <t>189.95</t>
        </is>
      </c>
      <c r="M224" s="12" t="n">
        <v>45949</v>
      </c>
      <c r="N224" s="12" t="n">
        <v>44650</v>
      </c>
      <c r="O224" s="13" t="inlineStr"/>
      <c r="P224" s="13" t="inlineStr"/>
      <c r="Q224" s="12" t="n"/>
    </row>
    <row r="225" ht="66" customHeight="1">
      <c r="A225" s="15" t="n">
        <v>1457</v>
      </c>
      <c r="B225" s="16" t="n">
        <v>44655</v>
      </c>
      <c r="C225" s="15" t="inlineStr">
        <is>
          <t>New Patient Care Consultant</t>
        </is>
      </c>
      <c r="D225" s="15" t="n"/>
      <c r="E225" s="15" t="inlineStr">
        <is>
          <t>PT - Part Time Waged</t>
        </is>
      </c>
      <c r="F225" s="15" t="inlineStr">
        <is>
          <t>Melbourne IVF Support Services Enterprise Agreement</t>
        </is>
      </c>
      <c r="G225" s="15" t="inlineStr">
        <is>
          <t>Victoria</t>
        </is>
      </c>
      <c r="H225" s="17" t="inlineStr">
        <is>
          <t>30.40</t>
        </is>
      </c>
      <c r="I225" s="15" t="inlineStr">
        <is>
          <t>MELBOURNE IVF</t>
        </is>
      </c>
      <c r="J225" s="15" t="n"/>
      <c r="K225" s="18" t="n">
        <v>77.02</v>
      </c>
      <c r="L225" s="17" t="inlineStr">
        <is>
          <t>77.02</t>
        </is>
      </c>
      <c r="M225" s="16" t="n">
        <v>45949</v>
      </c>
      <c r="N225" s="16" t="n">
        <v>44655</v>
      </c>
      <c r="O225" s="17" t="inlineStr"/>
      <c r="P225" s="17" t="inlineStr"/>
      <c r="Q225" s="16" t="n"/>
    </row>
    <row r="226" ht="52.8" customHeight="1">
      <c r="A226" s="11" t="n">
        <v>1458</v>
      </c>
      <c r="B226" s="12" t="n">
        <v>44650</v>
      </c>
      <c r="C226" s="11" t="inlineStr">
        <is>
          <t>Registered Nurse</t>
        </is>
      </c>
      <c r="D226" s="11" t="n"/>
      <c r="E226" s="11" t="inlineStr">
        <is>
          <t>PT - Part Time Waged</t>
        </is>
      </c>
      <c r="F226" s="11" t="inlineStr">
        <is>
          <t>Melbourne IVF Nurses Enterprise Agreement</t>
        </is>
      </c>
      <c r="G226" s="11" t="inlineStr">
        <is>
          <t>Victoria</t>
        </is>
      </c>
      <c r="H226" s="13" t="inlineStr">
        <is>
          <t>60.80</t>
        </is>
      </c>
      <c r="I226" s="11" t="inlineStr">
        <is>
          <t>MELBOURNE IVF</t>
        </is>
      </c>
      <c r="J226" s="11" t="n"/>
      <c r="K226" s="14" t="n">
        <v>176.02</v>
      </c>
      <c r="L226" s="13" t="inlineStr">
        <is>
          <t>176.02</t>
        </is>
      </c>
      <c r="M226" s="12" t="n">
        <v>45949</v>
      </c>
      <c r="N226" s="12" t="n">
        <v>44650</v>
      </c>
      <c r="O226" s="13" t="inlineStr"/>
      <c r="P226" s="13" t="inlineStr"/>
      <c r="Q226" s="12" t="n"/>
    </row>
    <row r="227" ht="52.8" customHeight="1">
      <c r="A227" s="15" t="n">
        <v>1464</v>
      </c>
      <c r="B227" s="16" t="n">
        <v>44683</v>
      </c>
      <c r="C227" s="15" t="inlineStr">
        <is>
          <t>Registered Nurse</t>
        </is>
      </c>
      <c r="D227" s="15" t="n"/>
      <c r="E227" s="15" t="inlineStr">
        <is>
          <t>PT - Part Time Waged</t>
        </is>
      </c>
      <c r="F227" s="15" t="inlineStr">
        <is>
          <t>Melbourne IVF Nurses Enterprise Agreement</t>
        </is>
      </c>
      <c r="G227" s="15" t="inlineStr">
        <is>
          <t>Victoria</t>
        </is>
      </c>
      <c r="H227" s="17" t="inlineStr">
        <is>
          <t>60.80</t>
        </is>
      </c>
      <c r="I227" s="15" t="inlineStr">
        <is>
          <t>MELBOURNE IVF</t>
        </is>
      </c>
      <c r="J227" s="15" t="n"/>
      <c r="K227" s="18" t="n">
        <v>167.39</v>
      </c>
      <c r="L227" s="17" t="inlineStr">
        <is>
          <t>167.39</t>
        </is>
      </c>
      <c r="M227" s="16" t="n">
        <v>45949</v>
      </c>
      <c r="N227" s="16" t="n">
        <v>44683</v>
      </c>
      <c r="O227" s="17" t="inlineStr"/>
      <c r="P227" s="17" t="inlineStr"/>
      <c r="Q227" s="16" t="n"/>
    </row>
    <row r="228" ht="66" customHeight="1">
      <c r="A228" s="11" t="n">
        <v>1468</v>
      </c>
      <c r="B228" s="12" t="n">
        <v>44690</v>
      </c>
      <c r="C228" s="11" t="inlineStr">
        <is>
          <t>Embryologist</t>
        </is>
      </c>
      <c r="D228" s="11" t="n"/>
      <c r="E228" s="11" t="inlineStr">
        <is>
          <t>FP - Full Time Waged</t>
        </is>
      </c>
      <c r="F228" s="11" t="inlineStr">
        <is>
          <t>Melbourne IVF Medical Scientists Enterprise Agreement</t>
        </is>
      </c>
      <c r="G228" s="11" t="inlineStr">
        <is>
          <t>Victoria</t>
        </is>
      </c>
      <c r="H228" s="13" t="inlineStr">
        <is>
          <t>76.00</t>
        </is>
      </c>
      <c r="I228" s="11" t="inlineStr">
        <is>
          <t>MELBOURNE IVF</t>
        </is>
      </c>
      <c r="J228" s="11" t="n"/>
      <c r="K228" s="14" t="n">
        <v>227.19</v>
      </c>
      <c r="L228" s="13" t="inlineStr">
        <is>
          <t>227.19</t>
        </is>
      </c>
      <c r="M228" s="12" t="n">
        <v>45949</v>
      </c>
      <c r="N228" s="12" t="n">
        <v>44690</v>
      </c>
      <c r="O228" s="13" t="inlineStr"/>
      <c r="P228" s="13" t="inlineStr"/>
      <c r="Q228" s="12" t="n"/>
    </row>
    <row r="229" ht="66" customHeight="1">
      <c r="A229" s="15" t="n">
        <v>1469</v>
      </c>
      <c r="B229" s="16" t="n">
        <v>44690</v>
      </c>
      <c r="C229" s="15" t="inlineStr">
        <is>
          <t>Embryologist</t>
        </is>
      </c>
      <c r="D229" s="15" t="n"/>
      <c r="E229" s="15" t="inlineStr">
        <is>
          <t>FP - Full Time Waged</t>
        </is>
      </c>
      <c r="F229" s="15" t="inlineStr">
        <is>
          <t>Melbourne IVF Medical Scientists Enterprise Agreement</t>
        </is>
      </c>
      <c r="G229" s="15" t="inlineStr">
        <is>
          <t>Victoria</t>
        </is>
      </c>
      <c r="H229" s="17" t="inlineStr">
        <is>
          <t>76.00</t>
        </is>
      </c>
      <c r="I229" s="15" t="inlineStr">
        <is>
          <t>MELBOURNE IVF</t>
        </is>
      </c>
      <c r="J229" s="15" t="n"/>
      <c r="K229" s="18" t="n">
        <v>227.19</v>
      </c>
      <c r="L229" s="17" t="inlineStr">
        <is>
          <t>227.19</t>
        </is>
      </c>
      <c r="M229" s="16" t="n">
        <v>45949</v>
      </c>
      <c r="N229" s="16" t="n">
        <v>44690</v>
      </c>
      <c r="O229" s="17" t="inlineStr"/>
      <c r="P229" s="17" t="inlineStr"/>
      <c r="Q229" s="16" t="n"/>
    </row>
    <row r="230" ht="79.2" customHeight="1">
      <c r="A230" s="11" t="n">
        <v>1472</v>
      </c>
      <c r="B230" s="12" t="n">
        <v>44697</v>
      </c>
      <c r="C230" s="11" t="inlineStr">
        <is>
          <t>Courier</t>
        </is>
      </c>
      <c r="D230" s="11" t="n"/>
      <c r="E230" s="11" t="inlineStr">
        <is>
          <t>PT - Part Time Waged</t>
        </is>
      </c>
      <c r="F230" s="11" t="inlineStr">
        <is>
          <t>Health Professionals and Support Services Award</t>
        </is>
      </c>
      <c r="G230" s="11" t="inlineStr">
        <is>
          <t>Victoria</t>
        </is>
      </c>
      <c r="H230" s="13" t="inlineStr">
        <is>
          <t>60.00</t>
        </is>
      </c>
      <c r="I230" s="11" t="inlineStr">
        <is>
          <t>MELBOURNE IVF</t>
        </is>
      </c>
      <c r="J230" s="11" t="n"/>
      <c r="K230" s="14" t="n">
        <v>89.19</v>
      </c>
      <c r="L230" s="13" t="inlineStr">
        <is>
          <t>89.19</t>
        </is>
      </c>
      <c r="M230" s="12" t="n">
        <v>45949</v>
      </c>
      <c r="N230" s="12" t="n">
        <v>44697</v>
      </c>
      <c r="O230" s="13" t="inlineStr"/>
      <c r="P230" s="13" t="inlineStr"/>
      <c r="Q230" s="12" t="n"/>
    </row>
    <row r="231" ht="66" customHeight="1">
      <c r="A231" s="15" t="inlineStr">
        <is>
          <t>AU22502</t>
        </is>
      </c>
      <c r="B231" s="16" t="n">
        <v>44732</v>
      </c>
      <c r="C231" s="15" t="inlineStr">
        <is>
          <t>Medical Secretary</t>
        </is>
      </c>
      <c r="D231" s="15" t="n"/>
      <c r="E231" s="15" t="inlineStr">
        <is>
          <t>FP - Full Time Waged</t>
        </is>
      </c>
      <c r="F231" s="15" t="inlineStr">
        <is>
          <t>Melbourne IVF Support Services Enterprise Agreement</t>
        </is>
      </c>
      <c r="G231" s="15" t="inlineStr">
        <is>
          <t>Victoria</t>
        </is>
      </c>
      <c r="H231" s="17" t="inlineStr">
        <is>
          <t>76.00</t>
        </is>
      </c>
      <c r="I231" s="15" t="inlineStr">
        <is>
          <t>MELBOURNE IVF</t>
        </is>
      </c>
      <c r="J231" s="15" t="n"/>
      <c r="K231" s="18" t="n">
        <v>219.62</v>
      </c>
      <c r="L231" s="17" t="inlineStr">
        <is>
          <t>219.62</t>
        </is>
      </c>
      <c r="M231" s="16" t="n">
        <v>45949</v>
      </c>
      <c r="N231" s="16" t="n">
        <v>44732</v>
      </c>
      <c r="O231" s="17" t="inlineStr"/>
      <c r="P231" s="17" t="inlineStr"/>
      <c r="Q231" s="16" t="n"/>
    </row>
    <row r="232" ht="66" customHeight="1">
      <c r="A232" s="11" t="inlineStr">
        <is>
          <t>AU22505</t>
        </is>
      </c>
      <c r="B232" s="12" t="n">
        <v>44781</v>
      </c>
      <c r="C232" s="11" t="inlineStr">
        <is>
          <t>Embryology Team Leader</t>
        </is>
      </c>
      <c r="D232" s="11" t="n"/>
      <c r="E232" s="11" t="inlineStr">
        <is>
          <t>FP - Full Time Waged</t>
        </is>
      </c>
      <c r="F232" s="11" t="inlineStr">
        <is>
          <t>Melbourne IVF Medical Scientists Enterprise Agreement</t>
        </is>
      </c>
      <c r="G232" s="11" t="inlineStr">
        <is>
          <t>Victoria</t>
        </is>
      </c>
      <c r="H232" s="13" t="inlineStr">
        <is>
          <t>76.00</t>
        </is>
      </c>
      <c r="I232" s="11" t="inlineStr">
        <is>
          <t>MELBOURNE IVF</t>
        </is>
      </c>
      <c r="J232" s="11" t="n"/>
      <c r="K232" s="14" t="n">
        <v>210.77</v>
      </c>
      <c r="L232" s="13" t="inlineStr">
        <is>
          <t>210.77</t>
        </is>
      </c>
      <c r="M232" s="12" t="n">
        <v>45949</v>
      </c>
      <c r="N232" s="12" t="n">
        <v>44781</v>
      </c>
      <c r="O232" s="13" t="inlineStr"/>
      <c r="P232" s="13" t="inlineStr"/>
      <c r="Q232" s="12" t="n"/>
    </row>
    <row r="233" ht="52.8" customHeight="1">
      <c r="A233" s="15" t="inlineStr">
        <is>
          <t>AU22518</t>
        </is>
      </c>
      <c r="B233" s="16" t="n">
        <v>44769</v>
      </c>
      <c r="C233" s="15" t="inlineStr">
        <is>
          <t>Registered Nurse</t>
        </is>
      </c>
      <c r="D233" s="15" t="n"/>
      <c r="E233" s="15" t="inlineStr">
        <is>
          <t>FP - Full Time Waged</t>
        </is>
      </c>
      <c r="F233" s="15" t="inlineStr">
        <is>
          <t>Melbourne IVF Nurses Enterprise Agreement</t>
        </is>
      </c>
      <c r="G233" s="15" t="inlineStr">
        <is>
          <t>Victoria</t>
        </is>
      </c>
      <c r="H233" s="17" t="inlineStr">
        <is>
          <t>76.00</t>
        </is>
      </c>
      <c r="I233" s="15" t="inlineStr">
        <is>
          <t>MELBOURNE IVF</t>
        </is>
      </c>
      <c r="J233" s="15" t="n"/>
      <c r="K233" s="18" t="n">
        <v>197.19</v>
      </c>
      <c r="L233" s="17" t="inlineStr">
        <is>
          <t>197.19</t>
        </is>
      </c>
      <c r="M233" s="16" t="n">
        <v>45949</v>
      </c>
      <c r="N233" s="16" t="n">
        <v>44769</v>
      </c>
      <c r="O233" s="17" t="inlineStr"/>
      <c r="P233" s="17" t="inlineStr"/>
      <c r="Q233" s="16" t="n"/>
    </row>
    <row r="234" ht="52.8" customHeight="1">
      <c r="A234" s="11" t="inlineStr">
        <is>
          <t>AU22521</t>
        </is>
      </c>
      <c r="B234" s="12" t="n">
        <v>44767</v>
      </c>
      <c r="C234" s="11" t="inlineStr">
        <is>
          <t>Clinical Nurse Specialist</t>
        </is>
      </c>
      <c r="D234" s="11" t="n"/>
      <c r="E234" s="11" t="inlineStr">
        <is>
          <t>PT - Part Time Waged</t>
        </is>
      </c>
      <c r="F234" s="11" t="inlineStr">
        <is>
          <t>Melbourne IVF Nurses Enterprise Agreement</t>
        </is>
      </c>
      <c r="G234" s="11" t="inlineStr">
        <is>
          <t>Victoria</t>
        </is>
      </c>
      <c r="H234" s="13" t="inlineStr">
        <is>
          <t>72.20</t>
        </is>
      </c>
      <c r="I234" s="11" t="inlineStr">
        <is>
          <t>MELBOURNE IVF</t>
        </is>
      </c>
      <c r="J234" s="11" t="n"/>
      <c r="K234" s="14" t="n">
        <v>204.71</v>
      </c>
      <c r="L234" s="13" t="inlineStr">
        <is>
          <t>204.71</t>
        </is>
      </c>
      <c r="M234" s="12" t="n">
        <v>45949</v>
      </c>
      <c r="N234" s="12" t="n">
        <v>44767</v>
      </c>
      <c r="O234" s="13" t="inlineStr"/>
      <c r="P234" s="13" t="inlineStr"/>
      <c r="Q234" s="12" t="n"/>
    </row>
    <row r="235" ht="66" customHeight="1">
      <c r="A235" s="15" t="inlineStr">
        <is>
          <t>AU22546</t>
        </is>
      </c>
      <c r="B235" s="16" t="n">
        <v>44809</v>
      </c>
      <c r="C235" s="15" t="inlineStr">
        <is>
          <t>Embryologist</t>
        </is>
      </c>
      <c r="D235" s="15" t="n"/>
      <c r="E235" s="15" t="inlineStr">
        <is>
          <t>PT - Part Time Waged</t>
        </is>
      </c>
      <c r="F235" s="15" t="inlineStr">
        <is>
          <t>Melbourne IVF Medical Scientists Enterprise Agreement</t>
        </is>
      </c>
      <c r="G235" s="15" t="inlineStr">
        <is>
          <t>Victoria</t>
        </is>
      </c>
      <c r="H235" s="17" t="inlineStr">
        <is>
          <t>64.00</t>
        </is>
      </c>
      <c r="I235" s="15" t="inlineStr">
        <is>
          <t>MELBOURNE IVF</t>
        </is>
      </c>
      <c r="J235" s="15" t="n"/>
      <c r="K235" s="18" t="n">
        <v>173.24</v>
      </c>
      <c r="L235" s="17" t="inlineStr">
        <is>
          <t>173.24</t>
        </is>
      </c>
      <c r="M235" s="16" t="n">
        <v>45949</v>
      </c>
      <c r="N235" s="16" t="n">
        <v>44809</v>
      </c>
      <c r="O235" s="17" t="inlineStr"/>
      <c r="P235" s="17" t="inlineStr"/>
      <c r="Q235" s="16" t="n"/>
    </row>
    <row r="236" ht="66" customHeight="1">
      <c r="A236" s="11" t="inlineStr">
        <is>
          <t>AU22568</t>
        </is>
      </c>
      <c r="B236" s="12" t="n">
        <v>44809</v>
      </c>
      <c r="C236" s="11" t="inlineStr">
        <is>
          <t>Nursing Administrator</t>
        </is>
      </c>
      <c r="D236" s="11" t="n"/>
      <c r="E236" s="11" t="inlineStr">
        <is>
          <t>FP - Full Time Waged</t>
        </is>
      </c>
      <c r="F236" s="11" t="inlineStr">
        <is>
          <t>Melbourne IVF Support Services Enterprise Agreement</t>
        </is>
      </c>
      <c r="G236" s="11" t="inlineStr">
        <is>
          <t>Victoria</t>
        </is>
      </c>
      <c r="H236" s="13" t="inlineStr">
        <is>
          <t>76.00</t>
        </is>
      </c>
      <c r="I236" s="11" t="inlineStr">
        <is>
          <t>MELBOURNE IVF</t>
        </is>
      </c>
      <c r="J236" s="11" t="n"/>
      <c r="K236" s="14" t="n">
        <v>205.72</v>
      </c>
      <c r="L236" s="13" t="inlineStr">
        <is>
          <t>205.72</t>
        </is>
      </c>
      <c r="M236" s="12" t="n">
        <v>45949</v>
      </c>
      <c r="N236" s="12" t="n">
        <v>44809</v>
      </c>
      <c r="O236" s="13" t="inlineStr"/>
      <c r="P236" s="13" t="inlineStr"/>
      <c r="Q236" s="12" t="n"/>
    </row>
    <row r="237" ht="66" customHeight="1">
      <c r="A237" s="15" t="inlineStr">
        <is>
          <t>AU22586</t>
        </is>
      </c>
      <c r="B237" s="16" t="n">
        <v>44844</v>
      </c>
      <c r="C237" s="15" t="inlineStr">
        <is>
          <t>Accounts Receivable Administrator</t>
        </is>
      </c>
      <c r="D237" s="15" t="n"/>
      <c r="E237" s="15" t="inlineStr">
        <is>
          <t>FP - Full Time Waged</t>
        </is>
      </c>
      <c r="F237" s="15" t="inlineStr">
        <is>
          <t>Melbourne IVF Support Services Enterprise Agreement</t>
        </is>
      </c>
      <c r="G237" s="15" t="inlineStr">
        <is>
          <t>Victoria</t>
        </is>
      </c>
      <c r="H237" s="17" t="inlineStr">
        <is>
          <t>76.00</t>
        </is>
      </c>
      <c r="I237" s="15" t="inlineStr">
        <is>
          <t>MELBOURNE IVF</t>
        </is>
      </c>
      <c r="J237" s="15" t="n"/>
      <c r="K237" s="18" t="n">
        <v>199.4</v>
      </c>
      <c r="L237" s="17" t="inlineStr">
        <is>
          <t>199.40</t>
        </is>
      </c>
      <c r="M237" s="16" t="n">
        <v>45949</v>
      </c>
      <c r="N237" s="16" t="n">
        <v>44844</v>
      </c>
      <c r="O237" s="17" t="inlineStr"/>
      <c r="P237" s="17" t="inlineStr"/>
      <c r="Q237" s="16" t="n"/>
    </row>
    <row r="238" ht="52.8" customHeight="1">
      <c r="A238" s="11" t="inlineStr">
        <is>
          <t>AU22590</t>
        </is>
      </c>
      <c r="B238" s="12" t="n">
        <v>44837</v>
      </c>
      <c r="C238" s="11" t="inlineStr">
        <is>
          <t>Registered Nurse</t>
        </is>
      </c>
      <c r="D238" s="11" t="n"/>
      <c r="E238" s="11" t="inlineStr">
        <is>
          <t>FP - Full Time Waged</t>
        </is>
      </c>
      <c r="F238" s="11" t="inlineStr">
        <is>
          <t>Melbourne IVF Nurses Enterprise Agreement</t>
        </is>
      </c>
      <c r="G238" s="11" t="inlineStr">
        <is>
          <t>Victoria</t>
        </is>
      </c>
      <c r="H238" s="13" t="inlineStr">
        <is>
          <t>76.00</t>
        </is>
      </c>
      <c r="I238" s="11" t="inlineStr">
        <is>
          <t>MELBOURNE IVF</t>
        </is>
      </c>
      <c r="J238" s="11" t="n"/>
      <c r="K238" s="14" t="n">
        <v>200.67</v>
      </c>
      <c r="L238" s="13" t="inlineStr">
        <is>
          <t>200.67</t>
        </is>
      </c>
      <c r="M238" s="12" t="n">
        <v>45949</v>
      </c>
      <c r="N238" s="12" t="n">
        <v>44837</v>
      </c>
      <c r="O238" s="13" t="inlineStr"/>
      <c r="P238" s="13" t="inlineStr"/>
      <c r="Q238" s="12" t="n"/>
    </row>
    <row r="239" ht="66" customHeight="1">
      <c r="A239" s="15" t="inlineStr">
        <is>
          <t>AU22597</t>
        </is>
      </c>
      <c r="B239" s="16" t="n">
        <v>44837</v>
      </c>
      <c r="C239" s="15" t="inlineStr">
        <is>
          <t>Receptionist</t>
        </is>
      </c>
      <c r="D239" s="15" t="n"/>
      <c r="E239" s="15" t="inlineStr">
        <is>
          <t>FP - Full Time Waged</t>
        </is>
      </c>
      <c r="F239" s="15" t="inlineStr">
        <is>
          <t>Melbourne IVF Support Services Enterprise Agreement</t>
        </is>
      </c>
      <c r="G239" s="15" t="inlineStr">
        <is>
          <t>Victoria</t>
        </is>
      </c>
      <c r="H239" s="17" t="inlineStr">
        <is>
          <t>76.00</t>
        </is>
      </c>
      <c r="I239" s="15" t="inlineStr">
        <is>
          <t>MELBOURNE IVF</t>
        </is>
      </c>
      <c r="J239" s="15" t="n"/>
      <c r="K239" s="18" t="n">
        <v>200.67</v>
      </c>
      <c r="L239" s="17" t="inlineStr">
        <is>
          <t>200.67</t>
        </is>
      </c>
      <c r="M239" s="16" t="n">
        <v>45949</v>
      </c>
      <c r="N239" s="16" t="n">
        <v>44837</v>
      </c>
      <c r="O239" s="17" t="inlineStr"/>
      <c r="P239" s="17" t="inlineStr"/>
      <c r="Q239" s="16" t="n"/>
    </row>
    <row r="240" ht="52.8" customHeight="1">
      <c r="A240" s="11" t="inlineStr">
        <is>
          <t>AU22633</t>
        </is>
      </c>
      <c r="B240" s="12" t="n">
        <v>44879</v>
      </c>
      <c r="C240" s="11" t="inlineStr">
        <is>
          <t>Clinical Nurse Specialist</t>
        </is>
      </c>
      <c r="D240" s="11" t="n"/>
      <c r="E240" s="11" t="inlineStr">
        <is>
          <t>FP - Full Time Waged</t>
        </is>
      </c>
      <c r="F240" s="11" t="inlineStr">
        <is>
          <t>Melbourne IVF Nurses Enterprise Agreement</t>
        </is>
      </c>
      <c r="G240" s="11" t="inlineStr">
        <is>
          <t>Victoria</t>
        </is>
      </c>
      <c r="H240" s="13" t="inlineStr">
        <is>
          <t>76.00</t>
        </is>
      </c>
      <c r="I240" s="11" t="inlineStr">
        <is>
          <t>MELBOURNE IVF</t>
        </is>
      </c>
      <c r="J240" s="11" t="n"/>
      <c r="K240" s="14" t="n">
        <v>193.09</v>
      </c>
      <c r="L240" s="13" t="inlineStr">
        <is>
          <t>193.09</t>
        </is>
      </c>
      <c r="M240" s="12" t="n">
        <v>45949</v>
      </c>
      <c r="N240" s="12" t="n">
        <v>44879</v>
      </c>
      <c r="O240" s="13" t="inlineStr"/>
      <c r="P240" s="13" t="inlineStr"/>
      <c r="Q240" s="12" t="n"/>
    </row>
    <row r="241" ht="66" customHeight="1">
      <c r="A241" s="15" t="inlineStr">
        <is>
          <t>AU22635</t>
        </is>
      </c>
      <c r="B241" s="16" t="n">
        <v>44872</v>
      </c>
      <c r="C241" s="15" t="inlineStr">
        <is>
          <t>New Patient Care Consultant</t>
        </is>
      </c>
      <c r="D241" s="15" t="n"/>
      <c r="E241" s="15" t="inlineStr">
        <is>
          <t>PT - Part Time Waged</t>
        </is>
      </c>
      <c r="F241" s="15" t="inlineStr">
        <is>
          <t>Melbourne IVF Support Services Enterprise Agreement</t>
        </is>
      </c>
      <c r="G241" s="15" t="inlineStr">
        <is>
          <t>Victoria</t>
        </is>
      </c>
      <c r="H241" s="17" t="inlineStr">
        <is>
          <t>38.40</t>
        </is>
      </c>
      <c r="I241" s="15" t="inlineStr">
        <is>
          <t>MELBOURNE IVF</t>
        </is>
      </c>
      <c r="J241" s="15" t="n"/>
      <c r="K241" s="18" t="n">
        <v>73.34999999999999</v>
      </c>
      <c r="L241" s="17" t="inlineStr">
        <is>
          <t>73.35</t>
        </is>
      </c>
      <c r="M241" s="16" t="n">
        <v>45949</v>
      </c>
      <c r="N241" s="16" t="n">
        <v>44872</v>
      </c>
      <c r="O241" s="17" t="inlineStr"/>
      <c r="P241" s="17" t="inlineStr"/>
      <c r="Q241" s="16" t="n"/>
    </row>
    <row r="242" ht="52.8" customHeight="1">
      <c r="A242" s="11" t="inlineStr">
        <is>
          <t>AU22647</t>
        </is>
      </c>
      <c r="B242" s="12" t="n">
        <v>44879</v>
      </c>
      <c r="C242" s="11" t="inlineStr">
        <is>
          <t>Registered Nurse</t>
        </is>
      </c>
      <c r="D242" s="11" t="n"/>
      <c r="E242" s="11" t="inlineStr">
        <is>
          <t>PT - Part Time Waged</t>
        </is>
      </c>
      <c r="F242" s="11" t="inlineStr">
        <is>
          <t>Melbourne IVF Nurses Enterprise Agreement</t>
        </is>
      </c>
      <c r="G242" s="11" t="inlineStr">
        <is>
          <t>Victoria</t>
        </is>
      </c>
      <c r="H242" s="13" t="inlineStr">
        <is>
          <t>53.20</t>
        </is>
      </c>
      <c r="I242" s="11" t="inlineStr">
        <is>
          <t>MELBOURNE IVF</t>
        </is>
      </c>
      <c r="J242" s="11" t="n"/>
      <c r="K242" s="14" t="n">
        <v>117.62</v>
      </c>
      <c r="L242" s="13" t="inlineStr">
        <is>
          <t>117.62</t>
        </is>
      </c>
      <c r="M242" s="12" t="n">
        <v>45949</v>
      </c>
      <c r="N242" s="12" t="n">
        <v>44879</v>
      </c>
      <c r="O242" s="13" t="inlineStr"/>
      <c r="P242" s="13" t="inlineStr"/>
      <c r="Q242" s="12" t="n"/>
    </row>
    <row r="243" ht="52.8" customHeight="1">
      <c r="A243" s="15" t="inlineStr">
        <is>
          <t>AU22657</t>
        </is>
      </c>
      <c r="B243" s="16" t="n">
        <v>44879</v>
      </c>
      <c r="C243" s="15" t="inlineStr">
        <is>
          <t>Registered Nurse</t>
        </is>
      </c>
      <c r="D243" s="15" t="n"/>
      <c r="E243" s="15" t="inlineStr">
        <is>
          <t>FP - Full Time Waged</t>
        </is>
      </c>
      <c r="F243" s="15" t="inlineStr">
        <is>
          <t>Melbourne IVF Nurses Enterprise Agreement</t>
        </is>
      </c>
      <c r="G243" s="15" t="inlineStr">
        <is>
          <t>Victoria</t>
        </is>
      </c>
      <c r="H243" s="17" t="inlineStr">
        <is>
          <t>76.00</t>
        </is>
      </c>
      <c r="I243" s="15" t="inlineStr">
        <is>
          <t>MELBOURNE IVF</t>
        </is>
      </c>
      <c r="J243" s="15" t="n"/>
      <c r="K243" s="18" t="n">
        <v>177.21</v>
      </c>
      <c r="L243" s="17" t="inlineStr">
        <is>
          <t>177.21</t>
        </is>
      </c>
      <c r="M243" s="16" t="n">
        <v>45949</v>
      </c>
      <c r="N243" s="16" t="n">
        <v>44879</v>
      </c>
      <c r="O243" s="17" t="inlineStr"/>
      <c r="P243" s="17" t="inlineStr"/>
      <c r="Q243" s="16" t="n"/>
    </row>
    <row r="244" ht="66" customHeight="1">
      <c r="A244" s="11" t="inlineStr">
        <is>
          <t>AU22655</t>
        </is>
      </c>
      <c r="B244" s="12" t="n">
        <v>41550</v>
      </c>
      <c r="C244" s="11" t="inlineStr">
        <is>
          <t>Pathology Scientist</t>
        </is>
      </c>
      <c r="D244" s="11" t="n"/>
      <c r="E244" s="11" t="inlineStr">
        <is>
          <t>PT - Part Time Waged</t>
        </is>
      </c>
      <c r="F244" s="11" t="inlineStr">
        <is>
          <t>Melbourne IVF Medical Scientists Enterprise Agreement</t>
        </is>
      </c>
      <c r="G244" s="11" t="inlineStr">
        <is>
          <t>Victoria</t>
        </is>
      </c>
      <c r="H244" s="13" t="inlineStr">
        <is>
          <t>30.40</t>
        </is>
      </c>
      <c r="I244" s="11" t="inlineStr">
        <is>
          <t>MELBOURNE IVF</t>
        </is>
      </c>
      <c r="J244" s="11" t="n"/>
      <c r="K244" s="14" t="n">
        <v>317.53</v>
      </c>
      <c r="L244" s="13" t="inlineStr">
        <is>
          <t>317.53</t>
        </is>
      </c>
      <c r="M244" s="12" t="n">
        <v>45949</v>
      </c>
      <c r="N244" s="12" t="n">
        <v>41550</v>
      </c>
      <c r="O244" s="13" t="inlineStr"/>
      <c r="P244" s="13" t="inlineStr"/>
      <c r="Q244" s="12" t="n"/>
    </row>
    <row r="245" ht="52.8" customHeight="1">
      <c r="A245" s="15" t="inlineStr">
        <is>
          <t>AU22658</t>
        </is>
      </c>
      <c r="B245" s="16" t="n">
        <v>44879</v>
      </c>
      <c r="C245" s="15" t="inlineStr">
        <is>
          <t>Clinical Nurse Specialist</t>
        </is>
      </c>
      <c r="D245" s="15" t="n"/>
      <c r="E245" s="15" t="inlineStr">
        <is>
          <t>FP - Full Time Waged</t>
        </is>
      </c>
      <c r="F245" s="15" t="inlineStr">
        <is>
          <t>Melbourne IVF Nurses Enterprise Agreement</t>
        </is>
      </c>
      <c r="G245" s="15" t="inlineStr">
        <is>
          <t>Victoria</t>
        </is>
      </c>
      <c r="H245" s="17" t="inlineStr">
        <is>
          <t>76.00</t>
        </is>
      </c>
      <c r="I245" s="15" t="inlineStr">
        <is>
          <t>MELBOURNE IVF</t>
        </is>
      </c>
      <c r="J245" s="15" t="n"/>
      <c r="K245" s="18" t="n">
        <v>191.64</v>
      </c>
      <c r="L245" s="17" t="inlineStr">
        <is>
          <t>191.64</t>
        </is>
      </c>
      <c r="M245" s="16" t="n">
        <v>45949</v>
      </c>
      <c r="N245" s="16" t="n">
        <v>44887</v>
      </c>
      <c r="O245" s="17" t="inlineStr"/>
      <c r="P245" s="17" t="inlineStr"/>
      <c r="Q245" s="16" t="n"/>
    </row>
    <row r="246" ht="52.8" customHeight="1">
      <c r="A246" s="11" t="inlineStr">
        <is>
          <t>AU22588</t>
        </is>
      </c>
      <c r="B246" s="12" t="n">
        <v>44893</v>
      </c>
      <c r="C246" s="11" t="inlineStr">
        <is>
          <t>Donor Nurse</t>
        </is>
      </c>
      <c r="D246" s="11" t="n"/>
      <c r="E246" s="11" t="inlineStr">
        <is>
          <t>PT - Part Time Waged</t>
        </is>
      </c>
      <c r="F246" s="11" t="inlineStr">
        <is>
          <t>Melbourne IVF Nurses Enterprise Agreement</t>
        </is>
      </c>
      <c r="G246" s="11" t="inlineStr">
        <is>
          <t>Victoria</t>
        </is>
      </c>
      <c r="H246" s="13" t="inlineStr">
        <is>
          <t>45.60</t>
        </is>
      </c>
      <c r="I246" s="11" t="inlineStr">
        <is>
          <t>MELBOURNE IVF</t>
        </is>
      </c>
      <c r="J246" s="11" t="n"/>
      <c r="K246" s="14" t="n">
        <v>114.34</v>
      </c>
      <c r="L246" s="13" t="inlineStr">
        <is>
          <t>114.34</t>
        </is>
      </c>
      <c r="M246" s="12" t="n">
        <v>45949</v>
      </c>
      <c r="N246" s="12" t="n">
        <v>44893</v>
      </c>
      <c r="O246" s="13" t="inlineStr"/>
      <c r="P246" s="13" t="inlineStr"/>
      <c r="Q246" s="12" t="n"/>
    </row>
    <row r="247" ht="66" customHeight="1">
      <c r="A247" s="15" t="inlineStr">
        <is>
          <t>AU22708</t>
        </is>
      </c>
      <c r="B247" s="16" t="n">
        <v>44942</v>
      </c>
      <c r="C247" s="15" t="inlineStr">
        <is>
          <t>IVF Laboratory Team Leader</t>
        </is>
      </c>
      <c r="D247" s="15" t="n"/>
      <c r="E247" s="15" t="inlineStr">
        <is>
          <t>FP - Full Time Waged</t>
        </is>
      </c>
      <c r="F247" s="15" t="inlineStr">
        <is>
          <t>Melbourne IVF Medical Scientists Enterprise Agreement</t>
        </is>
      </c>
      <c r="G247" s="15" t="inlineStr">
        <is>
          <t>Victoria</t>
        </is>
      </c>
      <c r="H247" s="17" t="inlineStr">
        <is>
          <t>76.00</t>
        </is>
      </c>
      <c r="I247" s="15" t="inlineStr">
        <is>
          <t>MELBOURNE IVF</t>
        </is>
      </c>
      <c r="J247" s="15" t="n"/>
      <c r="K247" s="18" t="n">
        <v>181.72</v>
      </c>
      <c r="L247" s="17" t="inlineStr">
        <is>
          <t>181.72</t>
        </is>
      </c>
      <c r="M247" s="16" t="n">
        <v>45949</v>
      </c>
      <c r="N247" s="16" t="n">
        <v>44942</v>
      </c>
      <c r="O247" s="17" t="inlineStr"/>
      <c r="P247" s="17" t="inlineStr"/>
      <c r="Q247" s="16" t="n"/>
    </row>
    <row r="248" ht="52.8" customHeight="1">
      <c r="A248" s="11" t="inlineStr">
        <is>
          <t>AU22716</t>
        </is>
      </c>
      <c r="B248" s="12" t="n">
        <v>44949</v>
      </c>
      <c r="C248" s="11" t="inlineStr">
        <is>
          <t>Medical Secretary</t>
        </is>
      </c>
      <c r="D248" s="11" t="n"/>
      <c r="E248" s="11" t="inlineStr">
        <is>
          <t>FP - Full Time Salaried</t>
        </is>
      </c>
      <c r="F248" s="11" t="inlineStr">
        <is>
          <t>Common Law Employment Contract</t>
        </is>
      </c>
      <c r="G248" s="11" t="inlineStr">
        <is>
          <t>Victoria</t>
        </is>
      </c>
      <c r="H248" s="13" t="inlineStr">
        <is>
          <t>76.00</t>
        </is>
      </c>
      <c r="I248" s="11" t="inlineStr">
        <is>
          <t>MELBOURNE IVF</t>
        </is>
      </c>
      <c r="J248" s="11" t="n"/>
      <c r="K248" s="14" t="n">
        <v>90.23</v>
      </c>
      <c r="L248" s="13" t="inlineStr">
        <is>
          <t>90.23</t>
        </is>
      </c>
      <c r="M248" s="12" t="n">
        <v>45949</v>
      </c>
      <c r="N248" s="12" t="n">
        <v>44949</v>
      </c>
      <c r="O248" s="13" t="inlineStr"/>
      <c r="P248" s="13" t="inlineStr"/>
      <c r="Q248" s="12" t="n"/>
    </row>
    <row r="249" ht="52.8" customHeight="1">
      <c r="A249" s="15" t="inlineStr">
        <is>
          <t>AU22709</t>
        </is>
      </c>
      <c r="B249" s="16" t="n">
        <v>44949</v>
      </c>
      <c r="C249" s="15" t="inlineStr">
        <is>
          <t>Registered Nurse</t>
        </is>
      </c>
      <c r="D249" s="15" t="n"/>
      <c r="E249" s="15" t="inlineStr">
        <is>
          <t>FP - Full Time Waged</t>
        </is>
      </c>
      <c r="F249" s="15" t="inlineStr">
        <is>
          <t>Melbourne IVF Nurses Enterprise Agreement</t>
        </is>
      </c>
      <c r="G249" s="15" t="inlineStr">
        <is>
          <t>Victoria</t>
        </is>
      </c>
      <c r="H249" s="17" t="inlineStr">
        <is>
          <t>76.00</t>
        </is>
      </c>
      <c r="I249" s="15" t="inlineStr">
        <is>
          <t>MELBOURNE IVF</t>
        </is>
      </c>
      <c r="J249" s="15" t="n"/>
      <c r="K249" s="18" t="n">
        <v>180.46</v>
      </c>
      <c r="L249" s="17" t="inlineStr">
        <is>
          <t>180.46</t>
        </is>
      </c>
      <c r="M249" s="16" t="n">
        <v>45949</v>
      </c>
      <c r="N249" s="16" t="n">
        <v>44949</v>
      </c>
      <c r="O249" s="17" t="inlineStr"/>
      <c r="P249" s="17" t="inlineStr"/>
      <c r="Q249" s="16" t="n"/>
    </row>
    <row r="250" ht="66" customHeight="1">
      <c r="A250" s="11" t="inlineStr">
        <is>
          <t>AU22712</t>
        </is>
      </c>
      <c r="B250" s="12" t="n">
        <v>44956</v>
      </c>
      <c r="C250" s="11" t="inlineStr">
        <is>
          <t>Administration Clerk</t>
        </is>
      </c>
      <c r="D250" s="11" t="n"/>
      <c r="E250" s="11" t="inlineStr">
        <is>
          <t>PT - Part Time Waged</t>
        </is>
      </c>
      <c r="F250" s="11" t="inlineStr">
        <is>
          <t>Melbourne IVF Support Services Enterprise Agreement</t>
        </is>
      </c>
      <c r="G250" s="11" t="inlineStr">
        <is>
          <t>Victoria</t>
        </is>
      </c>
      <c r="H250" s="13" t="inlineStr">
        <is>
          <t>60.00</t>
        </is>
      </c>
      <c r="I250" s="11" t="inlineStr">
        <is>
          <t>MELBOURNE IVF</t>
        </is>
      </c>
      <c r="J250" s="11" t="n"/>
      <c r="K250" s="14" t="n">
        <v>141.47</v>
      </c>
      <c r="L250" s="13" t="inlineStr">
        <is>
          <t>141.47</t>
        </is>
      </c>
      <c r="M250" s="12" t="n">
        <v>45949</v>
      </c>
      <c r="N250" s="12" t="n">
        <v>44956</v>
      </c>
      <c r="O250" s="13" t="inlineStr"/>
      <c r="P250" s="13" t="inlineStr"/>
      <c r="Q250" s="12" t="n"/>
    </row>
    <row r="251" ht="52.8" customHeight="1">
      <c r="A251" s="15" t="inlineStr">
        <is>
          <t>AU22718</t>
        </is>
      </c>
      <c r="B251" s="16" t="n">
        <v>44956</v>
      </c>
      <c r="C251" s="15" t="inlineStr">
        <is>
          <t>Registered Midwife</t>
        </is>
      </c>
      <c r="D251" s="15" t="n"/>
      <c r="E251" s="15" t="inlineStr">
        <is>
          <t>PT - Part Time Waged</t>
        </is>
      </c>
      <c r="F251" s="15" t="inlineStr">
        <is>
          <t>Melbourne IVF Nurses Enterprise Agreement</t>
        </is>
      </c>
      <c r="G251" s="15" t="inlineStr">
        <is>
          <t>Victoria</t>
        </is>
      </c>
      <c r="H251" s="17" t="inlineStr">
        <is>
          <t>60.80</t>
        </is>
      </c>
      <c r="I251" s="15" t="inlineStr">
        <is>
          <t>MELBOURNE IVF</t>
        </is>
      </c>
      <c r="J251" s="15" t="n"/>
      <c r="K251" s="18" t="n">
        <v>178.18</v>
      </c>
      <c r="L251" s="17" t="inlineStr">
        <is>
          <t>178.18</t>
        </is>
      </c>
      <c r="M251" s="16" t="n">
        <v>45949</v>
      </c>
      <c r="N251" s="16" t="n">
        <v>44956</v>
      </c>
      <c r="O251" s="17" t="inlineStr"/>
      <c r="P251" s="17" t="inlineStr"/>
      <c r="Q251" s="16" t="n"/>
    </row>
    <row r="252" ht="66" customHeight="1">
      <c r="A252" s="11" t="inlineStr">
        <is>
          <t>AU22748</t>
        </is>
      </c>
      <c r="B252" s="12" t="n">
        <v>43339</v>
      </c>
      <c r="C252" s="11" t="inlineStr">
        <is>
          <t>Theatre Technician</t>
        </is>
      </c>
      <c r="D252" s="11" t="n"/>
      <c r="E252" s="11" t="inlineStr">
        <is>
          <t>PT - Part Time Waged</t>
        </is>
      </c>
      <c r="F252" s="11" t="inlineStr">
        <is>
          <t>Melbourne IVF Support Services Enterprise Agreement</t>
        </is>
      </c>
      <c r="G252" s="11" t="inlineStr">
        <is>
          <t>Victoria</t>
        </is>
      </c>
      <c r="H252" s="13" t="inlineStr">
        <is>
          <t>45.60</t>
        </is>
      </c>
      <c r="I252" s="11" t="inlineStr">
        <is>
          <t>MELBOURNE IVF</t>
        </is>
      </c>
      <c r="J252" s="11" t="n"/>
      <c r="K252" s="14" t="n">
        <v>151.86</v>
      </c>
      <c r="L252" s="13" t="inlineStr">
        <is>
          <t>151.86</t>
        </is>
      </c>
      <c r="M252" s="12" t="n">
        <v>45949</v>
      </c>
      <c r="N252" s="12" t="n">
        <v>43144</v>
      </c>
      <c r="O252" s="13" t="inlineStr"/>
      <c r="P252" s="13" t="inlineStr"/>
      <c r="Q252" s="12" t="n"/>
    </row>
    <row r="253" ht="52.8" customHeight="1">
      <c r="A253" s="15" t="inlineStr">
        <is>
          <t>AU22766</t>
        </is>
      </c>
      <c r="B253" s="16" t="n">
        <v>44977</v>
      </c>
      <c r="C253" s="15" t="inlineStr">
        <is>
          <t>Associate Nurse Unit Manager</t>
        </is>
      </c>
      <c r="D253" s="15" t="n"/>
      <c r="E253" s="15" t="inlineStr">
        <is>
          <t>PT - Part Time Waged</t>
        </is>
      </c>
      <c r="F253" s="15" t="inlineStr">
        <is>
          <t>Melbourne IVF Nurses Enterprise Agreement</t>
        </is>
      </c>
      <c r="G253" s="15" t="inlineStr">
        <is>
          <t>Victoria</t>
        </is>
      </c>
      <c r="H253" s="17" t="inlineStr">
        <is>
          <t>53.20</t>
        </is>
      </c>
      <c r="I253" s="15" t="inlineStr">
        <is>
          <t>MELBOURNE IVF</t>
        </is>
      </c>
      <c r="J253" s="15" t="n"/>
      <c r="K253" s="18" t="n">
        <v>111.48</v>
      </c>
      <c r="L253" s="17" t="inlineStr">
        <is>
          <t>111.48</t>
        </is>
      </c>
      <c r="M253" s="16" t="n">
        <v>45949</v>
      </c>
      <c r="N253" s="16" t="n">
        <v>44984</v>
      </c>
      <c r="O253" s="17" t="inlineStr"/>
      <c r="P253" s="17" t="inlineStr"/>
      <c r="Q253" s="16" t="n"/>
    </row>
    <row r="254" ht="52.8" customHeight="1">
      <c r="A254" s="11" t="inlineStr">
        <is>
          <t>AU22767</t>
        </is>
      </c>
      <c r="B254" s="12" t="n">
        <v>44977</v>
      </c>
      <c r="C254" s="11" t="inlineStr">
        <is>
          <t>Associate Nurse Unit Manager</t>
        </is>
      </c>
      <c r="D254" s="11" t="n"/>
      <c r="E254" s="11" t="inlineStr">
        <is>
          <t>FP - Full Time Waged</t>
        </is>
      </c>
      <c r="F254" s="11" t="inlineStr">
        <is>
          <t>Melbourne IVF Nurses Enterprise Agreement</t>
        </is>
      </c>
      <c r="G254" s="11" t="inlineStr">
        <is>
          <t>Victoria</t>
        </is>
      </c>
      <c r="H254" s="13" t="inlineStr">
        <is>
          <t>76.00</t>
        </is>
      </c>
      <c r="I254" s="11" t="inlineStr">
        <is>
          <t>MELBOURNE IVF</t>
        </is>
      </c>
      <c r="J254" s="11" t="n"/>
      <c r="K254" s="14" t="n">
        <v>174.14</v>
      </c>
      <c r="L254" s="13" t="inlineStr">
        <is>
          <t>174.14</t>
        </is>
      </c>
      <c r="M254" s="12" t="n">
        <v>45949</v>
      </c>
      <c r="N254" s="12" t="n">
        <v>44984</v>
      </c>
      <c r="O254" s="13" t="inlineStr"/>
      <c r="P254" s="13" t="inlineStr"/>
      <c r="Q254" s="12" t="n"/>
    </row>
    <row r="255" ht="52.8" customHeight="1">
      <c r="A255" s="15" t="inlineStr">
        <is>
          <t>AU22769</t>
        </is>
      </c>
      <c r="B255" s="16" t="n">
        <v>44977</v>
      </c>
      <c r="C255" s="15" t="inlineStr">
        <is>
          <t>Registered Nurse</t>
        </is>
      </c>
      <c r="D255" s="15" t="n"/>
      <c r="E255" s="15" t="inlineStr">
        <is>
          <t>PT - Part Time Waged</t>
        </is>
      </c>
      <c r="F255" s="15" t="inlineStr">
        <is>
          <t>Melbourne IVF Nurses Enterprise Agreement</t>
        </is>
      </c>
      <c r="G255" s="15" t="inlineStr">
        <is>
          <t>Victoria</t>
        </is>
      </c>
      <c r="H255" s="17" t="inlineStr">
        <is>
          <t>64.00</t>
        </is>
      </c>
      <c r="I255" s="15" t="inlineStr">
        <is>
          <t>MELBOURNE IVF</t>
        </is>
      </c>
      <c r="J255" s="15" t="n"/>
      <c r="K255" s="18" t="n">
        <v>147.71</v>
      </c>
      <c r="L255" s="17" t="inlineStr">
        <is>
          <t>147.71</t>
        </is>
      </c>
      <c r="M255" s="16" t="n">
        <v>45949</v>
      </c>
      <c r="N255" s="16" t="n">
        <v>44977</v>
      </c>
      <c r="O255" s="17" t="inlineStr"/>
      <c r="P255" s="17" t="inlineStr"/>
      <c r="Q255" s="16" t="n"/>
    </row>
    <row r="256" ht="66" customHeight="1">
      <c r="A256" s="11" t="inlineStr">
        <is>
          <t>AU22789</t>
        </is>
      </c>
      <c r="B256" s="12" t="n">
        <v>44998</v>
      </c>
      <c r="C256" s="11" t="inlineStr">
        <is>
          <t>Genetic Counsellor</t>
        </is>
      </c>
      <c r="D256" s="11" t="n"/>
      <c r="E256" s="11" t="inlineStr">
        <is>
          <t>PT - Part Time Waged</t>
        </is>
      </c>
      <c r="F256" s="11" t="inlineStr">
        <is>
          <t>Melbourne IVF Counselling Enterprise Agreement</t>
        </is>
      </c>
      <c r="G256" s="11" t="inlineStr">
        <is>
          <t>Victoria</t>
        </is>
      </c>
      <c r="H256" s="13" t="inlineStr">
        <is>
          <t>45.60</t>
        </is>
      </c>
      <c r="I256" s="11" t="inlineStr">
        <is>
          <t>MELBOURNE IVF</t>
        </is>
      </c>
      <c r="J256" s="11" t="n"/>
      <c r="K256" s="14" t="n">
        <v>135.09</v>
      </c>
      <c r="L256" s="13" t="inlineStr">
        <is>
          <t>135.09</t>
        </is>
      </c>
      <c r="M256" s="12" t="n">
        <v>45949</v>
      </c>
      <c r="N256" s="12" t="n">
        <v>44998</v>
      </c>
      <c r="O256" s="13" t="inlineStr"/>
      <c r="P256" s="13" t="inlineStr"/>
      <c r="Q256" s="12" t="n"/>
    </row>
    <row r="257" ht="66" customHeight="1">
      <c r="A257" s="15" t="inlineStr">
        <is>
          <t>AU22804</t>
        </is>
      </c>
      <c r="B257" s="16" t="n">
        <v>45027</v>
      </c>
      <c r="C257" s="15" t="inlineStr">
        <is>
          <t>Receptionist</t>
        </is>
      </c>
      <c r="D257" s="15" t="n"/>
      <c r="E257" s="15" t="inlineStr">
        <is>
          <t>FP - Full Time Waged</t>
        </is>
      </c>
      <c r="F257" s="15" t="inlineStr">
        <is>
          <t>Melbourne IVF Support Services Enterprise Agreement</t>
        </is>
      </c>
      <c r="G257" s="15" t="inlineStr">
        <is>
          <t>Victoria</t>
        </is>
      </c>
      <c r="H257" s="17" t="inlineStr">
        <is>
          <t>76.00</t>
        </is>
      </c>
      <c r="I257" s="15" t="inlineStr">
        <is>
          <t>MELBOURNE IVF</t>
        </is>
      </c>
      <c r="J257" s="15" t="n"/>
      <c r="K257" s="18" t="n">
        <v>166.38</v>
      </c>
      <c r="L257" s="17" t="inlineStr">
        <is>
          <t>166.38</t>
        </is>
      </c>
      <c r="M257" s="16" t="n">
        <v>45949</v>
      </c>
      <c r="N257" s="16" t="n">
        <v>45027</v>
      </c>
      <c r="O257" s="17" t="inlineStr"/>
      <c r="P257" s="17" t="inlineStr"/>
      <c r="Q257" s="16" t="n"/>
    </row>
    <row r="258" ht="52.8" customHeight="1">
      <c r="A258" s="11" t="inlineStr">
        <is>
          <t>AU22806</t>
        </is>
      </c>
      <c r="B258" s="12" t="n">
        <v>45012</v>
      </c>
      <c r="C258" s="11" t="inlineStr">
        <is>
          <t>Registered Nurse</t>
        </is>
      </c>
      <c r="D258" s="11" t="n"/>
      <c r="E258" s="11" t="inlineStr">
        <is>
          <t>PT - Part Time Waged</t>
        </is>
      </c>
      <c r="F258" s="11" t="inlineStr">
        <is>
          <t>Melbourne IVF Nurses Enterprise Agreement</t>
        </is>
      </c>
      <c r="G258" s="11" t="inlineStr">
        <is>
          <t>Victoria</t>
        </is>
      </c>
      <c r="H258" s="13" t="inlineStr">
        <is>
          <t>45.00</t>
        </is>
      </c>
      <c r="I258" s="11" t="inlineStr">
        <is>
          <t>MELBOURNE IVF</t>
        </is>
      </c>
      <c r="J258" s="11" t="n"/>
      <c r="K258" s="14" t="n">
        <v>102.15</v>
      </c>
      <c r="L258" s="13" t="inlineStr">
        <is>
          <t>102.15</t>
        </is>
      </c>
      <c r="M258" s="12" t="n">
        <v>45949</v>
      </c>
      <c r="N258" s="12" t="n">
        <v>44993</v>
      </c>
      <c r="O258" s="13" t="inlineStr"/>
      <c r="P258" s="13" t="inlineStr"/>
      <c r="Q258" s="12" t="n"/>
    </row>
    <row r="259" ht="52.8" customHeight="1">
      <c r="A259" s="15" t="inlineStr">
        <is>
          <t>AU22824</t>
        </is>
      </c>
      <c r="B259" s="16" t="n">
        <v>44909</v>
      </c>
      <c r="C259" s="15" t="inlineStr">
        <is>
          <t>Registered Nurse</t>
        </is>
      </c>
      <c r="D259" s="15" t="n"/>
      <c r="E259" s="15" t="inlineStr">
        <is>
          <t>PT - Part Time Waged</t>
        </is>
      </c>
      <c r="F259" s="15" t="inlineStr">
        <is>
          <t>Melbourne IVF Nurses Enterprise Agreement</t>
        </is>
      </c>
      <c r="G259" s="15" t="inlineStr">
        <is>
          <t>Victoria</t>
        </is>
      </c>
      <c r="H259" s="17" t="inlineStr">
        <is>
          <t>30.40</t>
        </is>
      </c>
      <c r="I259" s="15" t="inlineStr">
        <is>
          <t>MELBOURNE IVF</t>
        </is>
      </c>
      <c r="J259" s="15" t="n"/>
      <c r="K259" s="18" t="n">
        <v>75.06999999999999</v>
      </c>
      <c r="L259" s="17" t="inlineStr">
        <is>
          <t>75.07</t>
        </is>
      </c>
      <c r="M259" s="16" t="n">
        <v>45949</v>
      </c>
      <c r="N259" s="16" t="n">
        <v>44909</v>
      </c>
      <c r="O259" s="17" t="inlineStr"/>
      <c r="P259" s="17" t="inlineStr"/>
      <c r="Q259" s="16" t="n"/>
    </row>
    <row r="260" ht="66" customHeight="1">
      <c r="A260" s="11" t="inlineStr">
        <is>
          <t>AU22826</t>
        </is>
      </c>
      <c r="B260" s="12" t="n">
        <v>45028</v>
      </c>
      <c r="C260" s="11" t="inlineStr">
        <is>
          <t>Administration</t>
        </is>
      </c>
      <c r="D260" s="11" t="n"/>
      <c r="E260" s="11" t="inlineStr">
        <is>
          <t>PT - Part Time Waged</t>
        </is>
      </c>
      <c r="F260" s="11" t="inlineStr">
        <is>
          <t>Melbourne IVF Support Services Enterprise Agreement</t>
        </is>
      </c>
      <c r="G260" s="11" t="inlineStr">
        <is>
          <t>Victoria</t>
        </is>
      </c>
      <c r="H260" s="13" t="inlineStr">
        <is>
          <t>42.00</t>
        </is>
      </c>
      <c r="I260" s="11" t="inlineStr">
        <is>
          <t>MELBOURNE IVF</t>
        </is>
      </c>
      <c r="J260" s="11" t="n"/>
      <c r="K260" s="14" t="n">
        <v>86.62</v>
      </c>
      <c r="L260" s="13" t="inlineStr">
        <is>
          <t>86.62</t>
        </is>
      </c>
      <c r="M260" s="12" t="n">
        <v>45949</v>
      </c>
      <c r="N260" s="12" t="n">
        <v>45028</v>
      </c>
      <c r="O260" s="13" t="inlineStr"/>
      <c r="P260" s="13" t="inlineStr"/>
      <c r="Q260" s="12" t="n"/>
    </row>
    <row r="261" ht="66" customHeight="1">
      <c r="A261" s="15" t="inlineStr">
        <is>
          <t>AU22828</t>
        </is>
      </c>
      <c r="B261" s="16" t="n">
        <v>45013</v>
      </c>
      <c r="C261" s="15" t="inlineStr">
        <is>
          <t>Patient Care Co-ordinator</t>
        </is>
      </c>
      <c r="D261" s="15" t="n"/>
      <c r="E261" s="15" t="inlineStr">
        <is>
          <t>FP - Full Time Waged</t>
        </is>
      </c>
      <c r="F261" s="15" t="inlineStr">
        <is>
          <t>Melbourne IVF Support Services Enterprise Agreement</t>
        </is>
      </c>
      <c r="G261" s="15" t="inlineStr">
        <is>
          <t>Victoria</t>
        </is>
      </c>
      <c r="H261" s="17" t="inlineStr">
        <is>
          <t>76.00</t>
        </is>
      </c>
      <c r="I261" s="15" t="inlineStr">
        <is>
          <t>MELBOURNE IVF</t>
        </is>
      </c>
      <c r="J261" s="15" t="n"/>
      <c r="K261" s="18" t="n">
        <v>168.91</v>
      </c>
      <c r="L261" s="17" t="inlineStr">
        <is>
          <t>168.91</t>
        </is>
      </c>
      <c r="M261" s="16" t="n">
        <v>45949</v>
      </c>
      <c r="N261" s="16" t="n">
        <v>45013</v>
      </c>
      <c r="O261" s="17" t="inlineStr"/>
      <c r="P261" s="17" t="inlineStr"/>
      <c r="Q261" s="16" t="n"/>
    </row>
    <row r="262" ht="52.8" customHeight="1">
      <c r="A262" s="11" t="inlineStr">
        <is>
          <t>AU22838</t>
        </is>
      </c>
      <c r="B262" s="12" t="n">
        <v>45043</v>
      </c>
      <c r="C262" s="11" t="inlineStr">
        <is>
          <t>Donor And Surrogacy Program Nurse</t>
        </is>
      </c>
      <c r="D262" s="11" t="n"/>
      <c r="E262" s="11" t="inlineStr">
        <is>
          <t>FP - Full Time Waged</t>
        </is>
      </c>
      <c r="F262" s="11" t="inlineStr">
        <is>
          <t>Melbourne IVF Nurses Enterprise Agreement</t>
        </is>
      </c>
      <c r="G262" s="11" t="inlineStr">
        <is>
          <t>Victoria</t>
        </is>
      </c>
      <c r="H262" s="13" t="inlineStr">
        <is>
          <t>76.00</t>
        </is>
      </c>
      <c r="I262" s="11" t="inlineStr">
        <is>
          <t>MELBOURNE IVF</t>
        </is>
      </c>
      <c r="J262" s="11" t="n"/>
      <c r="K262" s="14" t="n">
        <v>81.75</v>
      </c>
      <c r="L262" s="13" t="inlineStr">
        <is>
          <t>81.75</t>
        </is>
      </c>
      <c r="M262" s="12" t="n">
        <v>45949</v>
      </c>
      <c r="N262" s="12" t="n">
        <v>45043</v>
      </c>
      <c r="O262" s="13" t="inlineStr"/>
      <c r="P262" s="13" t="inlineStr"/>
      <c r="Q262" s="12" t="n"/>
    </row>
    <row r="263" ht="52.8" customHeight="1">
      <c r="A263" s="15" t="inlineStr">
        <is>
          <t>AU22848</t>
        </is>
      </c>
      <c r="B263" s="16" t="n">
        <v>45047</v>
      </c>
      <c r="C263" s="15" t="inlineStr">
        <is>
          <t>Registered Nurse</t>
        </is>
      </c>
      <c r="D263" s="15" t="n"/>
      <c r="E263" s="15" t="inlineStr">
        <is>
          <t>PT - Part Time Waged</t>
        </is>
      </c>
      <c r="F263" s="15" t="inlineStr">
        <is>
          <t>Melbourne IVF Nurses Enterprise Agreement</t>
        </is>
      </c>
      <c r="G263" s="15" t="inlineStr">
        <is>
          <t>Victoria</t>
        </is>
      </c>
      <c r="H263" s="17" t="inlineStr">
        <is>
          <t>33.00</t>
        </is>
      </c>
      <c r="I263" s="15" t="inlineStr">
        <is>
          <t>MELBOURNE IVF</t>
        </is>
      </c>
      <c r="J263" s="15" t="n"/>
      <c r="K263" s="18" t="n">
        <v>97.92</v>
      </c>
      <c r="L263" s="17" t="inlineStr">
        <is>
          <t>97.92</t>
        </is>
      </c>
      <c r="M263" s="16" t="n">
        <v>45949</v>
      </c>
      <c r="N263" s="16" t="n">
        <v>45047</v>
      </c>
      <c r="O263" s="17" t="inlineStr"/>
      <c r="P263" s="17" t="inlineStr"/>
      <c r="Q263" s="16" t="n"/>
    </row>
    <row r="264" ht="52.8" customHeight="1">
      <c r="A264" s="11" t="inlineStr">
        <is>
          <t>AU22895</t>
        </is>
      </c>
      <c r="B264" s="12" t="n">
        <v>45096</v>
      </c>
      <c r="C264" s="11" t="inlineStr">
        <is>
          <t>Registered Nurse</t>
        </is>
      </c>
      <c r="D264" s="11" t="n"/>
      <c r="E264" s="11" t="inlineStr">
        <is>
          <t>FP - Full Time Waged</t>
        </is>
      </c>
      <c r="F264" s="11" t="inlineStr">
        <is>
          <t>Melbourne IVF Nurses Enterprise Agreement</t>
        </is>
      </c>
      <c r="G264" s="11" t="inlineStr">
        <is>
          <t>Victoria</t>
        </is>
      </c>
      <c r="H264" s="13" t="inlineStr">
        <is>
          <t>76.00</t>
        </is>
      </c>
      <c r="I264" s="11" t="inlineStr">
        <is>
          <t>MELBOURNE IVF</t>
        </is>
      </c>
      <c r="J264" s="11" t="n"/>
      <c r="K264" s="14" t="n">
        <v>93.7</v>
      </c>
      <c r="L264" s="13" t="inlineStr">
        <is>
          <t>93.70</t>
        </is>
      </c>
      <c r="M264" s="12" t="n">
        <v>45949</v>
      </c>
      <c r="N264" s="12" t="n">
        <v>45096</v>
      </c>
      <c r="O264" s="13" t="inlineStr"/>
      <c r="P264" s="13" t="inlineStr"/>
      <c r="Q264" s="12" t="n"/>
    </row>
    <row r="265" ht="52.8" customHeight="1">
      <c r="A265" s="15" t="inlineStr">
        <is>
          <t>AU22899</t>
        </is>
      </c>
      <c r="B265" s="16" t="n">
        <v>45117</v>
      </c>
      <c r="C265" s="15" t="inlineStr">
        <is>
          <t>Registered Nurse</t>
        </is>
      </c>
      <c r="D265" s="15" t="n"/>
      <c r="E265" s="15" t="inlineStr">
        <is>
          <t>PT - Part Time Waged</t>
        </is>
      </c>
      <c r="F265" s="15" t="inlineStr">
        <is>
          <t>Melbourne IVF Nurses Enterprise Agreement</t>
        </is>
      </c>
      <c r="G265" s="15" t="inlineStr">
        <is>
          <t>Victoria</t>
        </is>
      </c>
      <c r="H265" s="17" t="inlineStr">
        <is>
          <t>38.00</t>
        </is>
      </c>
      <c r="I265" s="15" t="inlineStr">
        <is>
          <t>MELBOURNE IVF</t>
        </is>
      </c>
      <c r="J265" s="15" t="n"/>
      <c r="K265" s="18" t="n">
        <v>150.14</v>
      </c>
      <c r="L265" s="17" t="inlineStr">
        <is>
          <t>150.14</t>
        </is>
      </c>
      <c r="M265" s="16" t="n">
        <v>45949</v>
      </c>
      <c r="N265" s="16" t="n">
        <v>45117</v>
      </c>
      <c r="O265" s="17" t="inlineStr"/>
      <c r="P265" s="17" t="inlineStr"/>
      <c r="Q265" s="16" t="n"/>
    </row>
    <row r="266" ht="52.8" customHeight="1">
      <c r="A266" s="11" t="inlineStr">
        <is>
          <t>AU22911</t>
        </is>
      </c>
      <c r="B266" s="12" t="n">
        <v>45117</v>
      </c>
      <c r="C266" s="11" t="inlineStr">
        <is>
          <t>Clinical Nurse Specialist</t>
        </is>
      </c>
      <c r="D266" s="11" t="n"/>
      <c r="E266" s="11" t="inlineStr">
        <is>
          <t>PT - Part Time Waged</t>
        </is>
      </c>
      <c r="F266" s="11" t="inlineStr">
        <is>
          <t>Melbourne IVF Nurses Enterprise Agreement</t>
        </is>
      </c>
      <c r="G266" s="11" t="inlineStr">
        <is>
          <t>Victoria</t>
        </is>
      </c>
      <c r="H266" s="13" t="inlineStr">
        <is>
          <t>30.40</t>
        </is>
      </c>
      <c r="I266" s="11" t="inlineStr">
        <is>
          <t>MELBOURNE IVF</t>
        </is>
      </c>
      <c r="J266" s="11" t="n"/>
      <c r="K266" s="14" t="n">
        <v>143.69</v>
      </c>
      <c r="L266" s="13" t="inlineStr">
        <is>
          <t>143.69</t>
        </is>
      </c>
      <c r="M266" s="12" t="n">
        <v>45949</v>
      </c>
      <c r="N266" s="12" t="n">
        <v>45117</v>
      </c>
      <c r="O266" s="13" t="inlineStr"/>
      <c r="P266" s="13" t="inlineStr"/>
      <c r="Q266" s="12" t="n"/>
    </row>
    <row r="267" ht="52.8" customHeight="1">
      <c r="A267" s="15" t="inlineStr">
        <is>
          <t>AU22916</t>
        </is>
      </c>
      <c r="B267" s="16" t="n">
        <v>45117</v>
      </c>
      <c r="C267" s="15" t="inlineStr">
        <is>
          <t>Enrolled Nurse</t>
        </is>
      </c>
      <c r="D267" s="15" t="n"/>
      <c r="E267" s="15" t="inlineStr">
        <is>
          <t>FP - Full Time Waged</t>
        </is>
      </c>
      <c r="F267" s="15" t="inlineStr">
        <is>
          <t>Melbourne IVF Nurses Enterprise Agreement</t>
        </is>
      </c>
      <c r="G267" s="15" t="inlineStr">
        <is>
          <t>Victoria</t>
        </is>
      </c>
      <c r="H267" s="17" t="inlineStr">
        <is>
          <t>76.00</t>
        </is>
      </c>
      <c r="I267" s="15" t="inlineStr">
        <is>
          <t>MELBOURNE IVF</t>
        </is>
      </c>
      <c r="J267" s="15" t="n"/>
      <c r="K267" s="18" t="n">
        <v>74.44</v>
      </c>
      <c r="L267" s="17" t="inlineStr">
        <is>
          <t>74.44</t>
        </is>
      </c>
      <c r="M267" s="16" t="n">
        <v>45949</v>
      </c>
      <c r="N267" s="16" t="n">
        <v>45124</v>
      </c>
      <c r="O267" s="17" t="inlineStr"/>
      <c r="P267" s="17" t="inlineStr"/>
      <c r="Q267" s="16" t="n"/>
    </row>
    <row r="268" ht="66" customHeight="1">
      <c r="A268" s="11" t="inlineStr">
        <is>
          <t>AU22931</t>
        </is>
      </c>
      <c r="B268" s="12" t="n">
        <v>45148</v>
      </c>
      <c r="C268" s="11" t="inlineStr">
        <is>
          <t>Patient Liaison Administrator</t>
        </is>
      </c>
      <c r="D268" s="11" t="n"/>
      <c r="E268" s="11" t="inlineStr">
        <is>
          <t>FP - Full Time Waged</t>
        </is>
      </c>
      <c r="F268" s="11" t="inlineStr">
        <is>
          <t>TAS IVF Support Services Enterprise Agreement</t>
        </is>
      </c>
      <c r="G268" s="11" t="inlineStr">
        <is>
          <t>Tasmania</t>
        </is>
      </c>
      <c r="H268" s="13" t="inlineStr">
        <is>
          <t>75.00</t>
        </is>
      </c>
      <c r="I268" s="11" t="inlineStr">
        <is>
          <t>TAS IVF PTY LTD</t>
        </is>
      </c>
      <c r="J268" s="11" t="n"/>
      <c r="K268" s="14" t="n">
        <v>72.66</v>
      </c>
      <c r="L268" s="13" t="inlineStr">
        <is>
          <t>72.66</t>
        </is>
      </c>
      <c r="M268" s="12" t="n">
        <v>45949</v>
      </c>
      <c r="N268" s="12" t="n">
        <v>45133</v>
      </c>
      <c r="O268" s="13" t="inlineStr"/>
      <c r="P268" s="13" t="inlineStr"/>
      <c r="Q268" s="12" t="n"/>
    </row>
    <row r="269" ht="66" customHeight="1">
      <c r="A269" s="15" t="inlineStr">
        <is>
          <t>AU22935</t>
        </is>
      </c>
      <c r="B269" s="16" t="n">
        <v>45138</v>
      </c>
      <c r="C269" s="15" t="inlineStr">
        <is>
          <t>Receptionist</t>
        </is>
      </c>
      <c r="D269" s="15" t="n"/>
      <c r="E269" s="15" t="inlineStr">
        <is>
          <t>PT - Part Time Waged</t>
        </is>
      </c>
      <c r="F269" s="15" t="inlineStr">
        <is>
          <t>Melbourne IVF Support Services Enterprise Agreement</t>
        </is>
      </c>
      <c r="G269" s="15" t="inlineStr">
        <is>
          <t>Victoria</t>
        </is>
      </c>
      <c r="H269" s="17" t="inlineStr">
        <is>
          <t>60.80</t>
        </is>
      </c>
      <c r="I269" s="15" t="inlineStr">
        <is>
          <t>MELBOURNE IVF</t>
        </is>
      </c>
      <c r="J269" s="15" t="n"/>
      <c r="K269" s="18" t="n">
        <v>117.08</v>
      </c>
      <c r="L269" s="17" t="inlineStr">
        <is>
          <t>117.08</t>
        </is>
      </c>
      <c r="M269" s="16" t="n">
        <v>45949</v>
      </c>
      <c r="N269" s="16" t="n">
        <v>45138</v>
      </c>
      <c r="O269" s="17" t="inlineStr"/>
      <c r="P269" s="17" t="inlineStr"/>
      <c r="Q269" s="16" t="n"/>
    </row>
    <row r="270" ht="66" customHeight="1">
      <c r="A270" s="11" t="inlineStr">
        <is>
          <t>AU22946</t>
        </is>
      </c>
      <c r="B270" s="12" t="n">
        <v>45168</v>
      </c>
      <c r="C270" s="11" t="inlineStr">
        <is>
          <t>Medical Scientist</t>
        </is>
      </c>
      <c r="D270" s="11" t="n"/>
      <c r="E270" s="11" t="inlineStr">
        <is>
          <t>FP - Full Time Waged</t>
        </is>
      </c>
      <c r="F270" s="11" t="inlineStr">
        <is>
          <t>Melbourne IVF Medical Scientists Enterprise Agreement</t>
        </is>
      </c>
      <c r="G270" s="11" t="inlineStr">
        <is>
          <t>Victoria</t>
        </is>
      </c>
      <c r="H270" s="13" t="inlineStr">
        <is>
          <t>76.00</t>
        </is>
      </c>
      <c r="I270" s="11" t="inlineStr">
        <is>
          <t>MELBOURNE IVF</t>
        </is>
      </c>
      <c r="J270" s="11" t="n"/>
      <c r="K270" s="14" t="n">
        <v>140.94</v>
      </c>
      <c r="L270" s="13" t="inlineStr">
        <is>
          <t>140.94</t>
        </is>
      </c>
      <c r="M270" s="12" t="n">
        <v>45949</v>
      </c>
      <c r="N270" s="12" t="n">
        <v>45168</v>
      </c>
      <c r="O270" s="13" t="inlineStr"/>
      <c r="P270" s="13" t="inlineStr"/>
      <c r="Q270" s="12" t="n"/>
    </row>
    <row r="271" ht="52.8" customHeight="1">
      <c r="A271" s="15" t="inlineStr">
        <is>
          <t>AU22968</t>
        </is>
      </c>
      <c r="B271" s="16" t="n">
        <v>45173</v>
      </c>
      <c r="C271" s="15" t="inlineStr">
        <is>
          <t>Registered Midwife</t>
        </is>
      </c>
      <c r="D271" s="15" t="n"/>
      <c r="E271" s="15" t="inlineStr">
        <is>
          <t>FP - Full Time Waged</t>
        </is>
      </c>
      <c r="F271" s="15" t="inlineStr">
        <is>
          <t>Melbourne IVF Nurses Enterprise Agreement</t>
        </is>
      </c>
      <c r="G271" s="15" t="inlineStr">
        <is>
          <t>Victoria</t>
        </is>
      </c>
      <c r="H271" s="17" t="inlineStr">
        <is>
          <t>76.00</t>
        </is>
      </c>
      <c r="I271" s="15" t="inlineStr">
        <is>
          <t>MELBOURNE IVF</t>
        </is>
      </c>
      <c r="J271" s="15" t="n"/>
      <c r="K271" s="18" t="n">
        <v>140.03</v>
      </c>
      <c r="L271" s="17" t="inlineStr">
        <is>
          <t>140.03</t>
        </is>
      </c>
      <c r="M271" s="16" t="n">
        <v>45949</v>
      </c>
      <c r="N271" s="16" t="n">
        <v>45173</v>
      </c>
      <c r="O271" s="17" t="inlineStr"/>
      <c r="P271" s="17" t="inlineStr"/>
      <c r="Q271" s="16" t="n"/>
    </row>
    <row r="272" ht="66" customHeight="1">
      <c r="A272" s="11" t="inlineStr">
        <is>
          <t>AU22973</t>
        </is>
      </c>
      <c r="B272" s="12" t="n">
        <v>45168</v>
      </c>
      <c r="C272" s="11" t="inlineStr">
        <is>
          <t>Accounts Receivable Administrator</t>
        </is>
      </c>
      <c r="D272" s="11" t="n"/>
      <c r="E272" s="11" t="inlineStr">
        <is>
          <t>FP - Full Time Waged</t>
        </is>
      </c>
      <c r="F272" s="11" t="inlineStr">
        <is>
          <t>Melbourne IVF Support Services Enterprise Agreement</t>
        </is>
      </c>
      <c r="G272" s="11" t="inlineStr">
        <is>
          <t>Victoria</t>
        </is>
      </c>
      <c r="H272" s="13" t="inlineStr">
        <is>
          <t>76.00</t>
        </is>
      </c>
      <c r="I272" s="11" t="inlineStr">
        <is>
          <t>MELBOURNE IVF</t>
        </is>
      </c>
      <c r="J272" s="11" t="n"/>
      <c r="K272" s="14" t="n">
        <v>106.23</v>
      </c>
      <c r="L272" s="13" t="inlineStr">
        <is>
          <t>106.23</t>
        </is>
      </c>
      <c r="M272" s="12" t="n">
        <v>45949</v>
      </c>
      <c r="N272" s="12" t="n">
        <v>44760</v>
      </c>
      <c r="O272" s="13" t="inlineStr"/>
      <c r="P272" s="13" t="inlineStr"/>
      <c r="Q272" s="12" t="n"/>
    </row>
    <row r="273" ht="52.8" customHeight="1">
      <c r="A273" s="15" t="inlineStr">
        <is>
          <t>AU22974</t>
        </is>
      </c>
      <c r="B273" s="16" t="n">
        <v>45173</v>
      </c>
      <c r="C273" s="15" t="inlineStr">
        <is>
          <t>Registered Nurse</t>
        </is>
      </c>
      <c r="D273" s="15" t="n"/>
      <c r="E273" s="15" t="inlineStr">
        <is>
          <t>FP - Full Time Waged</t>
        </is>
      </c>
      <c r="F273" s="15" t="inlineStr">
        <is>
          <t>Melbourne IVF Nurses Enterprise Agreement</t>
        </is>
      </c>
      <c r="G273" s="15" t="inlineStr">
        <is>
          <t>Victoria</t>
        </is>
      </c>
      <c r="H273" s="17" t="inlineStr">
        <is>
          <t>76.00</t>
        </is>
      </c>
      <c r="I273" s="15" t="inlineStr">
        <is>
          <t>MELBOURNE IVF</t>
        </is>
      </c>
      <c r="J273" s="15" t="n"/>
      <c r="K273" s="18" t="n">
        <v>70.02</v>
      </c>
      <c r="L273" s="17" t="inlineStr">
        <is>
          <t>70.02</t>
        </is>
      </c>
      <c r="M273" s="16" t="n">
        <v>45949</v>
      </c>
      <c r="N273" s="16" t="n">
        <v>45173</v>
      </c>
      <c r="O273" s="17" t="inlineStr"/>
      <c r="P273" s="17" t="inlineStr"/>
      <c r="Q273" s="16" t="n"/>
    </row>
    <row r="274" ht="66" customHeight="1">
      <c r="A274" s="11" t="inlineStr">
        <is>
          <t>AU22987</t>
        </is>
      </c>
      <c r="B274" s="12" t="n">
        <v>45208</v>
      </c>
      <c r="C274" s="11" t="inlineStr">
        <is>
          <t>PGT Scientist</t>
        </is>
      </c>
      <c r="D274" s="11" t="n"/>
      <c r="E274" s="11" t="inlineStr">
        <is>
          <t>PT - Part Time Waged</t>
        </is>
      </c>
      <c r="F274" s="11" t="inlineStr">
        <is>
          <t>Melbourne IVF Medical Scientists Enterprise Agreement</t>
        </is>
      </c>
      <c r="G274" s="11" t="inlineStr">
        <is>
          <t>Victoria</t>
        </is>
      </c>
      <c r="H274" s="13" t="inlineStr">
        <is>
          <t>60.80</t>
        </is>
      </c>
      <c r="I274" s="11" t="inlineStr">
        <is>
          <t>MELBOURNE IVF</t>
        </is>
      </c>
      <c r="J274" s="11" t="n"/>
      <c r="K274" s="14" t="n">
        <v>42.14</v>
      </c>
      <c r="L274" s="13" t="inlineStr">
        <is>
          <t>42.14</t>
        </is>
      </c>
      <c r="M274" s="12" t="n">
        <v>45949</v>
      </c>
      <c r="N274" s="12" t="n">
        <v>45208</v>
      </c>
      <c r="O274" s="13" t="inlineStr"/>
      <c r="P274" s="13" t="inlineStr"/>
      <c r="Q274" s="12" t="n"/>
    </row>
    <row r="275" ht="66" customHeight="1">
      <c r="A275" s="15" t="inlineStr">
        <is>
          <t>AU23006</t>
        </is>
      </c>
      <c r="B275" s="16" t="n">
        <v>45180</v>
      </c>
      <c r="C275" s="15" t="inlineStr">
        <is>
          <t>IVF Laboratory Administrator Team Leader</t>
        </is>
      </c>
      <c r="D275" s="15" t="n"/>
      <c r="E275" s="15" t="inlineStr">
        <is>
          <t>PT - Part Time Waged</t>
        </is>
      </c>
      <c r="F275" s="15" t="inlineStr">
        <is>
          <t>Melbourne IVF Medical Scientists Enterprise Agreement</t>
        </is>
      </c>
      <c r="G275" s="15" t="inlineStr">
        <is>
          <t>Victoria</t>
        </is>
      </c>
      <c r="H275" s="17" t="inlineStr">
        <is>
          <t>48.00</t>
        </is>
      </c>
      <c r="I275" s="15" t="inlineStr">
        <is>
          <t>MELBOURNE IVF</t>
        </is>
      </c>
      <c r="J275" s="15" t="n"/>
      <c r="K275" s="18" t="n">
        <v>43.82</v>
      </c>
      <c r="L275" s="17" t="inlineStr">
        <is>
          <t>43.82</t>
        </is>
      </c>
      <c r="M275" s="16" t="n">
        <v>45949</v>
      </c>
      <c r="N275" s="16" t="n">
        <v>45180</v>
      </c>
      <c r="O275" s="17" t="inlineStr"/>
      <c r="P275" s="17" t="inlineStr"/>
      <c r="Q275" s="16" t="n"/>
    </row>
    <row r="276" ht="66" customHeight="1">
      <c r="A276" s="11" t="inlineStr">
        <is>
          <t>AU23044</t>
        </is>
      </c>
      <c r="B276" s="12" t="n">
        <v>45271</v>
      </c>
      <c r="C276" s="11" t="inlineStr">
        <is>
          <t>IVF Laboratory Administrator</t>
        </is>
      </c>
      <c r="D276" s="11" t="n"/>
      <c r="E276" s="11" t="inlineStr">
        <is>
          <t>FP - Full Time Waged</t>
        </is>
      </c>
      <c r="F276" s="11" t="inlineStr">
        <is>
          <t>Melbourne IVF Support Services Enterprise Agreement</t>
        </is>
      </c>
      <c r="G276" s="11" t="inlineStr">
        <is>
          <t>Victoria</t>
        </is>
      </c>
      <c r="H276" s="13" t="inlineStr">
        <is>
          <t>76.00</t>
        </is>
      </c>
      <c r="I276" s="11" t="inlineStr">
        <is>
          <t>MELBOURNE IVF</t>
        </is>
      </c>
      <c r="J276" s="11" t="n"/>
      <c r="K276" s="14" t="n">
        <v>122.35</v>
      </c>
      <c r="L276" s="13" t="inlineStr">
        <is>
          <t>122.35</t>
        </is>
      </c>
      <c r="M276" s="12" t="n">
        <v>45949</v>
      </c>
      <c r="N276" s="12" t="n">
        <v>45271</v>
      </c>
      <c r="O276" s="13" t="inlineStr"/>
      <c r="P276" s="13" t="inlineStr"/>
      <c r="Q276" s="12" t="n"/>
    </row>
    <row r="277" ht="66" customHeight="1">
      <c r="A277" s="15" t="inlineStr">
        <is>
          <t>AU23045</t>
        </is>
      </c>
      <c r="B277" s="16" t="n">
        <v>45278</v>
      </c>
      <c r="C277" s="15" t="inlineStr">
        <is>
          <t>Patient Liaison Administrator</t>
        </is>
      </c>
      <c r="D277" s="15" t="n"/>
      <c r="E277" s="15" t="inlineStr">
        <is>
          <t>PT - Part Time Waged</t>
        </is>
      </c>
      <c r="F277" s="15" t="inlineStr">
        <is>
          <t>TAS IVF Support Services Enterprise Agreement</t>
        </is>
      </c>
      <c r="G277" s="15" t="inlineStr">
        <is>
          <t>Tasmania</t>
        </is>
      </c>
      <c r="H277" s="17" t="inlineStr">
        <is>
          <t>30.00</t>
        </is>
      </c>
      <c r="I277" s="15" t="inlineStr">
        <is>
          <t>TAS IVF PTY LTD</t>
        </is>
      </c>
      <c r="J277" s="15" t="n"/>
      <c r="K277" s="18" t="n">
        <v>35.12</v>
      </c>
      <c r="L277" s="17" t="inlineStr">
        <is>
          <t>35.12</t>
        </is>
      </c>
      <c r="M277" s="16" t="n">
        <v>45949</v>
      </c>
      <c r="N277" s="16" t="n">
        <v>45278</v>
      </c>
      <c r="O277" s="17" t="inlineStr"/>
      <c r="P277" s="17" t="inlineStr"/>
      <c r="Q277" s="16" t="n"/>
    </row>
    <row r="278" ht="66" customHeight="1">
      <c r="A278" s="11" t="inlineStr">
        <is>
          <t>AU23047</t>
        </is>
      </c>
      <c r="B278" s="12" t="n">
        <v>45278</v>
      </c>
      <c r="C278" s="11" t="inlineStr">
        <is>
          <t>Patient Liaison Administrator</t>
        </is>
      </c>
      <c r="D278" s="11" t="n"/>
      <c r="E278" s="11" t="inlineStr">
        <is>
          <t>FP - Full Time Waged</t>
        </is>
      </c>
      <c r="F278" s="11" t="inlineStr">
        <is>
          <t>Melbourne IVF Support Services Enterprise Agreement</t>
        </is>
      </c>
      <c r="G278" s="11" t="inlineStr">
        <is>
          <t>Victoria</t>
        </is>
      </c>
      <c r="H278" s="13" t="inlineStr">
        <is>
          <t>76.00</t>
        </is>
      </c>
      <c r="I278" s="11" t="inlineStr">
        <is>
          <t>MELBOURNE IVF</t>
        </is>
      </c>
      <c r="J278" s="11" t="n"/>
      <c r="K278" s="14" t="n">
        <v>60.55</v>
      </c>
      <c r="L278" s="13" t="inlineStr">
        <is>
          <t>60.55</t>
        </is>
      </c>
      <c r="M278" s="12" t="n">
        <v>45949</v>
      </c>
      <c r="N278" s="12" t="n">
        <v>45278</v>
      </c>
      <c r="O278" s="13" t="inlineStr"/>
      <c r="P278" s="13" t="inlineStr"/>
      <c r="Q278" s="12" t="n"/>
    </row>
    <row r="279" ht="66" customHeight="1">
      <c r="A279" s="15" t="inlineStr">
        <is>
          <t>AU23066</t>
        </is>
      </c>
      <c r="B279" s="16" t="n">
        <v>45306</v>
      </c>
      <c r="C279" s="15" t="inlineStr">
        <is>
          <t>Receptionist</t>
        </is>
      </c>
      <c r="D279" s="15" t="n"/>
      <c r="E279" s="15" t="inlineStr">
        <is>
          <t>PT - Part Time Waged</t>
        </is>
      </c>
      <c r="F279" s="15" t="inlineStr">
        <is>
          <t>Melbourne IVF Support Services Enterprise Agreement</t>
        </is>
      </c>
      <c r="G279" s="15" t="inlineStr">
        <is>
          <t>Victoria</t>
        </is>
      </c>
      <c r="H279" s="17" t="inlineStr">
        <is>
          <t>30.40</t>
        </is>
      </c>
      <c r="I279" s="15" t="inlineStr">
        <is>
          <t>MELBOURNE IVF</t>
        </is>
      </c>
      <c r="J279" s="15" t="n"/>
      <c r="K279" s="18" t="n">
        <v>24.45</v>
      </c>
      <c r="L279" s="17" t="inlineStr">
        <is>
          <t>24.45</t>
        </is>
      </c>
      <c r="M279" s="16" t="n">
        <v>45949</v>
      </c>
      <c r="N279" s="16" t="n">
        <v>45306</v>
      </c>
      <c r="O279" s="17" t="inlineStr"/>
      <c r="P279" s="17" t="inlineStr"/>
      <c r="Q279" s="16" t="n"/>
    </row>
    <row r="280" ht="52.8" customHeight="1">
      <c r="A280" s="11" t="inlineStr">
        <is>
          <t>AU23069</t>
        </is>
      </c>
      <c r="B280" s="12" t="n">
        <v>45313</v>
      </c>
      <c r="C280" s="11" t="inlineStr">
        <is>
          <t>Financial Accountant</t>
        </is>
      </c>
      <c r="D280" s="11" t="n"/>
      <c r="E280" s="11" t="inlineStr">
        <is>
          <t>FP - Full Time Salaried</t>
        </is>
      </c>
      <c r="F280" s="11" t="inlineStr">
        <is>
          <t>Common Law Employment Contract</t>
        </is>
      </c>
      <c r="G280" s="11" t="inlineStr">
        <is>
          <t>Victoria</t>
        </is>
      </c>
      <c r="H280" s="13" t="inlineStr">
        <is>
          <t>76.00</t>
        </is>
      </c>
      <c r="I280" s="11" t="inlineStr">
        <is>
          <t>MELBOURNE IVF</t>
        </is>
      </c>
      <c r="J280" s="11" t="n"/>
      <c r="K280" s="14" t="n">
        <v>57.39</v>
      </c>
      <c r="L280" s="13" t="inlineStr">
        <is>
          <t>57.39</t>
        </is>
      </c>
      <c r="M280" s="12" t="n">
        <v>45949</v>
      </c>
      <c r="N280" s="12" t="n">
        <v>45313</v>
      </c>
      <c r="O280" s="13" t="inlineStr"/>
      <c r="P280" s="13" t="inlineStr"/>
      <c r="Q280" s="12" t="n"/>
    </row>
    <row r="281" ht="52.8" customHeight="1">
      <c r="A281" s="15" t="inlineStr">
        <is>
          <t>AU23071</t>
        </is>
      </c>
      <c r="B281" s="16" t="n">
        <v>45320</v>
      </c>
      <c r="C281" s="15" t="inlineStr">
        <is>
          <t>Registered Nurse</t>
        </is>
      </c>
      <c r="D281" s="15" t="n"/>
      <c r="E281" s="15" t="inlineStr">
        <is>
          <t>PT - Part Time Waged</t>
        </is>
      </c>
      <c r="F281" s="15" t="inlineStr">
        <is>
          <t>Melbourne IVF Nurses Enterprise Agreement</t>
        </is>
      </c>
      <c r="G281" s="15" t="inlineStr">
        <is>
          <t>Victoria</t>
        </is>
      </c>
      <c r="H281" s="17" t="inlineStr">
        <is>
          <t>30.40</t>
        </is>
      </c>
      <c r="I281" s="15" t="inlineStr">
        <is>
          <t>MELBOURNE IVF</t>
        </is>
      </c>
      <c r="J281" s="15" t="n"/>
      <c r="K281" s="18" t="n">
        <v>69.37</v>
      </c>
      <c r="L281" s="17" t="inlineStr">
        <is>
          <t>69.37</t>
        </is>
      </c>
      <c r="M281" s="16" t="n">
        <v>45949</v>
      </c>
      <c r="N281" s="16" t="n">
        <v>44223</v>
      </c>
      <c r="O281" s="17" t="inlineStr"/>
      <c r="P281" s="17" t="inlineStr"/>
      <c r="Q281" s="16" t="n"/>
    </row>
    <row r="282" ht="66" customHeight="1">
      <c r="A282" s="11" t="inlineStr">
        <is>
          <t>AU23082</t>
        </is>
      </c>
      <c r="B282" s="12" t="n">
        <v>45321</v>
      </c>
      <c r="C282" s="11" t="inlineStr">
        <is>
          <t>Receptionist</t>
        </is>
      </c>
      <c r="D282" s="11" t="n"/>
      <c r="E282" s="11" t="inlineStr">
        <is>
          <t>PT - Part Time Waged</t>
        </is>
      </c>
      <c r="F282" s="11" t="inlineStr">
        <is>
          <t>Melbourne IVF Support Services Enterprise Agreement</t>
        </is>
      </c>
      <c r="G282" s="11" t="inlineStr">
        <is>
          <t>Victoria</t>
        </is>
      </c>
      <c r="H282" s="13" t="inlineStr">
        <is>
          <t>45.60</t>
        </is>
      </c>
      <c r="I282" s="11" t="inlineStr">
        <is>
          <t>MELBOURNE IVF</t>
        </is>
      </c>
      <c r="J282" s="11" t="n"/>
      <c r="K282" s="14" t="n">
        <v>68</v>
      </c>
      <c r="L282" s="13" t="inlineStr">
        <is>
          <t>68.00</t>
        </is>
      </c>
      <c r="M282" s="12" t="n">
        <v>45949</v>
      </c>
      <c r="N282" s="12" t="n">
        <v>45321</v>
      </c>
      <c r="O282" s="13" t="inlineStr"/>
      <c r="P282" s="13" t="inlineStr"/>
      <c r="Q282" s="12" t="n"/>
    </row>
    <row r="283" ht="52.8" customHeight="1">
      <c r="A283" s="15" t="inlineStr">
        <is>
          <t>AU23091</t>
        </is>
      </c>
      <c r="B283" s="16" t="n">
        <v>45348</v>
      </c>
      <c r="C283" s="15" t="inlineStr">
        <is>
          <t>Registered Nurse</t>
        </is>
      </c>
      <c r="D283" s="15" t="n"/>
      <c r="E283" s="15" t="inlineStr">
        <is>
          <t>PT - Part Time Waged</t>
        </is>
      </c>
      <c r="F283" s="15" t="inlineStr">
        <is>
          <t>Melbourne IVF Nurses Enterprise Agreement</t>
        </is>
      </c>
      <c r="G283" s="15" t="inlineStr">
        <is>
          <t>Victoria</t>
        </is>
      </c>
      <c r="H283" s="17" t="inlineStr">
        <is>
          <t>74.10</t>
        </is>
      </c>
      <c r="I283" s="15" t="inlineStr">
        <is>
          <t>MELBOURNE IVF</t>
        </is>
      </c>
      <c r="J283" s="15" t="n"/>
      <c r="K283" s="18" t="n">
        <v>96.36</v>
      </c>
      <c r="L283" s="17" t="inlineStr">
        <is>
          <t>96.36</t>
        </is>
      </c>
      <c r="M283" s="16" t="n">
        <v>45949</v>
      </c>
      <c r="N283" s="16" t="n">
        <v>45348</v>
      </c>
      <c r="O283" s="17" t="inlineStr"/>
      <c r="P283" s="17" t="inlineStr"/>
      <c r="Q283" s="16" t="n"/>
    </row>
    <row r="284" ht="52.8" customHeight="1">
      <c r="A284" s="11" t="inlineStr">
        <is>
          <t>AU23103</t>
        </is>
      </c>
      <c r="B284" s="12" t="n">
        <v>45355</v>
      </c>
      <c r="C284" s="11" t="inlineStr">
        <is>
          <t xml:space="preserve">Business Development Manager </t>
        </is>
      </c>
      <c r="D284" s="11" t="n"/>
      <c r="E284" s="11" t="inlineStr">
        <is>
          <t>FP - Full Time Salaried</t>
        </is>
      </c>
      <c r="F284" s="11" t="inlineStr">
        <is>
          <t>Common Law Employment Contract</t>
        </is>
      </c>
      <c r="G284" s="11" t="inlineStr">
        <is>
          <t>Victoria</t>
        </is>
      </c>
      <c r="H284" s="13" t="inlineStr">
        <is>
          <t>76.00</t>
        </is>
      </c>
      <c r="I284" s="11" t="inlineStr">
        <is>
          <t>MELBOURNE IVF</t>
        </is>
      </c>
      <c r="J284" s="11" t="n"/>
      <c r="K284" s="14" t="n">
        <v>107.19</v>
      </c>
      <c r="L284" s="13" t="inlineStr">
        <is>
          <t>107.19</t>
        </is>
      </c>
      <c r="M284" s="12" t="n">
        <v>45949</v>
      </c>
      <c r="N284" s="12" t="n">
        <v>45355</v>
      </c>
      <c r="O284" s="13" t="inlineStr"/>
      <c r="P284" s="13" t="inlineStr"/>
      <c r="Q284" s="12" t="n"/>
    </row>
    <row r="285" ht="79.2" customHeight="1">
      <c r="A285" s="15" t="inlineStr">
        <is>
          <t>AU23110</t>
        </is>
      </c>
      <c r="B285" s="16" t="n">
        <v>45350</v>
      </c>
      <c r="C285" s="15" t="inlineStr">
        <is>
          <t>Courier</t>
        </is>
      </c>
      <c r="D285" s="15" t="n"/>
      <c r="E285" s="15" t="inlineStr">
        <is>
          <t>PT - Part Time Waged</t>
        </is>
      </c>
      <c r="F285" s="15" t="inlineStr">
        <is>
          <t>Health Professionals and Support Services Award</t>
        </is>
      </c>
      <c r="G285" s="15" t="inlineStr">
        <is>
          <t>Victoria</t>
        </is>
      </c>
      <c r="H285" s="17" t="inlineStr">
        <is>
          <t>24.00</t>
        </is>
      </c>
      <c r="I285" s="15" t="inlineStr">
        <is>
          <t>MELBOURNE IVF</t>
        </is>
      </c>
      <c r="J285" s="15" t="n"/>
      <c r="K285" s="18" t="n">
        <v>33.42</v>
      </c>
      <c r="L285" s="17" t="inlineStr">
        <is>
          <t>33.42</t>
        </is>
      </c>
      <c r="M285" s="16" t="n">
        <v>45949</v>
      </c>
      <c r="N285" s="16" t="n">
        <v>44776</v>
      </c>
      <c r="O285" s="17" t="inlineStr"/>
      <c r="P285" s="17" t="inlineStr"/>
      <c r="Q285" s="16" t="n"/>
    </row>
    <row r="286" ht="52.8" customHeight="1">
      <c r="A286" s="11" t="inlineStr">
        <is>
          <t>AU23115</t>
        </is>
      </c>
      <c r="B286" s="12" t="n">
        <v>45355</v>
      </c>
      <c r="C286" s="11" t="inlineStr">
        <is>
          <t>Registered Nurse</t>
        </is>
      </c>
      <c r="D286" s="11" t="n"/>
      <c r="E286" s="11" t="inlineStr">
        <is>
          <t>PT - Part Time Waged</t>
        </is>
      </c>
      <c r="F286" s="11" t="inlineStr">
        <is>
          <t>Melbourne IVF Nurses Enterprise Agreement</t>
        </is>
      </c>
      <c r="G286" s="11" t="inlineStr">
        <is>
          <t>Victoria</t>
        </is>
      </c>
      <c r="H286" s="13" t="inlineStr">
        <is>
          <t>60.80</t>
        </is>
      </c>
      <c r="I286" s="11" t="inlineStr">
        <is>
          <t>MELBOURNE IVF</t>
        </is>
      </c>
      <c r="J286" s="11" t="n"/>
      <c r="K286" s="14" t="n">
        <v>97.59</v>
      </c>
      <c r="L286" s="13" t="inlineStr">
        <is>
          <t>97.59</t>
        </is>
      </c>
      <c r="M286" s="12" t="n">
        <v>45949</v>
      </c>
      <c r="N286" s="12" t="n">
        <v>45355</v>
      </c>
      <c r="O286" s="13" t="inlineStr"/>
      <c r="P286" s="13" t="inlineStr"/>
      <c r="Q286" s="12" t="n"/>
    </row>
    <row r="287" ht="52.8" customHeight="1">
      <c r="A287" s="15" t="inlineStr">
        <is>
          <t>AU23119</t>
        </is>
      </c>
      <c r="B287" s="16" t="n">
        <v>45362</v>
      </c>
      <c r="C287" s="15" t="inlineStr">
        <is>
          <t>Registered Nurse</t>
        </is>
      </c>
      <c r="D287" s="15" t="n"/>
      <c r="E287" s="15" t="inlineStr">
        <is>
          <t>PT - Part Time Waged</t>
        </is>
      </c>
      <c r="F287" s="15" t="inlineStr">
        <is>
          <t>TAS IVF Nurses Enterprise Agreement</t>
        </is>
      </c>
      <c r="G287" s="15" t="inlineStr">
        <is>
          <t>Tasmania</t>
        </is>
      </c>
      <c r="H287" s="17" t="inlineStr">
        <is>
          <t>56.00</t>
        </is>
      </c>
      <c r="I287" s="15" t="inlineStr">
        <is>
          <t>TAS IVF PTY LTD</t>
        </is>
      </c>
      <c r="J287" s="15" t="n"/>
      <c r="K287" s="18" t="n">
        <v>96.73</v>
      </c>
      <c r="L287" s="17" t="inlineStr">
        <is>
          <t>96.73</t>
        </is>
      </c>
      <c r="M287" s="16" t="n">
        <v>45949</v>
      </c>
      <c r="N287" s="16" t="n">
        <v>44662</v>
      </c>
      <c r="O287" s="17" t="inlineStr"/>
      <c r="P287" s="17" t="inlineStr"/>
      <c r="Q287" s="16" t="n"/>
    </row>
    <row r="288" ht="66" customHeight="1">
      <c r="A288" s="11" t="inlineStr">
        <is>
          <t>AU23128</t>
        </is>
      </c>
      <c r="B288" s="12" t="n">
        <v>45364</v>
      </c>
      <c r="C288" s="11" t="inlineStr">
        <is>
          <t>Embryologist</t>
        </is>
      </c>
      <c r="D288" s="11" t="n"/>
      <c r="E288" s="11" t="inlineStr">
        <is>
          <t>FP - Full Time Waged</t>
        </is>
      </c>
      <c r="F288" s="11" t="inlineStr">
        <is>
          <t>Melbourne IVF Medical Scientists Enterprise Agreement</t>
        </is>
      </c>
      <c r="G288" s="11" t="inlineStr">
        <is>
          <t>Victoria</t>
        </is>
      </c>
      <c r="H288" s="13" t="inlineStr">
        <is>
          <t>76.00</t>
        </is>
      </c>
      <c r="I288" s="11" t="inlineStr">
        <is>
          <t>MELBOURNE IVF</t>
        </is>
      </c>
      <c r="J288" s="11" t="n"/>
      <c r="K288" s="14" t="n">
        <v>165.3</v>
      </c>
      <c r="L288" s="13" t="inlineStr">
        <is>
          <t>165.30</t>
        </is>
      </c>
      <c r="M288" s="12" t="n">
        <v>45949</v>
      </c>
      <c r="N288" s="12" t="n">
        <v>44942</v>
      </c>
      <c r="O288" s="13" t="inlineStr"/>
      <c r="P288" s="13" t="inlineStr"/>
      <c r="Q288" s="12" t="n"/>
    </row>
    <row r="289" ht="66" customHeight="1">
      <c r="A289" s="15" t="inlineStr">
        <is>
          <t>AU23148</t>
        </is>
      </c>
      <c r="B289" s="16" t="n">
        <v>45386</v>
      </c>
      <c r="C289" s="15" t="inlineStr">
        <is>
          <t>Accounts Receivable Administrator</t>
        </is>
      </c>
      <c r="D289" s="15" t="n"/>
      <c r="E289" s="15" t="inlineStr">
        <is>
          <t>FP - Full Time Waged</t>
        </is>
      </c>
      <c r="F289" s="15" t="inlineStr">
        <is>
          <t>Melbourne IVF Support Services Enterprise Agreement</t>
        </is>
      </c>
      <c r="G289" s="15" t="inlineStr">
        <is>
          <t>Victoria</t>
        </is>
      </c>
      <c r="H289" s="17" t="inlineStr">
        <is>
          <t>76.00</t>
        </is>
      </c>
      <c r="I289" s="15" t="inlineStr">
        <is>
          <t>MELBOURNE IVF</t>
        </is>
      </c>
      <c r="J289" s="15" t="n"/>
      <c r="K289" s="18" t="n">
        <v>101.6</v>
      </c>
      <c r="L289" s="17" t="inlineStr">
        <is>
          <t>101.60</t>
        </is>
      </c>
      <c r="M289" s="16" t="n">
        <v>45949</v>
      </c>
      <c r="N289" s="16" t="n">
        <v>45386</v>
      </c>
      <c r="O289" s="17" t="inlineStr"/>
      <c r="P289" s="17" t="inlineStr"/>
      <c r="Q289" s="16" t="n"/>
    </row>
    <row r="290" ht="66" customHeight="1">
      <c r="A290" s="11" t="inlineStr">
        <is>
          <t>AU23189</t>
        </is>
      </c>
      <c r="B290" s="12" t="n">
        <v>45411</v>
      </c>
      <c r="C290" s="11" t="inlineStr">
        <is>
          <t>IVF Laboratory Team Leader</t>
        </is>
      </c>
      <c r="D290" s="11" t="n"/>
      <c r="E290" s="11" t="inlineStr">
        <is>
          <t>FP - Full Time Waged</t>
        </is>
      </c>
      <c r="F290" s="11" t="inlineStr">
        <is>
          <t>Melbourne IVF Support Services Enterprise Agreement</t>
        </is>
      </c>
      <c r="G290" s="11" t="inlineStr">
        <is>
          <t>Victoria</t>
        </is>
      </c>
      <c r="H290" s="13" t="inlineStr">
        <is>
          <t>76.00</t>
        </is>
      </c>
      <c r="I290" s="11" t="inlineStr">
        <is>
          <t>MELBOURNE IVF</t>
        </is>
      </c>
      <c r="J290" s="11" t="n"/>
      <c r="K290" s="14" t="n">
        <v>97.09</v>
      </c>
      <c r="L290" s="13" t="inlineStr">
        <is>
          <t>97.09</t>
        </is>
      </c>
      <c r="M290" s="12" t="n">
        <v>45949</v>
      </c>
      <c r="N290" s="12" t="n">
        <v>45411</v>
      </c>
      <c r="O290" s="13" t="inlineStr"/>
      <c r="P290" s="13" t="inlineStr"/>
      <c r="Q290" s="12" t="n"/>
    </row>
    <row r="291" ht="66" customHeight="1">
      <c r="A291" s="15" t="inlineStr">
        <is>
          <t>AU23207</t>
        </is>
      </c>
      <c r="B291" s="16" t="n">
        <v>45425</v>
      </c>
      <c r="C291" s="15" t="inlineStr">
        <is>
          <t>Embryologist</t>
        </is>
      </c>
      <c r="D291" s="15" t="n"/>
      <c r="E291" s="15" t="inlineStr">
        <is>
          <t>FP - Full Time Waged</t>
        </is>
      </c>
      <c r="F291" s="15" t="inlineStr">
        <is>
          <t>Melbourne IVF Medical Scientists Enterprise Agreement</t>
        </is>
      </c>
      <c r="G291" s="15" t="inlineStr">
        <is>
          <t>Victoria</t>
        </is>
      </c>
      <c r="H291" s="17" t="inlineStr">
        <is>
          <t>76.00</t>
        </is>
      </c>
      <c r="I291" s="15" t="inlineStr">
        <is>
          <t>MELBOURNE IVF</t>
        </is>
      </c>
      <c r="J291" s="15" t="n"/>
      <c r="K291" s="18" t="n">
        <v>94.56</v>
      </c>
      <c r="L291" s="17" t="inlineStr">
        <is>
          <t>94.56</t>
        </is>
      </c>
      <c r="M291" s="16" t="n">
        <v>45949</v>
      </c>
      <c r="N291" s="16" t="n">
        <v>45425</v>
      </c>
      <c r="O291" s="17" t="inlineStr"/>
      <c r="P291" s="17" t="inlineStr"/>
      <c r="Q291" s="16" t="n"/>
    </row>
    <row r="292" ht="66" customHeight="1">
      <c r="A292" s="11" t="inlineStr">
        <is>
          <t>AU23209</t>
        </is>
      </c>
      <c r="B292" s="12" t="n">
        <v>45418</v>
      </c>
      <c r="C292" s="11" t="inlineStr">
        <is>
          <t>Clinical Embryologist</t>
        </is>
      </c>
      <c r="D292" s="11" t="n"/>
      <c r="E292" s="11" t="inlineStr">
        <is>
          <t>FP - Full Time Waged</t>
        </is>
      </c>
      <c r="F292" s="11" t="inlineStr">
        <is>
          <t>Melbourne IVF Medical Scientists Enterprise Agreement</t>
        </is>
      </c>
      <c r="G292" s="11" t="inlineStr">
        <is>
          <t>Victoria</t>
        </is>
      </c>
      <c r="H292" s="13" t="inlineStr">
        <is>
          <t>76.00</t>
        </is>
      </c>
      <c r="I292" s="11" t="inlineStr">
        <is>
          <t>MELBOURNE IVF</t>
        </is>
      </c>
      <c r="J292" s="11" t="n"/>
      <c r="K292" s="14" t="n">
        <v>95.81999999999999</v>
      </c>
      <c r="L292" s="13" t="inlineStr">
        <is>
          <t>95.82</t>
        </is>
      </c>
      <c r="M292" s="12" t="n">
        <v>45949</v>
      </c>
      <c r="N292" s="12" t="n">
        <v>45418</v>
      </c>
      <c r="O292" s="13" t="inlineStr"/>
      <c r="P292" s="13" t="inlineStr"/>
      <c r="Q292" s="12" t="n"/>
    </row>
    <row r="293" ht="66" customHeight="1">
      <c r="A293" s="15" t="inlineStr">
        <is>
          <t>AU23225</t>
        </is>
      </c>
      <c r="B293" s="16" t="n">
        <v>45446</v>
      </c>
      <c r="C293" s="15" t="inlineStr">
        <is>
          <t>Senior PGT Scientist</t>
        </is>
      </c>
      <c r="D293" s="15" t="n"/>
      <c r="E293" s="15" t="inlineStr">
        <is>
          <t>PT - Part Time Waged</t>
        </is>
      </c>
      <c r="F293" s="15" t="inlineStr">
        <is>
          <t>Melbourne IVF Medical Scientists Enterprise Agreement</t>
        </is>
      </c>
      <c r="G293" s="15" t="inlineStr">
        <is>
          <t>Victoria</t>
        </is>
      </c>
      <c r="H293" s="17" t="inlineStr">
        <is>
          <t>53.20</t>
        </is>
      </c>
      <c r="I293" s="15" t="inlineStr">
        <is>
          <t>MELBOURNE IVF</t>
        </is>
      </c>
      <c r="J293" s="15" t="n"/>
      <c r="K293" s="18" t="n">
        <v>41.78</v>
      </c>
      <c r="L293" s="17" t="inlineStr">
        <is>
          <t>41.78</t>
        </is>
      </c>
      <c r="M293" s="16" t="n">
        <v>45949</v>
      </c>
      <c r="N293" s="16" t="n">
        <v>45446</v>
      </c>
      <c r="O293" s="17" t="inlineStr"/>
      <c r="P293" s="17" t="inlineStr"/>
      <c r="Q293" s="16" t="n"/>
    </row>
    <row r="294" ht="66" customHeight="1">
      <c r="A294" s="11" t="inlineStr">
        <is>
          <t>AU23247</t>
        </is>
      </c>
      <c r="B294" s="12" t="n">
        <v>45454</v>
      </c>
      <c r="C294" s="11" t="inlineStr">
        <is>
          <t>Donor And Surrogacy Program Administrator</t>
        </is>
      </c>
      <c r="D294" s="11" t="n"/>
      <c r="E294" s="11" t="inlineStr">
        <is>
          <t>FP - Full Time Waged</t>
        </is>
      </c>
      <c r="F294" s="11" t="inlineStr">
        <is>
          <t>Melbourne IVF Support Services Enterprise Agreement</t>
        </is>
      </c>
      <c r="G294" s="11" t="inlineStr">
        <is>
          <t>Victoria</t>
        </is>
      </c>
      <c r="H294" s="13" t="inlineStr">
        <is>
          <t>76.00</t>
        </is>
      </c>
      <c r="I294" s="11" t="inlineStr">
        <is>
          <t>MELBOURNE IVF</t>
        </is>
      </c>
      <c r="J294" s="11" t="n"/>
      <c r="K294" s="14" t="n">
        <v>89.33</v>
      </c>
      <c r="L294" s="13" t="inlineStr">
        <is>
          <t>89.33</t>
        </is>
      </c>
      <c r="M294" s="12" t="n">
        <v>45949</v>
      </c>
      <c r="N294" s="12" t="n">
        <v>45454</v>
      </c>
      <c r="O294" s="13" t="inlineStr"/>
      <c r="P294" s="13" t="inlineStr"/>
      <c r="Q294" s="12" t="n"/>
    </row>
    <row r="295" ht="66" customHeight="1">
      <c r="A295" s="15" t="inlineStr">
        <is>
          <t>AU23244</t>
        </is>
      </c>
      <c r="B295" s="16" t="n">
        <v>45474</v>
      </c>
      <c r="C295" s="15" t="inlineStr">
        <is>
          <t>Medical Secretary</t>
        </is>
      </c>
      <c r="D295" s="15" t="n"/>
      <c r="E295" s="15" t="inlineStr">
        <is>
          <t>FP - Full Time Waged</t>
        </is>
      </c>
      <c r="F295" s="15" t="inlineStr">
        <is>
          <t>Melbourne IVF Support Services Enterprise Agreement</t>
        </is>
      </c>
      <c r="G295" s="15" t="inlineStr">
        <is>
          <t>Victoria</t>
        </is>
      </c>
      <c r="H295" s="17" t="inlineStr">
        <is>
          <t>76.00</t>
        </is>
      </c>
      <c r="I295" s="15" t="inlineStr">
        <is>
          <t>MELBOURNE IVF</t>
        </is>
      </c>
      <c r="J295" s="15" t="n"/>
      <c r="K295" s="18" t="n">
        <v>85.72</v>
      </c>
      <c r="L295" s="17" t="inlineStr">
        <is>
          <t>85.72</t>
        </is>
      </c>
      <c r="M295" s="16" t="n">
        <v>45949</v>
      </c>
      <c r="N295" s="16" t="n">
        <v>45474</v>
      </c>
      <c r="O295" s="17" t="inlineStr"/>
      <c r="P295" s="17" t="inlineStr"/>
      <c r="Q295" s="16" t="n"/>
    </row>
    <row r="296" ht="52.8" customHeight="1">
      <c r="A296" s="11" t="inlineStr">
        <is>
          <t>AU23255</t>
        </is>
      </c>
      <c r="B296" s="12" t="n">
        <v>45474</v>
      </c>
      <c r="C296" s="11" t="inlineStr">
        <is>
          <t>Fertility Registered Nurse</t>
        </is>
      </c>
      <c r="D296" s="11" t="n"/>
      <c r="E296" s="11" t="inlineStr">
        <is>
          <t>FP - Full Time Waged</t>
        </is>
      </c>
      <c r="F296" s="11" t="inlineStr">
        <is>
          <t>Melbourne IVF Nurses Enterprise Agreement</t>
        </is>
      </c>
      <c r="G296" s="11" t="inlineStr">
        <is>
          <t>Victoria</t>
        </is>
      </c>
      <c r="H296" s="13" t="inlineStr">
        <is>
          <t>76.00</t>
        </is>
      </c>
      <c r="I296" s="11" t="inlineStr">
        <is>
          <t>MELBOURNE IVF</t>
        </is>
      </c>
      <c r="J296" s="11" t="n"/>
      <c r="K296" s="14" t="n">
        <v>85.72</v>
      </c>
      <c r="L296" s="13" t="inlineStr">
        <is>
          <t>85.72</t>
        </is>
      </c>
      <c r="M296" s="12" t="n">
        <v>45949</v>
      </c>
      <c r="N296" s="12" t="n">
        <v>45474</v>
      </c>
      <c r="O296" s="13" t="inlineStr"/>
      <c r="P296" s="13" t="inlineStr"/>
      <c r="Q296" s="12" t="n"/>
    </row>
    <row r="297" ht="66" customHeight="1">
      <c r="A297" s="15" t="inlineStr">
        <is>
          <t>AU23260</t>
        </is>
      </c>
      <c r="B297" s="16" t="n">
        <v>45454</v>
      </c>
      <c r="C297" s="15" t="inlineStr">
        <is>
          <t>Receptionist</t>
        </is>
      </c>
      <c r="D297" s="15" t="n"/>
      <c r="E297" s="15" t="inlineStr">
        <is>
          <t>PT - Part Time Waged</t>
        </is>
      </c>
      <c r="F297" s="15" t="inlineStr">
        <is>
          <t>Melbourne IVF Support Services Enterprise Agreement</t>
        </is>
      </c>
      <c r="G297" s="15" t="inlineStr">
        <is>
          <t>Victoria</t>
        </is>
      </c>
      <c r="H297" s="17" t="inlineStr">
        <is>
          <t>45.60</t>
        </is>
      </c>
      <c r="I297" s="15" t="inlineStr">
        <is>
          <t>MELBOURNE IVF</t>
        </is>
      </c>
      <c r="J297" s="15" t="n"/>
      <c r="K297" s="18" t="n">
        <v>83.26000000000001</v>
      </c>
      <c r="L297" s="17" t="inlineStr">
        <is>
          <t>83.26</t>
        </is>
      </c>
      <c r="M297" s="16" t="n">
        <v>45949</v>
      </c>
      <c r="N297" s="16" t="n">
        <v>45454</v>
      </c>
      <c r="O297" s="17" t="inlineStr"/>
      <c r="P297" s="17" t="inlineStr"/>
      <c r="Q297" s="16" t="n"/>
    </row>
    <row r="298" ht="52.8" customHeight="1">
      <c r="A298" s="11" t="inlineStr">
        <is>
          <t>AU23262</t>
        </is>
      </c>
      <c r="B298" s="12" t="n">
        <v>45474</v>
      </c>
      <c r="C298" s="11" t="inlineStr">
        <is>
          <t>Clinical Nurse Specialist</t>
        </is>
      </c>
      <c r="D298" s="11" t="n"/>
      <c r="E298" s="11" t="inlineStr">
        <is>
          <t>FP - Full Time Waged</t>
        </is>
      </c>
      <c r="F298" s="11" t="inlineStr">
        <is>
          <t>Melbourne IVF Nurses Enterprise Agreement</t>
        </is>
      </c>
      <c r="G298" s="11" t="inlineStr">
        <is>
          <t>Victoria</t>
        </is>
      </c>
      <c r="H298" s="13" t="inlineStr">
        <is>
          <t>76.00</t>
        </is>
      </c>
      <c r="I298" s="11" t="inlineStr">
        <is>
          <t>MELBOURNE IVF</t>
        </is>
      </c>
      <c r="J298" s="11" t="n"/>
      <c r="K298" s="14" t="n">
        <v>85.72</v>
      </c>
      <c r="L298" s="13" t="inlineStr">
        <is>
          <t>85.72</t>
        </is>
      </c>
      <c r="M298" s="12" t="n">
        <v>45949</v>
      </c>
      <c r="N298" s="12" t="n">
        <v>45474</v>
      </c>
      <c r="O298" s="13" t="inlineStr"/>
      <c r="P298" s="13" t="inlineStr"/>
      <c r="Q298" s="12" t="n"/>
    </row>
    <row r="299" ht="52.8" customHeight="1">
      <c r="A299" s="15" t="inlineStr">
        <is>
          <t>AU23267</t>
        </is>
      </c>
      <c r="B299" s="16" t="n">
        <v>45474</v>
      </c>
      <c r="C299" s="15" t="inlineStr">
        <is>
          <t>Operations Coordinator</t>
        </is>
      </c>
      <c r="D299" s="15" t="n"/>
      <c r="E299" s="15" t="inlineStr">
        <is>
          <t>PT - Part Time Salaried</t>
        </is>
      </c>
      <c r="F299" s="15" t="inlineStr">
        <is>
          <t>Common Law Employment Contract</t>
        </is>
      </c>
      <c r="G299" s="15" t="inlineStr">
        <is>
          <t>Victoria</t>
        </is>
      </c>
      <c r="H299" s="17" t="inlineStr">
        <is>
          <t>68.40</t>
        </is>
      </c>
      <c r="I299" s="15" t="inlineStr">
        <is>
          <t>MELBOURNE IVF</t>
        </is>
      </c>
      <c r="J299" s="15" t="n"/>
      <c r="K299" s="18" t="n">
        <v>38.57</v>
      </c>
      <c r="L299" s="17" t="inlineStr">
        <is>
          <t>38.57</t>
        </is>
      </c>
      <c r="M299" s="16" t="n">
        <v>45949</v>
      </c>
      <c r="N299" s="16" t="n">
        <v>45474</v>
      </c>
      <c r="O299" s="17" t="inlineStr"/>
      <c r="P299" s="17" t="inlineStr"/>
      <c r="Q299" s="16" t="n"/>
    </row>
    <row r="300" ht="52.8" customHeight="1">
      <c r="A300" s="11" t="inlineStr">
        <is>
          <t>AU23274</t>
        </is>
      </c>
      <c r="B300" s="12" t="n">
        <v>45474</v>
      </c>
      <c r="C300" s="11" t="inlineStr">
        <is>
          <t>Associate Nurse Unit Manager</t>
        </is>
      </c>
      <c r="D300" s="11" t="n"/>
      <c r="E300" s="11" t="inlineStr">
        <is>
          <t>FP - Full Time Waged</t>
        </is>
      </c>
      <c r="F300" s="11" t="inlineStr">
        <is>
          <t>Melbourne IVF Nurses Enterprise Agreement</t>
        </is>
      </c>
      <c r="G300" s="11" t="inlineStr">
        <is>
          <t>Victoria</t>
        </is>
      </c>
      <c r="H300" s="13" t="inlineStr">
        <is>
          <t>76.00</t>
        </is>
      </c>
      <c r="I300" s="11" t="inlineStr">
        <is>
          <t>MELBOURNE IVF</t>
        </is>
      </c>
      <c r="J300" s="11" t="n"/>
      <c r="K300" s="14" t="n">
        <v>85.72</v>
      </c>
      <c r="L300" s="13" t="inlineStr">
        <is>
          <t>85.72</t>
        </is>
      </c>
      <c r="M300" s="12" t="n">
        <v>45949</v>
      </c>
      <c r="N300" s="12" t="n">
        <v>45474</v>
      </c>
      <c r="O300" s="13" t="inlineStr"/>
      <c r="P300" s="13" t="inlineStr"/>
      <c r="Q300" s="12" t="n"/>
    </row>
    <row r="301" ht="52.8" customHeight="1">
      <c r="A301" s="15" t="inlineStr">
        <is>
          <t>AU23278</t>
        </is>
      </c>
      <c r="B301" s="16" t="n">
        <v>45488</v>
      </c>
      <c r="C301" s="15" t="inlineStr">
        <is>
          <t>Registered Nurse</t>
        </is>
      </c>
      <c r="D301" s="15" t="n"/>
      <c r="E301" s="15" t="inlineStr">
        <is>
          <t>FP - Full Time Waged</t>
        </is>
      </c>
      <c r="F301" s="15" t="inlineStr">
        <is>
          <t>Melbourne IVF Nurses Enterprise Agreement</t>
        </is>
      </c>
      <c r="G301" s="15" t="inlineStr">
        <is>
          <t>Victoria</t>
        </is>
      </c>
      <c r="H301" s="17" t="inlineStr">
        <is>
          <t>76.00</t>
        </is>
      </c>
      <c r="I301" s="15" t="inlineStr">
        <is>
          <t>MELBOURNE IVF</t>
        </is>
      </c>
      <c r="J301" s="15" t="n"/>
      <c r="K301" s="18" t="n">
        <v>83.19</v>
      </c>
      <c r="L301" s="17" t="inlineStr">
        <is>
          <t>83.19</t>
        </is>
      </c>
      <c r="M301" s="16" t="n">
        <v>45949</v>
      </c>
      <c r="N301" s="16" t="n">
        <v>45488</v>
      </c>
      <c r="O301" s="17" t="inlineStr"/>
      <c r="P301" s="17" t="inlineStr"/>
      <c r="Q301" s="16" t="n"/>
    </row>
    <row r="302" ht="66" customHeight="1">
      <c r="A302" s="11" t="inlineStr">
        <is>
          <t>AU23284</t>
        </is>
      </c>
      <c r="B302" s="12" t="n">
        <v>45481</v>
      </c>
      <c r="C302" s="11" t="inlineStr">
        <is>
          <t>IVF Laboratory Administrator</t>
        </is>
      </c>
      <c r="D302" s="11" t="n"/>
      <c r="E302" s="11" t="inlineStr">
        <is>
          <t>PT - Part Time Waged</t>
        </is>
      </c>
      <c r="F302" s="11" t="inlineStr">
        <is>
          <t>Melbourne IVF Support Services Enterprise Agreement</t>
        </is>
      </c>
      <c r="G302" s="11" t="inlineStr">
        <is>
          <t>Victoria</t>
        </is>
      </c>
      <c r="H302" s="13" t="inlineStr">
        <is>
          <t>60.80</t>
        </is>
      </c>
      <c r="I302" s="11" t="inlineStr">
        <is>
          <t>MELBOURNE IVF</t>
        </is>
      </c>
      <c r="J302" s="11" t="n"/>
      <c r="K302" s="14" t="n">
        <v>67.56</v>
      </c>
      <c r="L302" s="13" t="inlineStr">
        <is>
          <t>67.56</t>
        </is>
      </c>
      <c r="M302" s="12" t="n">
        <v>45949</v>
      </c>
      <c r="N302" s="12" t="n">
        <v>45481</v>
      </c>
      <c r="O302" s="13" t="inlineStr"/>
      <c r="P302" s="13" t="inlineStr"/>
      <c r="Q302" s="12" t="n"/>
    </row>
    <row r="303" ht="66" customHeight="1">
      <c r="A303" s="15" t="inlineStr">
        <is>
          <t>AU23294</t>
        </is>
      </c>
      <c r="B303" s="16" t="n">
        <v>45495</v>
      </c>
      <c r="C303" s="15" t="inlineStr">
        <is>
          <t>Patient Liaison Administrator</t>
        </is>
      </c>
      <c r="D303" s="15" t="n"/>
      <c r="E303" s="15" t="inlineStr">
        <is>
          <t>FP - Full Time Waged</t>
        </is>
      </c>
      <c r="F303" s="15" t="inlineStr">
        <is>
          <t>TAS IVF Support Services Enterprise Agreement</t>
        </is>
      </c>
      <c r="G303" s="15" t="inlineStr">
        <is>
          <t>Tasmania</t>
        </is>
      </c>
      <c r="H303" s="17" t="inlineStr">
        <is>
          <t>75.00</t>
        </is>
      </c>
      <c r="I303" s="15" t="inlineStr">
        <is>
          <t>TAS IVF PTY LTD</t>
        </is>
      </c>
      <c r="J303" s="15" t="n"/>
      <c r="K303" s="18" t="n">
        <v>39.21</v>
      </c>
      <c r="L303" s="17" t="inlineStr">
        <is>
          <t>39.21</t>
        </is>
      </c>
      <c r="M303" s="16" t="n">
        <v>45949</v>
      </c>
      <c r="N303" s="16" t="n">
        <v>45495</v>
      </c>
      <c r="O303" s="17" t="inlineStr"/>
      <c r="P303" s="17" t="inlineStr"/>
      <c r="Q303" s="16" t="n"/>
    </row>
    <row r="304" ht="52.8" customHeight="1">
      <c r="A304" s="11" t="inlineStr">
        <is>
          <t>AU23299</t>
        </is>
      </c>
      <c r="B304" s="12" t="n">
        <v>45506</v>
      </c>
      <c r="C304" s="11" t="inlineStr">
        <is>
          <t>Embryologist/Andrologist</t>
        </is>
      </c>
      <c r="D304" s="11" t="n"/>
      <c r="E304" s="11" t="inlineStr">
        <is>
          <t>PT - Part Time Waged</t>
        </is>
      </c>
      <c r="F304" s="11" t="inlineStr">
        <is>
          <t>TAS IVF Scientists Enterprise Agreement</t>
        </is>
      </c>
      <c r="G304" s="11" t="inlineStr">
        <is>
          <t>Tasmania</t>
        </is>
      </c>
      <c r="H304" s="13" t="inlineStr">
        <is>
          <t>60.00</t>
        </is>
      </c>
      <c r="I304" s="11" t="inlineStr">
        <is>
          <t>TAS IVF PTY LTD</t>
        </is>
      </c>
      <c r="J304" s="11" t="n"/>
      <c r="K304" s="14" t="n">
        <v>31.56</v>
      </c>
      <c r="L304" s="13" t="inlineStr">
        <is>
          <t>31.56</t>
        </is>
      </c>
      <c r="M304" s="12" t="n">
        <v>45949</v>
      </c>
      <c r="N304" s="12" t="n">
        <v>45506</v>
      </c>
      <c r="O304" s="13" t="inlineStr"/>
      <c r="P304" s="13" t="inlineStr"/>
      <c r="Q304" s="12" t="n"/>
    </row>
    <row r="305" ht="52.8" customHeight="1">
      <c r="A305" s="15" t="inlineStr">
        <is>
          <t>AU23325</t>
        </is>
      </c>
      <c r="B305" s="16" t="n">
        <v>45530</v>
      </c>
      <c r="C305" s="15" t="inlineStr">
        <is>
          <t>Executive Assistant</t>
        </is>
      </c>
      <c r="D305" s="15" t="n"/>
      <c r="E305" s="15" t="inlineStr">
        <is>
          <t>FP - Full Time Salaried</t>
        </is>
      </c>
      <c r="F305" s="15" t="inlineStr">
        <is>
          <t>Common Law Employment Contract</t>
        </is>
      </c>
      <c r="G305" s="15" t="inlineStr">
        <is>
          <t>Victoria</t>
        </is>
      </c>
      <c r="H305" s="17" t="inlineStr">
        <is>
          <t>76.00</t>
        </is>
      </c>
      <c r="I305" s="15" t="inlineStr">
        <is>
          <t>MELBOURNE IVF</t>
        </is>
      </c>
      <c r="J305" s="15" t="n"/>
      <c r="K305" s="18" t="n">
        <v>37.81</v>
      </c>
      <c r="L305" s="17" t="inlineStr">
        <is>
          <t>37.81</t>
        </is>
      </c>
      <c r="M305" s="16" t="n">
        <v>45949</v>
      </c>
      <c r="N305" s="16" t="n">
        <v>45530</v>
      </c>
      <c r="O305" s="17" t="inlineStr"/>
      <c r="P305" s="17" t="inlineStr"/>
      <c r="Q305" s="16" t="n"/>
    </row>
    <row r="306" ht="52.8" customHeight="1">
      <c r="A306" s="11" t="inlineStr">
        <is>
          <t>AU23336</t>
        </is>
      </c>
      <c r="B306" s="12" t="n">
        <v>45551</v>
      </c>
      <c r="C306" s="11" t="inlineStr">
        <is>
          <t>Fertility Registered Nurse</t>
        </is>
      </c>
      <c r="D306" s="11" t="n"/>
      <c r="E306" s="11" t="inlineStr">
        <is>
          <t>PT - Part Time Waged</t>
        </is>
      </c>
      <c r="F306" s="11" t="inlineStr">
        <is>
          <t>Melbourne IVF Nurses Enterprise Agreement</t>
        </is>
      </c>
      <c r="G306" s="11" t="inlineStr">
        <is>
          <t>Victoria</t>
        </is>
      </c>
      <c r="H306" s="13" t="inlineStr">
        <is>
          <t>60.80</t>
        </is>
      </c>
      <c r="I306" s="11" t="inlineStr">
        <is>
          <t>MELBOURNE IVF</t>
        </is>
      </c>
      <c r="J306" s="11" t="n"/>
      <c r="K306" s="14" t="n">
        <v>57.46</v>
      </c>
      <c r="L306" s="13" t="inlineStr">
        <is>
          <t>57.46</t>
        </is>
      </c>
      <c r="M306" s="12" t="n">
        <v>45949</v>
      </c>
      <c r="N306" s="12" t="n">
        <v>45551</v>
      </c>
      <c r="O306" s="13" t="inlineStr"/>
      <c r="P306" s="13" t="inlineStr"/>
      <c r="Q306" s="12" t="n"/>
    </row>
    <row r="307" ht="52.8" customHeight="1">
      <c r="A307" s="15" t="inlineStr">
        <is>
          <t>AU23375</t>
        </is>
      </c>
      <c r="B307" s="16" t="n">
        <v>45544</v>
      </c>
      <c r="C307" s="15" t="inlineStr">
        <is>
          <t>Registered Nurse</t>
        </is>
      </c>
      <c r="D307" s="15" t="n"/>
      <c r="E307" s="15" t="inlineStr">
        <is>
          <t>PT - Part Time Waged</t>
        </is>
      </c>
      <c r="F307" s="15" t="inlineStr">
        <is>
          <t>Melbourne IVF Nurses Enterprise Agreement</t>
        </is>
      </c>
      <c r="G307" s="15" t="inlineStr">
        <is>
          <t>Victoria</t>
        </is>
      </c>
      <c r="H307" s="17" t="inlineStr">
        <is>
          <t>45.60</t>
        </is>
      </c>
      <c r="I307" s="15" t="inlineStr">
        <is>
          <t>MELBOURNE IVF</t>
        </is>
      </c>
      <c r="J307" s="15" t="n"/>
      <c r="K307" s="18" t="n">
        <v>43.85</v>
      </c>
      <c r="L307" s="17" t="inlineStr">
        <is>
          <t>43.85</t>
        </is>
      </c>
      <c r="M307" s="16" t="n">
        <v>45949</v>
      </c>
      <c r="N307" s="16" t="n">
        <v>44256</v>
      </c>
      <c r="O307" s="17" t="inlineStr"/>
      <c r="P307" s="17" t="inlineStr"/>
      <c r="Q307" s="16" t="n"/>
    </row>
    <row r="308" ht="66" customHeight="1">
      <c r="A308" s="11" t="inlineStr">
        <is>
          <t>AU23408</t>
        </is>
      </c>
      <c r="B308" s="12" t="n">
        <v>45586</v>
      </c>
      <c r="C308" s="11" t="inlineStr">
        <is>
          <t>Patient Care Co-ordinator</t>
        </is>
      </c>
      <c r="D308" s="11" t="n"/>
      <c r="E308" s="11" t="inlineStr">
        <is>
          <t>FP - Full Time Waged</t>
        </is>
      </c>
      <c r="F308" s="11" t="inlineStr">
        <is>
          <t>Melbourne IVF Support Services Enterprise Agreement</t>
        </is>
      </c>
      <c r="G308" s="11" t="inlineStr">
        <is>
          <t>Victoria</t>
        </is>
      </c>
      <c r="H308" s="13" t="inlineStr">
        <is>
          <t>76.00</t>
        </is>
      </c>
      <c r="I308" s="11" t="inlineStr">
        <is>
          <t>MELBOURNE IVF</t>
        </is>
      </c>
      <c r="J308" s="11" t="n"/>
      <c r="K308" s="14" t="n">
        <v>65.51000000000001</v>
      </c>
      <c r="L308" s="13" t="inlineStr">
        <is>
          <t>65.51</t>
        </is>
      </c>
      <c r="M308" s="12" t="n">
        <v>45949</v>
      </c>
      <c r="N308" s="12" t="n">
        <v>45586</v>
      </c>
      <c r="O308" s="13" t="inlineStr"/>
      <c r="P308" s="13" t="inlineStr"/>
      <c r="Q308" s="12" t="n"/>
    </row>
    <row r="309" ht="66" customHeight="1">
      <c r="A309" s="15" t="inlineStr">
        <is>
          <t>AU23414</t>
        </is>
      </c>
      <c r="B309" s="16" t="n">
        <v>45600</v>
      </c>
      <c r="C309" s="15" t="inlineStr">
        <is>
          <t>IVF Laboratory Administrator</t>
        </is>
      </c>
      <c r="D309" s="15" t="n"/>
      <c r="E309" s="15" t="inlineStr">
        <is>
          <t>FP - Full Time Waged</t>
        </is>
      </c>
      <c r="F309" s="15" t="inlineStr">
        <is>
          <t>Melbourne IVF Support Services Enterprise Agreement</t>
        </is>
      </c>
      <c r="G309" s="15" t="inlineStr">
        <is>
          <t>Victoria</t>
        </is>
      </c>
      <c r="H309" s="17" t="inlineStr">
        <is>
          <t>76.00</t>
        </is>
      </c>
      <c r="I309" s="15" t="inlineStr">
        <is>
          <t>MELBOURNE IVF</t>
        </is>
      </c>
      <c r="J309" s="15" t="n"/>
      <c r="K309" s="18" t="n">
        <v>62.98</v>
      </c>
      <c r="L309" s="17" t="inlineStr">
        <is>
          <t>62.98</t>
        </is>
      </c>
      <c r="M309" s="16" t="n">
        <v>45949</v>
      </c>
      <c r="N309" s="16" t="n">
        <v>45600</v>
      </c>
      <c r="O309" s="17" t="inlineStr"/>
      <c r="P309" s="17" t="inlineStr"/>
      <c r="Q309" s="16" t="n"/>
    </row>
    <row r="310" ht="52.8" customHeight="1">
      <c r="A310" s="11" t="inlineStr">
        <is>
          <t>AU23417</t>
        </is>
      </c>
      <c r="B310" s="12" t="n">
        <v>45614</v>
      </c>
      <c r="C310" s="11" t="inlineStr">
        <is>
          <t>Donor Registered Nurse</t>
        </is>
      </c>
      <c r="D310" s="11" t="n"/>
      <c r="E310" s="11" t="inlineStr">
        <is>
          <t>PT - Part Time Waged</t>
        </is>
      </c>
      <c r="F310" s="11" t="inlineStr">
        <is>
          <t>Melbourne IVF Nurses Enterprise Agreement</t>
        </is>
      </c>
      <c r="G310" s="11" t="inlineStr">
        <is>
          <t>Victoria</t>
        </is>
      </c>
      <c r="H310" s="13" t="inlineStr">
        <is>
          <t>68.40</t>
        </is>
      </c>
      <c r="I310" s="11" t="inlineStr">
        <is>
          <t>MELBOURNE IVF</t>
        </is>
      </c>
      <c r="J310" s="11" t="n"/>
      <c r="K310" s="14" t="n">
        <v>44.84</v>
      </c>
      <c r="L310" s="13" t="inlineStr">
        <is>
          <t>44.84</t>
        </is>
      </c>
      <c r="M310" s="12" t="n">
        <v>45949</v>
      </c>
      <c r="N310" s="12" t="n">
        <v>45614</v>
      </c>
      <c r="O310" s="13" t="inlineStr"/>
      <c r="P310" s="13" t="inlineStr"/>
      <c r="Q310" s="12" t="n"/>
    </row>
    <row r="311" ht="66" customHeight="1">
      <c r="A311" s="15" t="inlineStr">
        <is>
          <t>AU23423</t>
        </is>
      </c>
      <c r="B311" s="16" t="n">
        <v>45600</v>
      </c>
      <c r="C311" s="15" t="inlineStr">
        <is>
          <t>Clinical Embryologist</t>
        </is>
      </c>
      <c r="D311" s="15" t="n"/>
      <c r="E311" s="15" t="inlineStr">
        <is>
          <t>FP - Full Time Waged</t>
        </is>
      </c>
      <c r="F311" s="15" t="inlineStr">
        <is>
          <t>Melbourne IVF Medical Scientists Enterprise Agreement</t>
        </is>
      </c>
      <c r="G311" s="15" t="inlineStr">
        <is>
          <t>Tasmania</t>
        </is>
      </c>
      <c r="H311" s="17" t="inlineStr">
        <is>
          <t>76.00</t>
        </is>
      </c>
      <c r="I311" s="15" t="inlineStr">
        <is>
          <t>MELBOURNE IVF</t>
        </is>
      </c>
      <c r="J311" s="15" t="n"/>
      <c r="K311" s="18" t="n">
        <v>62.98</v>
      </c>
      <c r="L311" s="17" t="inlineStr">
        <is>
          <t>62.98</t>
        </is>
      </c>
      <c r="M311" s="16" t="n">
        <v>45949</v>
      </c>
      <c r="N311" s="16" t="n">
        <v>45600</v>
      </c>
      <c r="O311" s="17" t="inlineStr"/>
      <c r="P311" s="17" t="inlineStr"/>
      <c r="Q311" s="16" t="n"/>
    </row>
    <row r="312" ht="66" customHeight="1">
      <c r="A312" s="11" t="inlineStr">
        <is>
          <t>AU23426</t>
        </is>
      </c>
      <c r="B312" s="12" t="n">
        <v>45628</v>
      </c>
      <c r="C312" s="11" t="inlineStr">
        <is>
          <t>Andrology Scientist</t>
        </is>
      </c>
      <c r="D312" s="11" t="n"/>
      <c r="E312" s="11" t="inlineStr">
        <is>
          <t>CO - Contract</t>
        </is>
      </c>
      <c r="F312" s="11" t="inlineStr">
        <is>
          <t>Melbourne IVF Medical Scientists Enterprise Agreement</t>
        </is>
      </c>
      <c r="G312" s="11" t="inlineStr">
        <is>
          <t>Victoria</t>
        </is>
      </c>
      <c r="H312" s="13" t="inlineStr">
        <is>
          <t>76.00</t>
        </is>
      </c>
      <c r="I312" s="11" t="inlineStr">
        <is>
          <t>MELBOURNE IVF</t>
        </is>
      </c>
      <c r="J312" s="11" t="n"/>
      <c r="K312" s="14" t="n">
        <v>71.59</v>
      </c>
      <c r="L312" s="13" t="inlineStr">
        <is>
          <t>57.93</t>
        </is>
      </c>
      <c r="M312" s="12" t="n">
        <v>45949</v>
      </c>
      <c r="N312" s="12" t="n">
        <v>45446</v>
      </c>
      <c r="O312" s="13" t="inlineStr">
        <is>
          <t>13.66</t>
        </is>
      </c>
      <c r="P312" s="13" t="inlineStr"/>
      <c r="Q312" s="12" t="n"/>
    </row>
    <row r="313" ht="66" customHeight="1">
      <c r="A313" s="15" t="inlineStr">
        <is>
          <t>AU23430</t>
        </is>
      </c>
      <c r="B313" s="16" t="n">
        <v>45602</v>
      </c>
      <c r="C313" s="15" t="inlineStr">
        <is>
          <t>Patient Care Co-ordinator</t>
        </is>
      </c>
      <c r="D313" s="15" t="n"/>
      <c r="E313" s="15" t="inlineStr">
        <is>
          <t>PT - Part Time Waged</t>
        </is>
      </c>
      <c r="F313" s="15" t="inlineStr">
        <is>
          <t>Melbourne IVF Support Services Enterprise Agreement</t>
        </is>
      </c>
      <c r="G313" s="15" t="inlineStr">
        <is>
          <t>Victoria</t>
        </is>
      </c>
      <c r="H313" s="17" t="inlineStr">
        <is>
          <t>30.40</t>
        </is>
      </c>
      <c r="I313" s="15" t="inlineStr">
        <is>
          <t>MELBOURNE IVF</t>
        </is>
      </c>
      <c r="J313" s="15" t="n"/>
      <c r="K313" s="18" t="n">
        <v>25.05</v>
      </c>
      <c r="L313" s="17" t="inlineStr">
        <is>
          <t>25.05</t>
        </is>
      </c>
      <c r="M313" s="16" t="n">
        <v>45949</v>
      </c>
      <c r="N313" s="16" t="n">
        <v>45602</v>
      </c>
      <c r="O313" s="17" t="inlineStr"/>
      <c r="P313" s="17" t="inlineStr"/>
      <c r="Q313" s="16" t="n"/>
    </row>
    <row r="314" ht="66" customHeight="1">
      <c r="A314" s="11" t="inlineStr">
        <is>
          <t>AU23440</t>
        </is>
      </c>
      <c r="B314" s="12" t="n">
        <v>45621</v>
      </c>
      <c r="C314" s="11" t="inlineStr">
        <is>
          <t>Clinical Administrator</t>
        </is>
      </c>
      <c r="D314" s="11" t="n"/>
      <c r="E314" s="11" t="inlineStr">
        <is>
          <t>FP - Full Time Waged</t>
        </is>
      </c>
      <c r="F314" s="11" t="inlineStr">
        <is>
          <t>Melbourne IVF Support Services Enterprise Agreement</t>
        </is>
      </c>
      <c r="G314" s="11" t="inlineStr">
        <is>
          <t>Victoria</t>
        </is>
      </c>
      <c r="H314" s="13" t="inlineStr">
        <is>
          <t>76.00</t>
        </is>
      </c>
      <c r="I314" s="11" t="inlineStr">
        <is>
          <t>MELBOURNE IVF</t>
        </is>
      </c>
      <c r="J314" s="11" t="n"/>
      <c r="K314" s="14" t="n">
        <v>47.64</v>
      </c>
      <c r="L314" s="13" t="inlineStr">
        <is>
          <t>47.64</t>
        </is>
      </c>
      <c r="M314" s="12" t="n">
        <v>45949</v>
      </c>
      <c r="N314" s="12" t="n">
        <v>45621</v>
      </c>
      <c r="O314" s="13" t="inlineStr"/>
      <c r="P314" s="13" t="inlineStr"/>
      <c r="Q314" s="12" t="n"/>
    </row>
    <row r="315" ht="66" customHeight="1">
      <c r="A315" s="15" t="inlineStr">
        <is>
          <t>AU23456</t>
        </is>
      </c>
      <c r="B315" s="16" t="n">
        <v>45635</v>
      </c>
      <c r="C315" s="15" t="inlineStr">
        <is>
          <t>New Patient Care Consultant</t>
        </is>
      </c>
      <c r="D315" s="15" t="n"/>
      <c r="E315" s="15" t="inlineStr">
        <is>
          <t>PT - Part Time Waged</t>
        </is>
      </c>
      <c r="F315" s="15" t="inlineStr">
        <is>
          <t>Melbourne IVF Support Services Enterprise Agreement</t>
        </is>
      </c>
      <c r="G315" s="15" t="inlineStr">
        <is>
          <t>Victoria</t>
        </is>
      </c>
      <c r="H315" s="17" t="inlineStr">
        <is>
          <t>45.60</t>
        </is>
      </c>
      <c r="I315" s="15" t="inlineStr">
        <is>
          <t>MELBOURNE IVF</t>
        </is>
      </c>
      <c r="J315" s="15" t="n"/>
      <c r="K315" s="18" t="n">
        <v>34</v>
      </c>
      <c r="L315" s="17" t="inlineStr">
        <is>
          <t>34.00</t>
        </is>
      </c>
      <c r="M315" s="16" t="n">
        <v>45949</v>
      </c>
      <c r="N315" s="16" t="n">
        <v>45635</v>
      </c>
      <c r="O315" s="17" t="inlineStr"/>
      <c r="P315" s="17" t="inlineStr"/>
      <c r="Q315" s="16" t="n"/>
    </row>
    <row r="316" ht="52.8" customHeight="1">
      <c r="A316" s="11" t="inlineStr">
        <is>
          <t>AU23457</t>
        </is>
      </c>
      <c r="B316" s="12" t="n">
        <v>45621</v>
      </c>
      <c r="C316" s="11" t="inlineStr">
        <is>
          <t>Embryologist/Andrologist</t>
        </is>
      </c>
      <c r="D316" s="11" t="n"/>
      <c r="E316" s="11" t="inlineStr">
        <is>
          <t>FP - Full Time Waged</t>
        </is>
      </c>
      <c r="F316" s="11" t="inlineStr">
        <is>
          <t>TAS IVF Scientists Enterprise Agreement</t>
        </is>
      </c>
      <c r="G316" s="11" t="inlineStr">
        <is>
          <t>Tasmania</t>
        </is>
      </c>
      <c r="H316" s="13" t="inlineStr">
        <is>
          <t>75.00</t>
        </is>
      </c>
      <c r="I316" s="11" t="inlineStr">
        <is>
          <t>TAS IVF PTY LTD</t>
        </is>
      </c>
      <c r="J316" s="11" t="n"/>
      <c r="K316" s="14" t="n">
        <v>24.11</v>
      </c>
      <c r="L316" s="13" t="inlineStr">
        <is>
          <t>24.11</t>
        </is>
      </c>
      <c r="M316" s="12" t="n">
        <v>45949</v>
      </c>
      <c r="N316" s="12" t="n">
        <v>45621</v>
      </c>
      <c r="O316" s="13" t="inlineStr"/>
      <c r="P316" s="13" t="inlineStr"/>
      <c r="Q316" s="12" t="n"/>
    </row>
    <row r="317" ht="66" customHeight="1">
      <c r="A317" s="15" t="inlineStr">
        <is>
          <t>AU23481</t>
        </is>
      </c>
      <c r="B317" s="16" t="n">
        <v>45698</v>
      </c>
      <c r="C317" s="15" t="inlineStr">
        <is>
          <t>Counsellor</t>
        </is>
      </c>
      <c r="D317" s="15" t="n"/>
      <c r="E317" s="15" t="inlineStr">
        <is>
          <t>PT - Part Time Waged</t>
        </is>
      </c>
      <c r="F317" s="15" t="inlineStr">
        <is>
          <t>Melbourne IVF Counselling Enterprise Agreement</t>
        </is>
      </c>
      <c r="G317" s="15" t="inlineStr">
        <is>
          <t>Victoria</t>
        </is>
      </c>
      <c r="H317" s="17" t="inlineStr">
        <is>
          <t>45.60</t>
        </is>
      </c>
      <c r="I317" s="15" t="inlineStr">
        <is>
          <t>MELBOURNE IVF</t>
        </is>
      </c>
      <c r="J317" s="15" t="n"/>
      <c r="K317" s="18" t="n">
        <v>27.18</v>
      </c>
      <c r="L317" s="17" t="inlineStr">
        <is>
          <t>27.18</t>
        </is>
      </c>
      <c r="M317" s="16" t="n">
        <v>45949</v>
      </c>
      <c r="N317" s="16" t="n">
        <v>45698</v>
      </c>
      <c r="O317" s="17" t="inlineStr"/>
      <c r="P317" s="17" t="inlineStr"/>
      <c r="Q317" s="16" t="n"/>
    </row>
    <row r="318" ht="66" customHeight="1">
      <c r="A318" s="11" t="inlineStr">
        <is>
          <t>AU23514</t>
        </is>
      </c>
      <c r="B318" s="12" t="n">
        <v>45698</v>
      </c>
      <c r="C318" s="11" t="inlineStr">
        <is>
          <t>Patient Liaison Administrator</t>
        </is>
      </c>
      <c r="D318" s="11" t="n"/>
      <c r="E318" s="11" t="inlineStr">
        <is>
          <t>CO - Contract</t>
        </is>
      </c>
      <c r="F318" s="11" t="inlineStr">
        <is>
          <t>TAS IVF Support Services Enterprise Agreement</t>
        </is>
      </c>
      <c r="G318" s="11" t="inlineStr">
        <is>
          <t>Tasmania</t>
        </is>
      </c>
      <c r="H318" s="13" t="inlineStr">
        <is>
          <t>45.00</t>
        </is>
      </c>
      <c r="I318" s="11" t="inlineStr">
        <is>
          <t>TAS IVF PTY LTD</t>
        </is>
      </c>
      <c r="J318" s="11" t="n"/>
      <c r="K318" s="14" t="n">
        <v>13.41</v>
      </c>
      <c r="L318" s="13" t="inlineStr">
        <is>
          <t>13.41</t>
        </is>
      </c>
      <c r="M318" s="12" t="n">
        <v>45949</v>
      </c>
      <c r="N318" s="12" t="n">
        <v>45698</v>
      </c>
      <c r="O318" s="13" t="inlineStr"/>
      <c r="P318" s="13" t="inlineStr"/>
      <c r="Q318" s="12" t="n"/>
    </row>
    <row r="319" ht="66" customHeight="1">
      <c r="A319" s="15" t="inlineStr">
        <is>
          <t>AU23520</t>
        </is>
      </c>
      <c r="B319" s="16" t="n">
        <v>45698</v>
      </c>
      <c r="C319" s="15" t="inlineStr">
        <is>
          <t>Receptionist</t>
        </is>
      </c>
      <c r="D319" s="15" t="n"/>
      <c r="E319" s="15" t="inlineStr">
        <is>
          <t>PT - Part Time Waged</t>
        </is>
      </c>
      <c r="F319" s="15" t="inlineStr">
        <is>
          <t>Melbourne IVF Support Services Enterprise Agreement</t>
        </is>
      </c>
      <c r="G319" s="15" t="inlineStr">
        <is>
          <t>Victoria</t>
        </is>
      </c>
      <c r="H319" s="17" t="inlineStr">
        <is>
          <t>33.60</t>
        </is>
      </c>
      <c r="I319" s="15" t="inlineStr">
        <is>
          <t>MELBOURNE IVF</t>
        </is>
      </c>
      <c r="J319" s="15" t="n"/>
      <c r="K319" s="18" t="n">
        <v>20.02</v>
      </c>
      <c r="L319" s="17" t="inlineStr">
        <is>
          <t>20.02</t>
        </is>
      </c>
      <c r="M319" s="16" t="n">
        <v>45949</v>
      </c>
      <c r="N319" s="16" t="n">
        <v>45698</v>
      </c>
      <c r="O319" s="17" t="inlineStr"/>
      <c r="P319" s="17" t="inlineStr"/>
      <c r="Q319" s="16" t="n"/>
    </row>
    <row r="320" ht="52.8" customHeight="1">
      <c r="A320" s="11" t="inlineStr">
        <is>
          <t>AU23521</t>
        </is>
      </c>
      <c r="B320" s="12" t="n">
        <v>45712</v>
      </c>
      <c r="C320" s="11" t="inlineStr">
        <is>
          <t>Associate Nurse Unit Manager</t>
        </is>
      </c>
      <c r="D320" s="11" t="n"/>
      <c r="E320" s="11" t="inlineStr">
        <is>
          <t>PT - Part Time Waged</t>
        </is>
      </c>
      <c r="F320" s="11" t="inlineStr">
        <is>
          <t>Melbourne IVF Nurses Enterprise Agreement</t>
        </is>
      </c>
      <c r="G320" s="11" t="inlineStr">
        <is>
          <t>Victoria</t>
        </is>
      </c>
      <c r="H320" s="13" t="inlineStr">
        <is>
          <t>60.80</t>
        </is>
      </c>
      <c r="I320" s="11" t="inlineStr">
        <is>
          <t>MELBOURNE IVF</t>
        </is>
      </c>
      <c r="J320" s="11" t="n"/>
      <c r="K320" s="14" t="n">
        <v>34.21</v>
      </c>
      <c r="L320" s="13" t="inlineStr">
        <is>
          <t>34.21</t>
        </is>
      </c>
      <c r="M320" s="12" t="n">
        <v>45949</v>
      </c>
      <c r="N320" s="12" t="n">
        <v>45712</v>
      </c>
      <c r="O320" s="13" t="inlineStr"/>
      <c r="P320" s="13" t="inlineStr"/>
      <c r="Q320" s="12" t="n"/>
    </row>
    <row r="321" ht="52.8" customHeight="1">
      <c r="A321" s="15" t="inlineStr">
        <is>
          <t>AU23524</t>
        </is>
      </c>
      <c r="B321" s="16" t="n">
        <v>45735</v>
      </c>
      <c r="C321" s="15" t="inlineStr">
        <is>
          <t xml:space="preserve">Fertility Specialist </t>
        </is>
      </c>
      <c r="D321" s="15" t="n"/>
      <c r="E321" s="15" t="inlineStr">
        <is>
          <t>CO - Contract</t>
        </is>
      </c>
      <c r="F321" s="15" t="inlineStr">
        <is>
          <t>Common Law Employment Contract</t>
        </is>
      </c>
      <c r="G321" s="15" t="inlineStr">
        <is>
          <t>Victoria</t>
        </is>
      </c>
      <c r="H321" s="17" t="inlineStr">
        <is>
          <t>76.00</t>
        </is>
      </c>
      <c r="I321" s="15" t="inlineStr">
        <is>
          <t>MELBOURNE IVF</t>
        </is>
      </c>
      <c r="J321" s="15" t="n"/>
      <c r="K321" s="18" t="n">
        <v>20.48</v>
      </c>
      <c r="L321" s="17" t="inlineStr">
        <is>
          <t>20.48</t>
        </is>
      </c>
      <c r="M321" s="16" t="n">
        <v>45949</v>
      </c>
      <c r="N321" s="16" t="n">
        <v>45735</v>
      </c>
      <c r="O321" s="17" t="inlineStr"/>
      <c r="P321" s="17" t="inlineStr"/>
      <c r="Q321" s="16" t="n"/>
    </row>
    <row r="322" ht="52.8" customHeight="1">
      <c r="A322" s="11" t="inlineStr">
        <is>
          <t>AU23525</t>
        </is>
      </c>
      <c r="B322" s="12" t="n">
        <v>45712</v>
      </c>
      <c r="C322" s="11" t="inlineStr">
        <is>
          <t>Registered Nurse</t>
        </is>
      </c>
      <c r="D322" s="11" t="n"/>
      <c r="E322" s="11" t="inlineStr">
        <is>
          <t>PT - Part Time Waged</t>
        </is>
      </c>
      <c r="F322" s="11" t="inlineStr">
        <is>
          <t>Melbourne IVF Nurses Enterprise Agreement</t>
        </is>
      </c>
      <c r="G322" s="11" t="inlineStr">
        <is>
          <t>Victoria</t>
        </is>
      </c>
      <c r="H322" s="13" t="inlineStr">
        <is>
          <t>30.40</t>
        </is>
      </c>
      <c r="I322" s="11" t="inlineStr">
        <is>
          <t>MELBOURNE IVF</t>
        </is>
      </c>
      <c r="J322" s="11" t="n"/>
      <c r="K322" s="14" t="n">
        <v>17.11</v>
      </c>
      <c r="L322" s="13" t="inlineStr">
        <is>
          <t>17.11</t>
        </is>
      </c>
      <c r="M322" s="12" t="n">
        <v>45949</v>
      </c>
      <c r="N322" s="12" t="n">
        <v>45712</v>
      </c>
      <c r="O322" s="13" t="inlineStr"/>
      <c r="P322" s="13" t="inlineStr"/>
      <c r="Q322" s="12" t="n"/>
    </row>
    <row r="323" ht="52.8" customHeight="1">
      <c r="A323" s="15" t="inlineStr">
        <is>
          <t>AU23526</t>
        </is>
      </c>
      <c r="B323" s="16" t="n">
        <v>45712</v>
      </c>
      <c r="C323" s="15" t="inlineStr">
        <is>
          <t>Registered Nurse</t>
        </is>
      </c>
      <c r="D323" s="15" t="n"/>
      <c r="E323" s="15" t="inlineStr">
        <is>
          <t>FP - Full Time Waged</t>
        </is>
      </c>
      <c r="F323" s="15" t="inlineStr">
        <is>
          <t>Melbourne IVF Nurses Enterprise Agreement</t>
        </is>
      </c>
      <c r="G323" s="15" t="inlineStr">
        <is>
          <t>Victoria</t>
        </is>
      </c>
      <c r="H323" s="17" t="inlineStr">
        <is>
          <t>76.00</t>
        </is>
      </c>
      <c r="I323" s="15" t="inlineStr">
        <is>
          <t>MELBOURNE IVF</t>
        </is>
      </c>
      <c r="J323" s="15" t="n"/>
      <c r="K323" s="18" t="n">
        <v>42.77</v>
      </c>
      <c r="L323" s="17" t="inlineStr">
        <is>
          <t>42.77</t>
        </is>
      </c>
      <c r="M323" s="16" t="n">
        <v>45949</v>
      </c>
      <c r="N323" s="16" t="n">
        <v>45712</v>
      </c>
      <c r="O323" s="17" t="inlineStr"/>
      <c r="P323" s="17" t="inlineStr"/>
      <c r="Q323" s="16" t="n"/>
    </row>
    <row r="324" ht="52.8" customHeight="1">
      <c r="A324" s="11" t="inlineStr">
        <is>
          <t>AU23531</t>
        </is>
      </c>
      <c r="B324" s="12" t="n">
        <v>45712</v>
      </c>
      <c r="C324" s="11" t="inlineStr">
        <is>
          <t>Registered Nurse</t>
        </is>
      </c>
      <c r="D324" s="11" t="n"/>
      <c r="E324" s="11" t="inlineStr">
        <is>
          <t>FP - Full Time Waged</t>
        </is>
      </c>
      <c r="F324" s="11" t="inlineStr">
        <is>
          <t>Melbourne IVF Nurses Enterprise Agreement</t>
        </is>
      </c>
      <c r="G324" s="11" t="inlineStr">
        <is>
          <t>Victoria</t>
        </is>
      </c>
      <c r="H324" s="13" t="inlineStr">
        <is>
          <t>76.00</t>
        </is>
      </c>
      <c r="I324" s="11" t="inlineStr">
        <is>
          <t>MELBOURNE IVF</t>
        </is>
      </c>
      <c r="J324" s="11" t="n"/>
      <c r="K324" s="14" t="n">
        <v>42.77</v>
      </c>
      <c r="L324" s="13" t="inlineStr">
        <is>
          <t>42.77</t>
        </is>
      </c>
      <c r="M324" s="12" t="n">
        <v>45949</v>
      </c>
      <c r="N324" s="12" t="n">
        <v>45712</v>
      </c>
      <c r="O324" s="13" t="inlineStr"/>
      <c r="P324" s="13" t="inlineStr"/>
      <c r="Q324" s="12" t="n"/>
    </row>
    <row r="325" ht="66" customHeight="1">
      <c r="A325" s="15" t="inlineStr">
        <is>
          <t>AU23537</t>
        </is>
      </c>
      <c r="B325" s="16" t="n">
        <v>45727</v>
      </c>
      <c r="C325" s="15" t="inlineStr">
        <is>
          <t>Receptionist</t>
        </is>
      </c>
      <c r="D325" s="15" t="n"/>
      <c r="E325" s="15" t="inlineStr">
        <is>
          <t>FP - Full Time Waged</t>
        </is>
      </c>
      <c r="F325" s="15" t="inlineStr">
        <is>
          <t>Melbourne IVF Support Services Enterprise Agreement</t>
        </is>
      </c>
      <c r="G325" s="15" t="inlineStr">
        <is>
          <t>Victoria</t>
        </is>
      </c>
      <c r="H325" s="17" t="inlineStr">
        <is>
          <t>76.00</t>
        </is>
      </c>
      <c r="I325" s="15" t="inlineStr">
        <is>
          <t>MELBOURNE IVF</t>
        </is>
      </c>
      <c r="J325" s="15" t="n"/>
      <c r="K325" s="18" t="n">
        <v>40.06</v>
      </c>
      <c r="L325" s="17" t="inlineStr">
        <is>
          <t>40.06</t>
        </is>
      </c>
      <c r="M325" s="16" t="n">
        <v>45949</v>
      </c>
      <c r="N325" s="16" t="n">
        <v>45727</v>
      </c>
      <c r="O325" s="17" t="inlineStr"/>
      <c r="P325" s="17" t="inlineStr"/>
      <c r="Q325" s="16" t="n"/>
    </row>
    <row r="326" ht="66" customHeight="1">
      <c r="A326" s="11" t="inlineStr">
        <is>
          <t>AU23534</t>
        </is>
      </c>
      <c r="B326" s="12" t="n">
        <v>45733</v>
      </c>
      <c r="C326" s="11" t="inlineStr">
        <is>
          <t>Clinical Embryologist</t>
        </is>
      </c>
      <c r="D326" s="11" t="n"/>
      <c r="E326" s="11" t="inlineStr">
        <is>
          <t>FP - Full Time Waged</t>
        </is>
      </c>
      <c r="F326" s="11" t="inlineStr">
        <is>
          <t>Melbourne IVF Medical Scientists Enterprise Agreement</t>
        </is>
      </c>
      <c r="G326" s="11" t="inlineStr">
        <is>
          <t>Victoria</t>
        </is>
      </c>
      <c r="H326" s="13" t="inlineStr">
        <is>
          <t>76.00</t>
        </is>
      </c>
      <c r="I326" s="11" t="inlineStr">
        <is>
          <t>MELBOURNE IVF</t>
        </is>
      </c>
      <c r="J326" s="11" t="n"/>
      <c r="K326" s="14" t="n">
        <v>38.98</v>
      </c>
      <c r="L326" s="13" t="inlineStr">
        <is>
          <t>38.98</t>
        </is>
      </c>
      <c r="M326" s="12" t="n">
        <v>45949</v>
      </c>
      <c r="N326" s="12" t="n">
        <v>45733</v>
      </c>
      <c r="O326" s="13" t="inlineStr"/>
      <c r="P326" s="13" t="inlineStr"/>
      <c r="Q326" s="12" t="n"/>
    </row>
    <row r="327" ht="52.8" customHeight="1">
      <c r="A327" s="15" t="inlineStr">
        <is>
          <t>AU23542</t>
        </is>
      </c>
      <c r="B327" s="16" t="n">
        <v>45712</v>
      </c>
      <c r="C327" s="15" t="inlineStr">
        <is>
          <t>Registered Nurse</t>
        </is>
      </c>
      <c r="D327" s="15" t="n"/>
      <c r="E327" s="15" t="inlineStr">
        <is>
          <t>CO - Contract</t>
        </is>
      </c>
      <c r="F327" s="15" t="inlineStr">
        <is>
          <t>Melbourne IVF Nurses Enterprise Agreement</t>
        </is>
      </c>
      <c r="G327" s="15" t="inlineStr">
        <is>
          <t>Victoria</t>
        </is>
      </c>
      <c r="H327" s="17" t="inlineStr">
        <is>
          <t>76.00</t>
        </is>
      </c>
      <c r="I327" s="15" t="inlineStr">
        <is>
          <t>MELBOURNE IVF</t>
        </is>
      </c>
      <c r="J327" s="15" t="n"/>
      <c r="K327" s="18" t="n">
        <v>42.77</v>
      </c>
      <c r="L327" s="17" t="inlineStr">
        <is>
          <t>42.77</t>
        </is>
      </c>
      <c r="M327" s="16" t="n">
        <v>45949</v>
      </c>
      <c r="N327" s="16" t="n">
        <v>45712</v>
      </c>
      <c r="O327" s="17" t="inlineStr"/>
      <c r="P327" s="17" t="inlineStr"/>
      <c r="Q327" s="16" t="n"/>
    </row>
    <row r="328" ht="52.8" customHeight="1">
      <c r="A328" s="11" t="inlineStr">
        <is>
          <t>AU23523</t>
        </is>
      </c>
      <c r="B328" s="12" t="n">
        <v>45712</v>
      </c>
      <c r="C328" s="11" t="inlineStr">
        <is>
          <t>Registered Nurse</t>
        </is>
      </c>
      <c r="D328" s="11" t="n"/>
      <c r="E328" s="11" t="inlineStr">
        <is>
          <t>FP - Full Time Waged</t>
        </is>
      </c>
      <c r="F328" s="11" t="inlineStr">
        <is>
          <t>Melbourne IVF Nurses Enterprise Agreement</t>
        </is>
      </c>
      <c r="G328" s="11" t="inlineStr">
        <is>
          <t>Victoria</t>
        </is>
      </c>
      <c r="H328" s="13" t="inlineStr">
        <is>
          <t>76.00</t>
        </is>
      </c>
      <c r="I328" s="11" t="inlineStr">
        <is>
          <t>MELBOURNE IVF</t>
        </is>
      </c>
      <c r="J328" s="11" t="n"/>
      <c r="K328" s="14" t="n">
        <v>42.77</v>
      </c>
      <c r="L328" s="13" t="inlineStr">
        <is>
          <t>42.77</t>
        </is>
      </c>
      <c r="M328" s="12" t="n">
        <v>45949</v>
      </c>
      <c r="N328" s="12" t="n">
        <v>45712</v>
      </c>
      <c r="O328" s="13" t="inlineStr"/>
      <c r="P328" s="13" t="inlineStr"/>
      <c r="Q328" s="12" t="n"/>
    </row>
    <row r="329" ht="66" customHeight="1">
      <c r="A329" s="15" t="inlineStr">
        <is>
          <t>AU23544</t>
        </is>
      </c>
      <c r="B329" s="16" t="n">
        <v>45727</v>
      </c>
      <c r="C329" s="15" t="inlineStr">
        <is>
          <t>Donor Administrator</t>
        </is>
      </c>
      <c r="D329" s="15" t="n"/>
      <c r="E329" s="15" t="inlineStr">
        <is>
          <t>CO - Contract</t>
        </is>
      </c>
      <c r="F329" s="15" t="inlineStr">
        <is>
          <t>Melbourne IVF Support Services Enterprise Agreement</t>
        </is>
      </c>
      <c r="G329" s="15" t="inlineStr">
        <is>
          <t>Victoria</t>
        </is>
      </c>
      <c r="H329" s="17" t="inlineStr">
        <is>
          <t>76.00</t>
        </is>
      </c>
      <c r="I329" s="15" t="inlineStr">
        <is>
          <t>MELBOURNE IVF</t>
        </is>
      </c>
      <c r="J329" s="15" t="n"/>
      <c r="K329" s="18" t="n">
        <v>40.06</v>
      </c>
      <c r="L329" s="17" t="inlineStr">
        <is>
          <t>40.06</t>
        </is>
      </c>
      <c r="M329" s="16" t="n">
        <v>45949</v>
      </c>
      <c r="N329" s="16" t="n">
        <v>45727</v>
      </c>
      <c r="O329" s="17" t="inlineStr"/>
      <c r="P329" s="17" t="inlineStr"/>
      <c r="Q329" s="16" t="n"/>
    </row>
    <row r="330" ht="52.8" customHeight="1">
      <c r="A330" s="11" t="inlineStr">
        <is>
          <t>AU23551</t>
        </is>
      </c>
      <c r="B330" s="12" t="n">
        <v>45726</v>
      </c>
      <c r="C330" s="11" t="inlineStr">
        <is>
          <t>Commercial Manager</t>
        </is>
      </c>
      <c r="D330" s="11" t="n"/>
      <c r="E330" s="11" t="inlineStr">
        <is>
          <t>FP - Full Time Salaried</t>
        </is>
      </c>
      <c r="F330" s="11" t="inlineStr">
        <is>
          <t>Common Law Employment Contract</t>
        </is>
      </c>
      <c r="G330" s="11" t="inlineStr">
        <is>
          <t>Victoria</t>
        </is>
      </c>
      <c r="H330" s="13" t="inlineStr">
        <is>
          <t>76.00</t>
        </is>
      </c>
      <c r="I330" s="11" t="inlineStr">
        <is>
          <t>MELBOURNE IVF</t>
        </is>
      </c>
      <c r="J330" s="11" t="n"/>
      <c r="K330" s="14" t="n">
        <v>20.12</v>
      </c>
      <c r="L330" s="13" t="inlineStr">
        <is>
          <t>20.12</t>
        </is>
      </c>
      <c r="M330" s="12" t="n">
        <v>45949</v>
      </c>
      <c r="N330" s="12" t="n">
        <v>45726</v>
      </c>
      <c r="O330" s="13" t="inlineStr"/>
      <c r="P330" s="13" t="inlineStr"/>
      <c r="Q330" s="12" t="n"/>
    </row>
    <row r="331" ht="66" customHeight="1">
      <c r="A331" s="15" t="inlineStr">
        <is>
          <t>AU23554</t>
        </is>
      </c>
      <c r="B331" s="16" t="n">
        <v>45747</v>
      </c>
      <c r="C331" s="15" t="inlineStr">
        <is>
          <t>Clinical Embryologist</t>
        </is>
      </c>
      <c r="D331" s="15" t="n"/>
      <c r="E331" s="15" t="inlineStr">
        <is>
          <t>FP - Full Time Waged</t>
        </is>
      </c>
      <c r="F331" s="15" t="inlineStr">
        <is>
          <t>Melbourne IVF Medical Scientists Enterprise Agreement</t>
        </is>
      </c>
      <c r="G331" s="15" t="inlineStr">
        <is>
          <t>Victoria</t>
        </is>
      </c>
      <c r="H331" s="17" t="inlineStr">
        <is>
          <t>76.00</t>
        </is>
      </c>
      <c r="I331" s="15" t="inlineStr">
        <is>
          <t>MELBOURNE IVF</t>
        </is>
      </c>
      <c r="J331" s="15" t="n"/>
      <c r="K331" s="18" t="n">
        <v>36.45</v>
      </c>
      <c r="L331" s="17" t="inlineStr">
        <is>
          <t>36.45</t>
        </is>
      </c>
      <c r="M331" s="16" t="n">
        <v>45949</v>
      </c>
      <c r="N331" s="16" t="n">
        <v>45747</v>
      </c>
      <c r="O331" s="17" t="inlineStr"/>
      <c r="P331" s="17" t="inlineStr"/>
      <c r="Q331" s="16" t="n"/>
    </row>
    <row r="332" ht="66" customHeight="1">
      <c r="A332" s="11" t="inlineStr">
        <is>
          <t>AU23557</t>
        </is>
      </c>
      <c r="B332" s="12" t="n">
        <v>45749</v>
      </c>
      <c r="C332" s="11" t="inlineStr">
        <is>
          <t>Counsellor</t>
        </is>
      </c>
      <c r="D332" s="11" t="n"/>
      <c r="E332" s="11" t="inlineStr">
        <is>
          <t>PT - Part Time Waged</t>
        </is>
      </c>
      <c r="F332" s="11" t="inlineStr">
        <is>
          <t>Melbourne IVF Counselling Enterprise Agreement</t>
        </is>
      </c>
      <c r="G332" s="11" t="inlineStr">
        <is>
          <t>Victoria</t>
        </is>
      </c>
      <c r="H332" s="13" t="inlineStr">
        <is>
          <t>45.60</t>
        </is>
      </c>
      <c r="I332" s="11" t="inlineStr">
        <is>
          <t>MELBOURNE IVF</t>
        </is>
      </c>
      <c r="J332" s="11" t="n"/>
      <c r="K332" s="14" t="n">
        <v>21.65</v>
      </c>
      <c r="L332" s="13" t="inlineStr">
        <is>
          <t>21.65</t>
        </is>
      </c>
      <c r="M332" s="12" t="n">
        <v>45949</v>
      </c>
      <c r="N332" s="12" t="n">
        <v>45749</v>
      </c>
      <c r="O332" s="13" t="inlineStr"/>
      <c r="P332" s="13" t="inlineStr"/>
      <c r="Q332" s="12" t="n"/>
    </row>
    <row r="333" ht="66" customHeight="1">
      <c r="A333" s="15" t="inlineStr">
        <is>
          <t>AU23563</t>
        </is>
      </c>
      <c r="B333" s="16" t="n">
        <v>45733</v>
      </c>
      <c r="C333" s="15" t="inlineStr">
        <is>
          <t>Receptionist</t>
        </is>
      </c>
      <c r="D333" s="15" t="n"/>
      <c r="E333" s="15" t="inlineStr">
        <is>
          <t>CO - Contract</t>
        </is>
      </c>
      <c r="F333" s="15" t="inlineStr">
        <is>
          <t>Melbourne IVF Support Services Enterprise Agreement</t>
        </is>
      </c>
      <c r="G333" s="15" t="inlineStr">
        <is>
          <t>Victoria</t>
        </is>
      </c>
      <c r="H333" s="17" t="inlineStr">
        <is>
          <t>76.00</t>
        </is>
      </c>
      <c r="I333" s="15" t="inlineStr">
        <is>
          <t>MELBOURNE IVF</t>
        </is>
      </c>
      <c r="J333" s="15" t="n"/>
      <c r="K333" s="18" t="n">
        <v>38.98</v>
      </c>
      <c r="L333" s="17" t="inlineStr">
        <is>
          <t>38.98</t>
        </is>
      </c>
      <c r="M333" s="16" t="n">
        <v>45949</v>
      </c>
      <c r="N333" s="16" t="n">
        <v>45733</v>
      </c>
      <c r="O333" s="17" t="inlineStr"/>
      <c r="P333" s="17" t="inlineStr"/>
      <c r="Q333" s="16" t="n"/>
    </row>
    <row r="334" ht="66" customHeight="1">
      <c r="A334" s="11" t="inlineStr">
        <is>
          <t>AU23568</t>
        </is>
      </c>
      <c r="B334" s="12" t="n">
        <v>45761</v>
      </c>
      <c r="C334" s="11" t="inlineStr">
        <is>
          <t>Counsellor</t>
        </is>
      </c>
      <c r="D334" s="11" t="n"/>
      <c r="E334" s="11" t="inlineStr">
        <is>
          <t>PT - Part Time Waged</t>
        </is>
      </c>
      <c r="F334" s="11" t="inlineStr">
        <is>
          <t>Melbourne IVF Counselling Enterprise Agreement</t>
        </is>
      </c>
      <c r="G334" s="11" t="inlineStr">
        <is>
          <t>Tasmania</t>
        </is>
      </c>
      <c r="H334" s="13" t="inlineStr">
        <is>
          <t>45.60</t>
        </is>
      </c>
      <c r="I334" s="11" t="inlineStr">
        <is>
          <t>MELBOURNE IVF</t>
        </is>
      </c>
      <c r="J334" s="11" t="n"/>
      <c r="K334" s="14" t="n">
        <v>23.39</v>
      </c>
      <c r="L334" s="13" t="inlineStr">
        <is>
          <t>23.39</t>
        </is>
      </c>
      <c r="M334" s="12" t="n">
        <v>45949</v>
      </c>
      <c r="N334" s="12" t="n">
        <v>45761</v>
      </c>
      <c r="O334" s="13" t="inlineStr"/>
      <c r="P334" s="13" t="inlineStr"/>
      <c r="Q334" s="12" t="n"/>
    </row>
    <row r="335" ht="52.8" customHeight="1">
      <c r="A335" s="15" t="inlineStr">
        <is>
          <t>AU23572</t>
        </is>
      </c>
      <c r="B335" s="16" t="n">
        <v>45705</v>
      </c>
      <c r="C335" s="15" t="inlineStr">
        <is>
          <t>Managing Director VIC TAS</t>
        </is>
      </c>
      <c r="D335" s="15" t="n"/>
      <c r="E335" s="15" t="inlineStr">
        <is>
          <t>FP - Full Time Salaried</t>
        </is>
      </c>
      <c r="F335" s="15" t="inlineStr">
        <is>
          <t>Common Law Employment Contract</t>
        </is>
      </c>
      <c r="G335" s="15" t="inlineStr">
        <is>
          <t>Victoria</t>
        </is>
      </c>
      <c r="H335" s="17" t="inlineStr">
        <is>
          <t>76.00</t>
        </is>
      </c>
      <c r="I335" s="15" t="inlineStr">
        <is>
          <t>MELBOURNE IVF</t>
        </is>
      </c>
      <c r="J335" s="15" t="n"/>
      <c r="K335" s="18" t="n">
        <v>22.11</v>
      </c>
      <c r="L335" s="17" t="inlineStr">
        <is>
          <t>22.11</t>
        </is>
      </c>
      <c r="M335" s="16" t="n">
        <v>45949</v>
      </c>
      <c r="N335" s="16" t="n">
        <v>45705</v>
      </c>
      <c r="O335" s="17" t="inlineStr"/>
      <c r="P335" s="17" t="inlineStr"/>
      <c r="Q335" s="16" t="n"/>
    </row>
    <row r="336" ht="52.8" customHeight="1">
      <c r="A336" s="11" t="inlineStr">
        <is>
          <t>AU23580</t>
        </is>
      </c>
      <c r="B336" s="12" t="n">
        <v>45747</v>
      </c>
      <c r="C336" s="11" t="inlineStr">
        <is>
          <t>Registered Nurse</t>
        </is>
      </c>
      <c r="D336" s="11" t="n"/>
      <c r="E336" s="11" t="inlineStr">
        <is>
          <t>PT - Part Time Waged</t>
        </is>
      </c>
      <c r="F336" s="11" t="inlineStr">
        <is>
          <t>Melbourne IVF Nurses Enterprise Agreement</t>
        </is>
      </c>
      <c r="G336" s="11" t="inlineStr">
        <is>
          <t>Victoria</t>
        </is>
      </c>
      <c r="H336" s="13" t="inlineStr">
        <is>
          <t>60.80</t>
        </is>
      </c>
      <c r="I336" s="11" t="inlineStr">
        <is>
          <t>MELBOURNE IVF</t>
        </is>
      </c>
      <c r="J336" s="11" t="n"/>
      <c r="K336" s="14" t="n">
        <v>29.16</v>
      </c>
      <c r="L336" s="13" t="inlineStr">
        <is>
          <t>29.16</t>
        </is>
      </c>
      <c r="M336" s="12" t="n">
        <v>45949</v>
      </c>
      <c r="N336" s="12" t="n">
        <v>45747</v>
      </c>
      <c r="O336" s="13" t="inlineStr"/>
      <c r="P336" s="13" t="inlineStr"/>
      <c r="Q336" s="12" t="n"/>
    </row>
    <row r="337" ht="66" customHeight="1">
      <c r="A337" s="15" t="inlineStr">
        <is>
          <t>AU23582</t>
        </is>
      </c>
      <c r="B337" s="16" t="n">
        <v>45740</v>
      </c>
      <c r="C337" s="15" t="inlineStr">
        <is>
          <t>Patient Care Co-ordinator</t>
        </is>
      </c>
      <c r="D337" s="15" t="n"/>
      <c r="E337" s="15" t="inlineStr">
        <is>
          <t>CO - Contract</t>
        </is>
      </c>
      <c r="F337" s="15" t="inlineStr">
        <is>
          <t>Melbourne IVF Support Services Enterprise Agreement</t>
        </is>
      </c>
      <c r="G337" s="15" t="inlineStr">
        <is>
          <t>Victoria</t>
        </is>
      </c>
      <c r="H337" s="17" t="inlineStr">
        <is>
          <t>76.00</t>
        </is>
      </c>
      <c r="I337" s="15" t="inlineStr">
        <is>
          <t>MELBOURNE IVF</t>
        </is>
      </c>
      <c r="J337" s="15" t="n"/>
      <c r="K337" s="18" t="n">
        <v>37.72</v>
      </c>
      <c r="L337" s="17" t="inlineStr">
        <is>
          <t>37.72</t>
        </is>
      </c>
      <c r="M337" s="16" t="n">
        <v>45949</v>
      </c>
      <c r="N337" s="16" t="n">
        <v>45740</v>
      </c>
      <c r="O337" s="17" t="inlineStr"/>
      <c r="P337" s="17" t="inlineStr"/>
      <c r="Q337" s="16" t="n"/>
    </row>
    <row r="338" ht="52.8" customHeight="1">
      <c r="A338" s="11" t="inlineStr">
        <is>
          <t>AU23591</t>
        </is>
      </c>
      <c r="B338" s="12" t="n">
        <v>45747</v>
      </c>
      <c r="C338" s="11" t="inlineStr">
        <is>
          <t>Registered Nurse</t>
        </is>
      </c>
      <c r="D338" s="11" t="n"/>
      <c r="E338" s="11" t="inlineStr">
        <is>
          <t>CO - Contract</t>
        </is>
      </c>
      <c r="F338" s="11" t="inlineStr">
        <is>
          <t>Melbourne IVF Nurses Enterprise Agreement</t>
        </is>
      </c>
      <c r="G338" s="11" t="inlineStr">
        <is>
          <t>Victoria</t>
        </is>
      </c>
      <c r="H338" s="13" t="inlineStr">
        <is>
          <t>76.00</t>
        </is>
      </c>
      <c r="I338" s="11" t="inlineStr">
        <is>
          <t>MELBOURNE IVF</t>
        </is>
      </c>
      <c r="J338" s="11" t="n"/>
      <c r="K338" s="14" t="n">
        <v>36.45</v>
      </c>
      <c r="L338" s="13" t="inlineStr">
        <is>
          <t>36.45</t>
        </is>
      </c>
      <c r="M338" s="12" t="n">
        <v>45949</v>
      </c>
      <c r="N338" s="12" t="n">
        <v>45747</v>
      </c>
      <c r="O338" s="13" t="inlineStr"/>
      <c r="P338" s="13" t="inlineStr"/>
      <c r="Q338" s="12" t="n"/>
    </row>
    <row r="339" ht="52.8" customHeight="1">
      <c r="A339" s="15" t="inlineStr">
        <is>
          <t>AU23596</t>
        </is>
      </c>
      <c r="B339" s="16" t="n">
        <v>45754</v>
      </c>
      <c r="C339" s="15" t="inlineStr">
        <is>
          <t>Registered Nurse</t>
        </is>
      </c>
      <c r="D339" s="15" t="n"/>
      <c r="E339" s="15" t="inlineStr">
        <is>
          <t>CO - Contract</t>
        </is>
      </c>
      <c r="F339" s="15" t="inlineStr">
        <is>
          <t>Melbourne IVF Nurses Enterprise Agreement</t>
        </is>
      </c>
      <c r="G339" s="15" t="inlineStr">
        <is>
          <t>Victoria</t>
        </is>
      </c>
      <c r="H339" s="17" t="inlineStr">
        <is>
          <t>76.00</t>
        </is>
      </c>
      <c r="I339" s="15" t="inlineStr">
        <is>
          <t>MELBOURNE IVF</t>
        </is>
      </c>
      <c r="J339" s="15" t="n"/>
      <c r="K339" s="18" t="n">
        <v>35.19</v>
      </c>
      <c r="L339" s="17" t="inlineStr">
        <is>
          <t>35.19</t>
        </is>
      </c>
      <c r="M339" s="16" t="n">
        <v>45949</v>
      </c>
      <c r="N339" s="16" t="n">
        <v>45754</v>
      </c>
      <c r="O339" s="17" t="inlineStr"/>
      <c r="P339" s="17" t="inlineStr"/>
      <c r="Q339" s="16" t="n"/>
    </row>
    <row r="340" ht="66" customHeight="1">
      <c r="A340" s="11" t="inlineStr">
        <is>
          <t>AU23609</t>
        </is>
      </c>
      <c r="B340" s="12" t="n">
        <v>45775</v>
      </c>
      <c r="C340" s="11" t="inlineStr">
        <is>
          <t>PGT Scientist</t>
        </is>
      </c>
      <c r="D340" s="11" t="n"/>
      <c r="E340" s="11" t="inlineStr">
        <is>
          <t>CO - Contract</t>
        </is>
      </c>
      <c r="F340" s="11" t="inlineStr">
        <is>
          <t>Melbourne IVF Medical Scientists Enterprise Agreement</t>
        </is>
      </c>
      <c r="G340" s="11" t="inlineStr">
        <is>
          <t>Victoria</t>
        </is>
      </c>
      <c r="H340" s="13" t="inlineStr">
        <is>
          <t>76.00</t>
        </is>
      </c>
      <c r="I340" s="11" t="inlineStr">
        <is>
          <t>MELBOURNE IVF</t>
        </is>
      </c>
      <c r="J340" s="11" t="n"/>
      <c r="K340" s="14" t="n">
        <v>31.4</v>
      </c>
      <c r="L340" s="13" t="inlineStr">
        <is>
          <t>31.40</t>
        </is>
      </c>
      <c r="M340" s="12" t="n">
        <v>45949</v>
      </c>
      <c r="N340" s="12" t="n">
        <v>45775</v>
      </c>
      <c r="O340" s="13" t="inlineStr"/>
      <c r="P340" s="13" t="inlineStr"/>
      <c r="Q340" s="12" t="n"/>
    </row>
    <row r="341" ht="79.2" customHeight="1">
      <c r="A341" s="15" t="inlineStr">
        <is>
          <t>AU23611</t>
        </is>
      </c>
      <c r="B341" s="16" t="n">
        <v>45769</v>
      </c>
      <c r="C341" s="15" t="inlineStr">
        <is>
          <t>Phlebotomist</t>
        </is>
      </c>
      <c r="D341" s="15" t="n"/>
      <c r="E341" s="15" t="inlineStr">
        <is>
          <t>PT - Part Time Waged</t>
        </is>
      </c>
      <c r="F341" s="15" t="inlineStr">
        <is>
          <t>Health Professionals and Support Services Award</t>
        </is>
      </c>
      <c r="G341" s="15" t="inlineStr">
        <is>
          <t>Victoria</t>
        </is>
      </c>
      <c r="H341" s="17" t="inlineStr">
        <is>
          <t>66.50</t>
        </is>
      </c>
      <c r="I341" s="15" t="inlineStr">
        <is>
          <t>MELBOURNE IVF</t>
        </is>
      </c>
      <c r="J341" s="15" t="n"/>
      <c r="K341" s="18" t="n">
        <v>14.21</v>
      </c>
      <c r="L341" s="17" t="inlineStr">
        <is>
          <t>14.21</t>
        </is>
      </c>
      <c r="M341" s="16" t="n">
        <v>45949</v>
      </c>
      <c r="N341" s="16" t="n">
        <v>44580</v>
      </c>
      <c r="O341" s="17" t="inlineStr"/>
      <c r="P341" s="17" t="inlineStr"/>
      <c r="Q341" s="16" t="n"/>
    </row>
    <row r="342" ht="79.2" customHeight="1">
      <c r="A342" s="11" t="inlineStr">
        <is>
          <t>AU23612</t>
        </is>
      </c>
      <c r="B342" s="12" t="n">
        <v>45769</v>
      </c>
      <c r="C342" s="11" t="inlineStr">
        <is>
          <t>Phlebotomist</t>
        </is>
      </c>
      <c r="D342" s="11" t="n"/>
      <c r="E342" s="11" t="inlineStr">
        <is>
          <t>PT - Part Time Waged</t>
        </is>
      </c>
      <c r="F342" s="11" t="inlineStr">
        <is>
          <t>Health Professionals and Support Services Award</t>
        </is>
      </c>
      <c r="G342" s="11" t="inlineStr">
        <is>
          <t>Victoria</t>
        </is>
      </c>
      <c r="H342" s="13" t="inlineStr">
        <is>
          <t>68.40</t>
        </is>
      </c>
      <c r="I342" s="11" t="inlineStr">
        <is>
          <t>MELBOURNE IVF</t>
        </is>
      </c>
      <c r="J342" s="11" t="n"/>
      <c r="K342" s="14" t="n">
        <v>14.62</v>
      </c>
      <c r="L342" s="13" t="inlineStr">
        <is>
          <t>14.62</t>
        </is>
      </c>
      <c r="M342" s="12" t="n">
        <v>45949</v>
      </c>
      <c r="N342" s="12" t="n">
        <v>45769</v>
      </c>
      <c r="O342" s="13" t="inlineStr"/>
      <c r="P342" s="13" t="inlineStr"/>
      <c r="Q342" s="12" t="n"/>
    </row>
    <row r="343" ht="79.2" customHeight="1">
      <c r="A343" s="15" t="inlineStr">
        <is>
          <t>AU23614</t>
        </is>
      </c>
      <c r="B343" s="16" t="n">
        <v>45769</v>
      </c>
      <c r="C343" s="15" t="inlineStr">
        <is>
          <t>Phlebotomist</t>
        </is>
      </c>
      <c r="D343" s="15" t="n"/>
      <c r="E343" s="15" t="inlineStr">
        <is>
          <t>PT - Part Time Waged</t>
        </is>
      </c>
      <c r="F343" s="15" t="inlineStr">
        <is>
          <t>Health Professionals and Support Services Award</t>
        </is>
      </c>
      <c r="G343" s="15" t="inlineStr">
        <is>
          <t>Victoria</t>
        </is>
      </c>
      <c r="H343" s="17" t="inlineStr">
        <is>
          <t>48.00</t>
        </is>
      </c>
      <c r="I343" s="15" t="inlineStr">
        <is>
          <t>MELBOURNE IVF</t>
        </is>
      </c>
      <c r="J343" s="15" t="n"/>
      <c r="K343" s="18" t="n">
        <v>10.26</v>
      </c>
      <c r="L343" s="17" t="inlineStr">
        <is>
          <t>10.26</t>
        </is>
      </c>
      <c r="M343" s="16" t="n">
        <v>45949</v>
      </c>
      <c r="N343" s="16" t="n">
        <v>42681</v>
      </c>
      <c r="O343" s="17" t="inlineStr"/>
      <c r="P343" s="17" t="inlineStr"/>
      <c r="Q343" s="16" t="n"/>
    </row>
    <row r="344" ht="52.8" customHeight="1">
      <c r="A344" s="11" t="inlineStr">
        <is>
          <t>AU23646</t>
        </is>
      </c>
      <c r="B344" s="12" t="n">
        <v>45750</v>
      </c>
      <c r="C344" s="11" t="inlineStr">
        <is>
          <t>MIVF Medical Director</t>
        </is>
      </c>
      <c r="D344" s="11" t="n"/>
      <c r="E344" s="11" t="inlineStr">
        <is>
          <t>CO - Contract</t>
        </is>
      </c>
      <c r="F344" s="11" t="inlineStr">
        <is>
          <t>Common Law Employment Contract</t>
        </is>
      </c>
      <c r="G344" s="11" t="inlineStr">
        <is>
          <t>Victoria</t>
        </is>
      </c>
      <c r="H344" s="13" t="inlineStr">
        <is>
          <t>15.20</t>
        </is>
      </c>
      <c r="I344" s="11" t="inlineStr">
        <is>
          <t>MELBOURNE IVF</t>
        </is>
      </c>
      <c r="J344" s="11" t="n"/>
      <c r="K344" s="14" t="n">
        <v>3.59</v>
      </c>
      <c r="L344" s="13" t="inlineStr">
        <is>
          <t>3.59</t>
        </is>
      </c>
      <c r="M344" s="12" t="n">
        <v>45949</v>
      </c>
      <c r="N344" s="12" t="n">
        <v>45750</v>
      </c>
      <c r="O344" s="13" t="inlineStr"/>
      <c r="P344" s="13" t="inlineStr"/>
      <c r="Q344" s="12" t="n"/>
    </row>
    <row r="345" ht="52.8" customHeight="1">
      <c r="A345" s="15" t="inlineStr">
        <is>
          <t>AU23655</t>
        </is>
      </c>
      <c r="B345" s="16" t="n">
        <v>45796</v>
      </c>
      <c r="C345" s="15" t="inlineStr">
        <is>
          <t>Nurse Manager</t>
        </is>
      </c>
      <c r="D345" s="15" t="n"/>
      <c r="E345" s="15" t="inlineStr">
        <is>
          <t>FP - Full Time Waged</t>
        </is>
      </c>
      <c r="F345" s="15" t="inlineStr">
        <is>
          <t>TAS IVF Nurses Enterprise Agreement</t>
        </is>
      </c>
      <c r="G345" s="15" t="inlineStr">
        <is>
          <t>Tasmania</t>
        </is>
      </c>
      <c r="H345" s="17" t="inlineStr">
        <is>
          <t>75.00</t>
        </is>
      </c>
      <c r="I345" s="15" t="inlineStr">
        <is>
          <t>TAS IVF PTY LTD</t>
        </is>
      </c>
      <c r="J345" s="15" t="n"/>
      <c r="K345" s="18" t="n">
        <v>13.62</v>
      </c>
      <c r="L345" s="17" t="inlineStr">
        <is>
          <t>13.62</t>
        </is>
      </c>
      <c r="M345" s="16" t="n">
        <v>45949</v>
      </c>
      <c r="N345" s="16" t="n">
        <v>45698</v>
      </c>
      <c r="O345" s="17" t="inlineStr"/>
      <c r="P345" s="17" t="inlineStr"/>
      <c r="Q345" s="16" t="n"/>
    </row>
    <row r="346" ht="52.8" customHeight="1">
      <c r="A346" s="11" t="inlineStr">
        <is>
          <t>AU23658</t>
        </is>
      </c>
      <c r="B346" s="12" t="n">
        <v>45805</v>
      </c>
      <c r="C346" s="11" t="inlineStr">
        <is>
          <t>Head of Finance</t>
        </is>
      </c>
      <c r="D346" s="11" t="n"/>
      <c r="E346" s="11" t="inlineStr">
        <is>
          <t>CO - Contract</t>
        </is>
      </c>
      <c r="F346" s="11" t="inlineStr">
        <is>
          <t>Common Law Employment Contract</t>
        </is>
      </c>
      <c r="G346" s="11" t="inlineStr">
        <is>
          <t>Victoria</t>
        </is>
      </c>
      <c r="H346" s="13" t="inlineStr">
        <is>
          <t>76.00</t>
        </is>
      </c>
      <c r="I346" s="11" t="inlineStr">
        <is>
          <t>MELBOURNE IVF</t>
        </is>
      </c>
      <c r="J346" s="11" t="n"/>
      <c r="K346" s="14" t="n">
        <v>12.99</v>
      </c>
      <c r="L346" s="13" t="inlineStr">
        <is>
          <t>12.99</t>
        </is>
      </c>
      <c r="M346" s="12" t="n">
        <v>45949</v>
      </c>
      <c r="N346" s="12" t="n">
        <v>45805</v>
      </c>
      <c r="O346" s="13" t="inlineStr"/>
      <c r="P346" s="13" t="inlineStr"/>
      <c r="Q346" s="12" t="n"/>
    </row>
    <row r="347" ht="66" customHeight="1">
      <c r="A347" s="15" t="inlineStr">
        <is>
          <t>AU23663</t>
        </is>
      </c>
      <c r="B347" s="16" t="n">
        <v>45810</v>
      </c>
      <c r="C347" s="15" t="inlineStr">
        <is>
          <t>Clinical Administrator</t>
        </is>
      </c>
      <c r="D347" s="15" t="n"/>
      <c r="E347" s="15" t="inlineStr">
        <is>
          <t>CO - Contract</t>
        </is>
      </c>
      <c r="F347" s="15" t="inlineStr">
        <is>
          <t>Melbourne IVF Support Services Enterprise Agreement</t>
        </is>
      </c>
      <c r="G347" s="15" t="inlineStr">
        <is>
          <t>Victoria</t>
        </is>
      </c>
      <c r="H347" s="17" t="inlineStr">
        <is>
          <t>76.00</t>
        </is>
      </c>
      <c r="I347" s="15" t="inlineStr">
        <is>
          <t>MELBOURNE IVF</t>
        </is>
      </c>
      <c r="J347" s="15" t="n"/>
      <c r="K347" s="18" t="n">
        <v>25.08</v>
      </c>
      <c r="L347" s="17" t="inlineStr">
        <is>
          <t>25.08</t>
        </is>
      </c>
      <c r="M347" s="16" t="n">
        <v>45949</v>
      </c>
      <c r="N347" s="16" t="n">
        <v>45810</v>
      </c>
      <c r="O347" s="17" t="inlineStr"/>
      <c r="P347" s="17" t="inlineStr"/>
      <c r="Q347" s="16" t="n"/>
    </row>
    <row r="348" ht="66" customHeight="1">
      <c r="A348" s="11" t="inlineStr">
        <is>
          <t>AU23665</t>
        </is>
      </c>
      <c r="B348" s="12" t="n">
        <v>45803</v>
      </c>
      <c r="C348" s="11" t="inlineStr">
        <is>
          <t>Patient Liaison Administrator</t>
        </is>
      </c>
      <c r="D348" s="11" t="n"/>
      <c r="E348" s="11" t="inlineStr">
        <is>
          <t>PT - Part Time Waged</t>
        </is>
      </c>
      <c r="F348" s="11" t="inlineStr">
        <is>
          <t>Melbourne IVF Support Services Enterprise Agreement</t>
        </is>
      </c>
      <c r="G348" s="11" t="inlineStr">
        <is>
          <t>Victoria</t>
        </is>
      </c>
      <c r="H348" s="13" t="inlineStr">
        <is>
          <t>38.00</t>
        </is>
      </c>
      <c r="I348" s="11" t="inlineStr">
        <is>
          <t>MELBOURNE IVF</t>
        </is>
      </c>
      <c r="J348" s="11" t="n"/>
      <c r="K348" s="14" t="n">
        <v>13.17</v>
      </c>
      <c r="L348" s="13" t="inlineStr">
        <is>
          <t>13.17</t>
        </is>
      </c>
      <c r="M348" s="12" t="n">
        <v>45949</v>
      </c>
      <c r="N348" s="12" t="n">
        <v>45803</v>
      </c>
      <c r="O348" s="13" t="inlineStr"/>
      <c r="P348" s="13" t="inlineStr"/>
      <c r="Q348" s="12" t="n"/>
    </row>
    <row r="349" ht="52.8" customHeight="1">
      <c r="A349" s="15" t="inlineStr">
        <is>
          <t>AU23672</t>
        </is>
      </c>
      <c r="B349" s="16" t="n">
        <v>45806</v>
      </c>
      <c r="C349" s="15" t="inlineStr">
        <is>
          <t>Executive Assistant</t>
        </is>
      </c>
      <c r="D349" s="15" t="n"/>
      <c r="E349" s="15" t="inlineStr">
        <is>
          <t>FP - Full Time Salaried</t>
        </is>
      </c>
      <c r="F349" s="15" t="inlineStr">
        <is>
          <t>Common Law Employment Contract</t>
        </is>
      </c>
      <c r="G349" s="15" t="inlineStr">
        <is>
          <t>Victoria</t>
        </is>
      </c>
      <c r="H349" s="17" t="inlineStr">
        <is>
          <t>76.00</t>
        </is>
      </c>
      <c r="I349" s="15" t="inlineStr">
        <is>
          <t>MELBOURNE IVF</t>
        </is>
      </c>
      <c r="J349" s="15" t="n"/>
      <c r="K349" s="18" t="n">
        <v>12.9</v>
      </c>
      <c r="L349" s="17" t="inlineStr">
        <is>
          <t>12.90</t>
        </is>
      </c>
      <c r="M349" s="16" t="n">
        <v>45949</v>
      </c>
      <c r="N349" s="16" t="n">
        <v>45806</v>
      </c>
      <c r="O349" s="17" t="inlineStr"/>
      <c r="P349" s="17" t="inlineStr"/>
      <c r="Q349" s="16" t="n"/>
    </row>
    <row r="350" ht="66" customHeight="1">
      <c r="A350" s="11" t="inlineStr">
        <is>
          <t>AU23684</t>
        </is>
      </c>
      <c r="B350" s="12" t="n">
        <v>45818</v>
      </c>
      <c r="C350" s="11" t="inlineStr">
        <is>
          <t>Donor Administrator</t>
        </is>
      </c>
      <c r="D350" s="11" t="n"/>
      <c r="E350" s="11" t="inlineStr">
        <is>
          <t>FP - Full Time Waged</t>
        </is>
      </c>
      <c r="F350" s="11" t="inlineStr">
        <is>
          <t>Melbourne IVF Support Services Enterprise Agreement</t>
        </is>
      </c>
      <c r="G350" s="11" t="inlineStr">
        <is>
          <t>Victoria</t>
        </is>
      </c>
      <c r="H350" s="13" t="inlineStr">
        <is>
          <t>76.00</t>
        </is>
      </c>
      <c r="I350" s="11" t="inlineStr">
        <is>
          <t>MELBOURNE IVF</t>
        </is>
      </c>
      <c r="J350" s="11" t="n"/>
      <c r="K350" s="14" t="n">
        <v>23.64</v>
      </c>
      <c r="L350" s="13" t="inlineStr">
        <is>
          <t>23.64</t>
        </is>
      </c>
      <c r="M350" s="12" t="n">
        <v>45949</v>
      </c>
      <c r="N350" s="12" t="n">
        <v>45818</v>
      </c>
      <c r="O350" s="13" t="inlineStr"/>
      <c r="P350" s="13" t="inlineStr"/>
      <c r="Q350" s="12" t="n"/>
    </row>
    <row r="351" ht="66" customHeight="1">
      <c r="A351" s="15" t="inlineStr">
        <is>
          <t>AU23686</t>
        </is>
      </c>
      <c r="B351" s="16" t="n">
        <v>45817</v>
      </c>
      <c r="C351" s="15" t="inlineStr">
        <is>
          <t>Administration Clerk</t>
        </is>
      </c>
      <c r="D351" s="15" t="n"/>
      <c r="E351" s="15" t="inlineStr">
        <is>
          <t>FP - Full Time Waged</t>
        </is>
      </c>
      <c r="F351" s="15" t="inlineStr">
        <is>
          <t>Melbourne IVF Support Services Enterprise Agreement</t>
        </is>
      </c>
      <c r="G351" s="15" t="inlineStr">
        <is>
          <t>Victoria</t>
        </is>
      </c>
      <c r="H351" s="17" t="inlineStr">
        <is>
          <t>76.00</t>
        </is>
      </c>
      <c r="I351" s="15" t="inlineStr">
        <is>
          <t>MELBOURNE IVF</t>
        </is>
      </c>
      <c r="J351" s="15" t="n"/>
      <c r="K351" s="18" t="n">
        <v>23.82</v>
      </c>
      <c r="L351" s="17" t="inlineStr">
        <is>
          <t>23.82</t>
        </is>
      </c>
      <c r="M351" s="16" t="n">
        <v>45949</v>
      </c>
      <c r="N351" s="16" t="n">
        <v>45817</v>
      </c>
      <c r="O351" s="17" t="inlineStr"/>
      <c r="P351" s="17" t="inlineStr"/>
      <c r="Q351" s="16" t="n"/>
    </row>
    <row r="352" ht="66" customHeight="1">
      <c r="A352" s="11" t="inlineStr">
        <is>
          <t>AU23689</t>
        </is>
      </c>
      <c r="B352" s="12" t="n">
        <v>45818</v>
      </c>
      <c r="C352" s="11" t="inlineStr">
        <is>
          <t>Donor Administrator</t>
        </is>
      </c>
      <c r="D352" s="11" t="n"/>
      <c r="E352" s="11" t="inlineStr">
        <is>
          <t>FP - Full Time Waged</t>
        </is>
      </c>
      <c r="F352" s="11" t="inlineStr">
        <is>
          <t>Melbourne IVF Support Services Enterprise Agreement</t>
        </is>
      </c>
      <c r="G352" s="11" t="inlineStr">
        <is>
          <t>Victoria</t>
        </is>
      </c>
      <c r="H352" s="13" t="inlineStr">
        <is>
          <t>76.00</t>
        </is>
      </c>
      <c r="I352" s="11" t="inlineStr">
        <is>
          <t>MELBOURNE IVF</t>
        </is>
      </c>
      <c r="J352" s="11" t="n"/>
      <c r="K352" s="14" t="n">
        <v>23.64</v>
      </c>
      <c r="L352" s="13" t="inlineStr">
        <is>
          <t>23.64</t>
        </is>
      </c>
      <c r="M352" s="12" t="n">
        <v>45949</v>
      </c>
      <c r="N352" s="12" t="n">
        <v>45818</v>
      </c>
      <c r="O352" s="13" t="inlineStr"/>
      <c r="P352" s="13" t="inlineStr"/>
      <c r="Q352" s="12" t="n"/>
    </row>
    <row r="353" ht="66" customHeight="1">
      <c r="A353" s="15" t="inlineStr">
        <is>
          <t>AU23713</t>
        </is>
      </c>
      <c r="B353" s="16" t="n">
        <v>45845</v>
      </c>
      <c r="C353" s="15" t="inlineStr">
        <is>
          <t>IVF Laboratory Administrator</t>
        </is>
      </c>
      <c r="D353" s="15" t="n"/>
      <c r="E353" s="15" t="inlineStr">
        <is>
          <t>CO - Contract</t>
        </is>
      </c>
      <c r="F353" s="15" t="inlineStr">
        <is>
          <t>Melbourne IVF Support Services Enterprise Agreement</t>
        </is>
      </c>
      <c r="G353" s="15" t="inlineStr">
        <is>
          <t>Victoria</t>
        </is>
      </c>
      <c r="H353" s="17" t="inlineStr">
        <is>
          <t>76.00</t>
        </is>
      </c>
      <c r="I353" s="15" t="inlineStr">
        <is>
          <t>MELBOURNE IVF</t>
        </is>
      </c>
      <c r="J353" s="15" t="n"/>
      <c r="K353" s="18" t="n">
        <v>18.77</v>
      </c>
      <c r="L353" s="17" t="inlineStr">
        <is>
          <t>18.77</t>
        </is>
      </c>
      <c r="M353" s="16" t="n">
        <v>45949</v>
      </c>
      <c r="N353" s="16" t="n">
        <v>45845</v>
      </c>
      <c r="O353" s="17" t="inlineStr"/>
      <c r="P353" s="17" t="inlineStr"/>
      <c r="Q353" s="16" t="n"/>
    </row>
    <row r="354" ht="66" customHeight="1">
      <c r="A354" s="11" t="inlineStr">
        <is>
          <t>AU23717</t>
        </is>
      </c>
      <c r="B354" s="12" t="n">
        <v>45859</v>
      </c>
      <c r="C354" s="11" t="inlineStr">
        <is>
          <t>Medical Secretary</t>
        </is>
      </c>
      <c r="D354" s="11" t="n"/>
      <c r="E354" s="11" t="inlineStr">
        <is>
          <t>FP - Full Time Waged</t>
        </is>
      </c>
      <c r="F354" s="11" t="inlineStr">
        <is>
          <t>Melbourne IVF Support Services Enterprise Agreement</t>
        </is>
      </c>
      <c r="G354" s="11" t="inlineStr">
        <is>
          <t>Victoria</t>
        </is>
      </c>
      <c r="H354" s="13" t="inlineStr">
        <is>
          <t>76.00</t>
        </is>
      </c>
      <c r="I354" s="11" t="inlineStr">
        <is>
          <t>MELBOURNE IVF</t>
        </is>
      </c>
      <c r="J354" s="11" t="n"/>
      <c r="K354" s="14" t="n">
        <v>16.24</v>
      </c>
      <c r="L354" s="13" t="inlineStr">
        <is>
          <t>16.24</t>
        </is>
      </c>
      <c r="M354" s="12" t="n">
        <v>45949</v>
      </c>
      <c r="N354" s="12" t="n">
        <v>45859</v>
      </c>
      <c r="O354" s="13" t="inlineStr"/>
      <c r="P354" s="13" t="inlineStr"/>
      <c r="Q354" s="12" t="n"/>
    </row>
    <row r="355" ht="52.8" customHeight="1">
      <c r="A355" s="15" t="inlineStr">
        <is>
          <t>AU23725</t>
        </is>
      </c>
      <c r="B355" s="16" t="n">
        <v>45859</v>
      </c>
      <c r="C355" s="15" t="inlineStr">
        <is>
          <t>Registered Nurse</t>
        </is>
      </c>
      <c r="D355" s="15" t="n"/>
      <c r="E355" s="15" t="inlineStr">
        <is>
          <t>CO - Contract</t>
        </is>
      </c>
      <c r="F355" s="15" t="inlineStr">
        <is>
          <t>Melbourne IVF Nurses Enterprise Agreement</t>
        </is>
      </c>
      <c r="G355" s="15" t="inlineStr">
        <is>
          <t>Victoria</t>
        </is>
      </c>
      <c r="H355" s="17" t="inlineStr">
        <is>
          <t>60.80</t>
        </is>
      </c>
      <c r="I355" s="15" t="inlineStr">
        <is>
          <t>MELBOURNE IVF</t>
        </is>
      </c>
      <c r="J355" s="15" t="n"/>
      <c r="K355" s="18" t="n">
        <v>12.99</v>
      </c>
      <c r="L355" s="17" t="inlineStr">
        <is>
          <t>12.99</t>
        </is>
      </c>
      <c r="M355" s="16" t="n">
        <v>45949</v>
      </c>
      <c r="N355" s="16" t="n">
        <v>45859</v>
      </c>
      <c r="O355" s="17" t="inlineStr"/>
      <c r="P355" s="17" t="inlineStr"/>
      <c r="Q355" s="16" t="n"/>
    </row>
    <row r="356" ht="52.8" customHeight="1">
      <c r="A356" s="11" t="inlineStr">
        <is>
          <t>AU23728</t>
        </is>
      </c>
      <c r="B356" s="12" t="n">
        <v>45852</v>
      </c>
      <c r="C356" s="11" t="inlineStr">
        <is>
          <t>Registered Nurse</t>
        </is>
      </c>
      <c r="D356" s="11" t="n"/>
      <c r="E356" s="11" t="inlineStr">
        <is>
          <t>PT - Part Time Waged</t>
        </is>
      </c>
      <c r="F356" s="11" t="inlineStr">
        <is>
          <t>Melbourne IVF Nurses Enterprise Agreement</t>
        </is>
      </c>
      <c r="G356" s="11" t="inlineStr">
        <is>
          <t>Victoria</t>
        </is>
      </c>
      <c r="H356" s="13" t="inlineStr">
        <is>
          <t>30.40</t>
        </is>
      </c>
      <c r="I356" s="11" t="inlineStr">
        <is>
          <t>MELBOURNE IVF</t>
        </is>
      </c>
      <c r="J356" s="11" t="n"/>
      <c r="K356" s="14" t="n">
        <v>7</v>
      </c>
      <c r="L356" s="13" t="inlineStr">
        <is>
          <t>7.00</t>
        </is>
      </c>
      <c r="M356" s="12" t="n">
        <v>45949</v>
      </c>
      <c r="N356" s="12" t="n">
        <v>45341</v>
      </c>
      <c r="O356" s="13" t="inlineStr"/>
      <c r="P356" s="13" t="inlineStr"/>
      <c r="Q356" s="12" t="n"/>
    </row>
    <row r="357" ht="52.8" customHeight="1">
      <c r="A357" s="15" t="inlineStr">
        <is>
          <t>AU23736</t>
        </is>
      </c>
      <c r="B357" s="16" t="n">
        <v>45859</v>
      </c>
      <c r="C357" s="15" t="inlineStr">
        <is>
          <t>Registered Nurse</t>
        </is>
      </c>
      <c r="D357" s="15" t="n"/>
      <c r="E357" s="15" t="inlineStr">
        <is>
          <t>CO - Contract</t>
        </is>
      </c>
      <c r="F357" s="15" t="inlineStr">
        <is>
          <t>Melbourne IVF Nurses Enterprise Agreement</t>
        </is>
      </c>
      <c r="G357" s="15" t="inlineStr">
        <is>
          <t>Victoria</t>
        </is>
      </c>
      <c r="H357" s="17" t="inlineStr">
        <is>
          <t>76.00</t>
        </is>
      </c>
      <c r="I357" s="15" t="inlineStr">
        <is>
          <t>MELBOURNE IVF</t>
        </is>
      </c>
      <c r="J357" s="15" t="n"/>
      <c r="K357" s="18" t="n">
        <v>16.24</v>
      </c>
      <c r="L357" s="17" t="inlineStr">
        <is>
          <t>16.24</t>
        </is>
      </c>
      <c r="M357" s="16" t="n">
        <v>45949</v>
      </c>
      <c r="N357" s="16" t="n">
        <v>45859</v>
      </c>
      <c r="O357" s="17" t="inlineStr"/>
      <c r="P357" s="17" t="inlineStr"/>
      <c r="Q357" s="16" t="n"/>
    </row>
    <row r="358" ht="52.8" customHeight="1">
      <c r="A358" s="11" t="inlineStr">
        <is>
          <t>AU23744</t>
        </is>
      </c>
      <c r="B358" s="12" t="n">
        <v>45824</v>
      </c>
      <c r="C358" s="11" t="inlineStr">
        <is>
          <t>Registered Nurse</t>
        </is>
      </c>
      <c r="D358" s="11" t="n"/>
      <c r="E358" s="11" t="inlineStr">
        <is>
          <t>PT - Part Time Waged</t>
        </is>
      </c>
      <c r="F358" s="11" t="inlineStr">
        <is>
          <t>Melbourne IVF Nurses Enterprise Agreement</t>
        </is>
      </c>
      <c r="G358" s="11" t="inlineStr">
        <is>
          <t>Victoria</t>
        </is>
      </c>
      <c r="H358" s="13" t="inlineStr">
        <is>
          <t>60.80</t>
        </is>
      </c>
      <c r="I358" s="11" t="inlineStr">
        <is>
          <t>MELBOURNE IVF</t>
        </is>
      </c>
      <c r="J358" s="11" t="n"/>
      <c r="K358" s="14" t="n">
        <v>18.05</v>
      </c>
      <c r="L358" s="13" t="inlineStr">
        <is>
          <t>18.05</t>
        </is>
      </c>
      <c r="M358" s="12" t="n">
        <v>45949</v>
      </c>
      <c r="N358" s="12" t="n">
        <v>43248</v>
      </c>
      <c r="O358" s="13" t="inlineStr"/>
      <c r="P358" s="13" t="inlineStr"/>
      <c r="Q358" s="12" t="n"/>
    </row>
    <row r="359" ht="52.8" customHeight="1">
      <c r="A359" s="15" t="inlineStr">
        <is>
          <t>AU23745</t>
        </is>
      </c>
      <c r="B359" s="16" t="n">
        <v>45852</v>
      </c>
      <c r="C359" s="15" t="inlineStr">
        <is>
          <t>Registered Nurse</t>
        </is>
      </c>
      <c r="D359" s="15" t="n"/>
      <c r="E359" s="15" t="inlineStr">
        <is>
          <t>FP - Full Time Waged</t>
        </is>
      </c>
      <c r="F359" s="15" t="inlineStr">
        <is>
          <t>Melbourne IVF Nurses Enterprise Agreement</t>
        </is>
      </c>
      <c r="G359" s="15" t="inlineStr">
        <is>
          <t>Victoria</t>
        </is>
      </c>
      <c r="H359" s="17" t="inlineStr">
        <is>
          <t>76.00</t>
        </is>
      </c>
      <c r="I359" s="15" t="inlineStr">
        <is>
          <t>MELBOURNE IVF</t>
        </is>
      </c>
      <c r="J359" s="15" t="n"/>
      <c r="K359" s="18" t="n">
        <v>10.03</v>
      </c>
      <c r="L359" s="17" t="inlineStr">
        <is>
          <t>10.03</t>
        </is>
      </c>
      <c r="M359" s="16" t="n">
        <v>45949</v>
      </c>
      <c r="N359" s="16" t="n">
        <v>45456</v>
      </c>
      <c r="O359" s="17" t="inlineStr"/>
      <c r="P359" s="17" t="inlineStr"/>
      <c r="Q359" s="16" t="n"/>
    </row>
    <row r="360" ht="52.8" customHeight="1">
      <c r="A360" s="11" t="inlineStr">
        <is>
          <t>AU23747</t>
        </is>
      </c>
      <c r="B360" s="12" t="n">
        <v>45852</v>
      </c>
      <c r="C360" s="11" t="inlineStr">
        <is>
          <t>Registered Nurse</t>
        </is>
      </c>
      <c r="D360" s="11" t="n"/>
      <c r="E360" s="11" t="inlineStr">
        <is>
          <t>PT - Part Time Waged</t>
        </is>
      </c>
      <c r="F360" s="11" t="inlineStr">
        <is>
          <t>Melbourne IVF Nurses Enterprise Agreement</t>
        </is>
      </c>
      <c r="G360" s="11" t="inlineStr">
        <is>
          <t>Victoria</t>
        </is>
      </c>
      <c r="H360" s="13" t="inlineStr">
        <is>
          <t>60.80</t>
        </is>
      </c>
      <c r="I360" s="11" t="inlineStr">
        <is>
          <t>MELBOURNE IVF</t>
        </is>
      </c>
      <c r="J360" s="11" t="n"/>
      <c r="K360" s="14" t="n">
        <v>14</v>
      </c>
      <c r="L360" s="13" t="inlineStr">
        <is>
          <t>14.00</t>
        </is>
      </c>
      <c r="M360" s="12" t="n">
        <v>45949</v>
      </c>
      <c r="N360" s="12" t="n">
        <v>45796</v>
      </c>
      <c r="O360" s="13" t="inlineStr"/>
      <c r="P360" s="13" t="inlineStr"/>
      <c r="Q360" s="12" t="n"/>
    </row>
    <row r="361" ht="66" customHeight="1">
      <c r="A361" s="15" t="inlineStr">
        <is>
          <t>AU23754</t>
        </is>
      </c>
      <c r="B361" s="16" t="n">
        <v>45866</v>
      </c>
      <c r="C361" s="15" t="inlineStr">
        <is>
          <t>Genetics Intake Officer</t>
        </is>
      </c>
      <c r="D361" s="15" t="n"/>
      <c r="E361" s="15" t="inlineStr">
        <is>
          <t>PT - Part Time Waged</t>
        </is>
      </c>
      <c r="F361" s="15" t="inlineStr">
        <is>
          <t>Melbourne IVF Support Services Enterprise Agreement</t>
        </is>
      </c>
      <c r="G361" s="15" t="inlineStr">
        <is>
          <t>Victoria</t>
        </is>
      </c>
      <c r="H361" s="17" t="inlineStr">
        <is>
          <t>30.40</t>
        </is>
      </c>
      <c r="I361" s="15" t="inlineStr">
        <is>
          <t>MELBOURNE IVF</t>
        </is>
      </c>
      <c r="J361" s="15" t="n"/>
      <c r="K361" s="18" t="n">
        <v>5.99</v>
      </c>
      <c r="L361" s="17" t="inlineStr">
        <is>
          <t>5.99</t>
        </is>
      </c>
      <c r="M361" s="16" t="n">
        <v>45949</v>
      </c>
      <c r="N361" s="16" t="n">
        <v>45614</v>
      </c>
      <c r="O361" s="17" t="inlineStr"/>
      <c r="P361" s="17" t="inlineStr"/>
      <c r="Q361" s="16" t="n"/>
    </row>
    <row r="362" ht="52.8" customHeight="1">
      <c r="A362" s="11" t="inlineStr">
        <is>
          <t>AU23756</t>
        </is>
      </c>
      <c r="B362" s="12" t="n">
        <v>45873</v>
      </c>
      <c r="C362" s="11" t="inlineStr">
        <is>
          <t>Director of Nursing - MIVFPC</t>
        </is>
      </c>
      <c r="D362" s="11" t="n"/>
      <c r="E362" s="11" t="inlineStr">
        <is>
          <t>CO - Contract</t>
        </is>
      </c>
      <c r="F362" s="11" t="inlineStr">
        <is>
          <t>Common Law Employment Contract</t>
        </is>
      </c>
      <c r="G362" s="11" t="inlineStr">
        <is>
          <t>Victoria</t>
        </is>
      </c>
      <c r="H362" s="13" t="inlineStr">
        <is>
          <t>60.00</t>
        </is>
      </c>
      <c r="I362" s="11" t="inlineStr">
        <is>
          <t>MELBOURNE IVF</t>
        </is>
      </c>
      <c r="J362" s="11" t="n"/>
      <c r="K362" s="14" t="n">
        <v>5.41</v>
      </c>
      <c r="L362" s="13" t="inlineStr">
        <is>
          <t>5.41</t>
        </is>
      </c>
      <c r="M362" s="12" t="n">
        <v>45949</v>
      </c>
      <c r="N362" s="12" t="n">
        <v>45873</v>
      </c>
      <c r="O362" s="13" t="inlineStr"/>
      <c r="P362" s="13" t="inlineStr"/>
      <c r="Q362" s="12" t="n"/>
    </row>
    <row r="363" ht="66" customHeight="1">
      <c r="A363" s="15" t="inlineStr">
        <is>
          <t>AU23762</t>
        </is>
      </c>
      <c r="B363" s="16" t="n">
        <v>45866</v>
      </c>
      <c r="C363" s="15" t="inlineStr">
        <is>
          <t>Patient Liaison Administrator</t>
        </is>
      </c>
      <c r="D363" s="15" t="n"/>
      <c r="E363" s="15" t="inlineStr">
        <is>
          <t>FP - Full Time Waged</t>
        </is>
      </c>
      <c r="F363" s="15" t="inlineStr">
        <is>
          <t>Melbourne IVF Support Services Enterprise Agreement</t>
        </is>
      </c>
      <c r="G363" s="15" t="inlineStr">
        <is>
          <t>Victoria</t>
        </is>
      </c>
      <c r="H363" s="17" t="inlineStr">
        <is>
          <t>76.00</t>
        </is>
      </c>
      <c r="I363" s="15" t="inlineStr">
        <is>
          <t>MELBOURNE IVF</t>
        </is>
      </c>
      <c r="J363" s="15" t="n"/>
      <c r="K363" s="18" t="n">
        <v>14.98</v>
      </c>
      <c r="L363" s="17" t="inlineStr">
        <is>
          <t>14.98</t>
        </is>
      </c>
      <c r="M363" s="16" t="n">
        <v>45949</v>
      </c>
      <c r="N363" s="16" t="n">
        <v>45866</v>
      </c>
      <c r="O363" s="17" t="inlineStr"/>
      <c r="P363" s="17" t="inlineStr"/>
      <c r="Q363" s="16" t="n"/>
    </row>
    <row r="364" ht="66" customHeight="1">
      <c r="A364" s="11" t="inlineStr">
        <is>
          <t>AU23763</t>
        </is>
      </c>
      <c r="B364" s="12" t="n">
        <v>45873</v>
      </c>
      <c r="C364" s="11" t="inlineStr">
        <is>
          <t>Medical Secretary</t>
        </is>
      </c>
      <c r="D364" s="11" t="n"/>
      <c r="E364" s="11" t="inlineStr">
        <is>
          <t>CO - Contract</t>
        </is>
      </c>
      <c r="F364" s="11" t="inlineStr">
        <is>
          <t>Melbourne IVF Support Services Enterprise Agreement</t>
        </is>
      </c>
      <c r="G364" s="11" t="inlineStr">
        <is>
          <t>Victoria</t>
        </is>
      </c>
      <c r="H364" s="13" t="inlineStr">
        <is>
          <t>76.00</t>
        </is>
      </c>
      <c r="I364" s="11" t="inlineStr">
        <is>
          <t>MELBOURNE IVF</t>
        </is>
      </c>
      <c r="J364" s="11" t="n"/>
      <c r="K364" s="14" t="n">
        <v>13.71</v>
      </c>
      <c r="L364" s="13" t="inlineStr">
        <is>
          <t>13.71</t>
        </is>
      </c>
      <c r="M364" s="12" t="n">
        <v>45949</v>
      </c>
      <c r="N364" s="12" t="n">
        <v>45873</v>
      </c>
      <c r="O364" s="13" t="inlineStr"/>
      <c r="P364" s="13" t="inlineStr"/>
      <c r="Q364" s="12" t="n"/>
    </row>
    <row r="365" ht="66" customHeight="1">
      <c r="A365" s="15" t="inlineStr">
        <is>
          <t>AU23765</t>
        </is>
      </c>
      <c r="B365" s="16" t="n">
        <v>45880</v>
      </c>
      <c r="C365" s="15" t="inlineStr">
        <is>
          <t>Clinical Embryologist</t>
        </is>
      </c>
      <c r="D365" s="15" t="n"/>
      <c r="E365" s="15" t="inlineStr">
        <is>
          <t>FP - Full Time Waged</t>
        </is>
      </c>
      <c r="F365" s="15" t="inlineStr">
        <is>
          <t>Melbourne IVF Medical Scientists Enterprise Agreement</t>
        </is>
      </c>
      <c r="G365" s="15" t="inlineStr">
        <is>
          <t>Victoria</t>
        </is>
      </c>
      <c r="H365" s="17" t="inlineStr">
        <is>
          <t>76.00</t>
        </is>
      </c>
      <c r="I365" s="15" t="inlineStr">
        <is>
          <t>MELBOURNE IVF</t>
        </is>
      </c>
      <c r="J365" s="15" t="n"/>
      <c r="K365" s="18" t="n">
        <v>12.45</v>
      </c>
      <c r="L365" s="17" t="inlineStr">
        <is>
          <t>12.45</t>
        </is>
      </c>
      <c r="M365" s="16" t="n">
        <v>45949</v>
      </c>
      <c r="N365" s="16" t="n">
        <v>45880</v>
      </c>
      <c r="O365" s="17" t="inlineStr"/>
      <c r="P365" s="17" t="inlineStr"/>
      <c r="Q365" s="16" t="n"/>
    </row>
    <row r="366" ht="66" customHeight="1">
      <c r="A366" s="11" t="inlineStr">
        <is>
          <t>AU23781</t>
        </is>
      </c>
      <c r="B366" s="12" t="n">
        <v>45887</v>
      </c>
      <c r="C366" s="11" t="inlineStr">
        <is>
          <t>Receptionist</t>
        </is>
      </c>
      <c r="D366" s="11" t="n"/>
      <c r="E366" s="11" t="inlineStr">
        <is>
          <t>FP - Full Time Waged</t>
        </is>
      </c>
      <c r="F366" s="11" t="inlineStr">
        <is>
          <t>Melbourne IVF Support Services Enterprise Agreement</t>
        </is>
      </c>
      <c r="G366" s="11" t="inlineStr">
        <is>
          <t>Victoria</t>
        </is>
      </c>
      <c r="H366" s="13" t="inlineStr">
        <is>
          <t>76.00</t>
        </is>
      </c>
      <c r="I366" s="11" t="inlineStr">
        <is>
          <t>MELBOURNE IVF</t>
        </is>
      </c>
      <c r="J366" s="11" t="n"/>
      <c r="K366" s="14" t="n">
        <v>11.19</v>
      </c>
      <c r="L366" s="13" t="inlineStr">
        <is>
          <t>11.19</t>
        </is>
      </c>
      <c r="M366" s="12" t="n">
        <v>45949</v>
      </c>
      <c r="N366" s="12" t="n">
        <v>45887</v>
      </c>
      <c r="O366" s="13" t="inlineStr"/>
      <c r="P366" s="13" t="inlineStr"/>
      <c r="Q366" s="12" t="n"/>
    </row>
    <row r="367" ht="66" customHeight="1">
      <c r="A367" s="15" t="inlineStr">
        <is>
          <t>AU23784</t>
        </is>
      </c>
      <c r="B367" s="16" t="n">
        <v>45908</v>
      </c>
      <c r="C367" s="15" t="inlineStr">
        <is>
          <t>Receptionist</t>
        </is>
      </c>
      <c r="D367" s="15" t="n"/>
      <c r="E367" s="15" t="inlineStr">
        <is>
          <t>FP - Full Time Waged</t>
        </is>
      </c>
      <c r="F367" s="15" t="inlineStr">
        <is>
          <t>Melbourne IVF Support Services Enterprise Agreement</t>
        </is>
      </c>
      <c r="G367" s="15" t="inlineStr">
        <is>
          <t>Victoria</t>
        </is>
      </c>
      <c r="H367" s="17" t="inlineStr">
        <is>
          <t>76.00</t>
        </is>
      </c>
      <c r="I367" s="15" t="inlineStr">
        <is>
          <t>MELBOURNE IVF</t>
        </is>
      </c>
      <c r="J367" s="15" t="n"/>
      <c r="K367" s="18" t="n">
        <v>7.4</v>
      </c>
      <c r="L367" s="17" t="inlineStr">
        <is>
          <t>7.40</t>
        </is>
      </c>
      <c r="M367" s="16" t="n">
        <v>45949</v>
      </c>
      <c r="N367" s="16" t="n">
        <v>45908</v>
      </c>
      <c r="O367" s="17" t="inlineStr"/>
      <c r="P367" s="17" t="inlineStr"/>
      <c r="Q367" s="16" t="n"/>
    </row>
    <row r="368" ht="52.8" customHeight="1">
      <c r="A368" s="11" t="inlineStr">
        <is>
          <t>AU23786</t>
        </is>
      </c>
      <c r="B368" s="12" t="n">
        <v>45895</v>
      </c>
      <c r="C368" s="11" t="inlineStr">
        <is>
          <t>Registered Nurse</t>
        </is>
      </c>
      <c r="D368" s="11" t="n"/>
      <c r="E368" s="11" t="inlineStr">
        <is>
          <t>CO - Contract</t>
        </is>
      </c>
      <c r="F368" s="11" t="inlineStr">
        <is>
          <t>Melbourne IVF Nurses Enterprise Agreement</t>
        </is>
      </c>
      <c r="G368" s="11" t="inlineStr">
        <is>
          <t>Victoria</t>
        </is>
      </c>
      <c r="H368" s="13" t="inlineStr">
        <is>
          <t>76.00</t>
        </is>
      </c>
      <c r="I368" s="11" t="inlineStr">
        <is>
          <t>MELBOURNE IVF</t>
        </is>
      </c>
      <c r="J368" s="11" t="n"/>
      <c r="K368" s="14" t="n">
        <v>9.74</v>
      </c>
      <c r="L368" s="13" t="inlineStr">
        <is>
          <t>9.74</t>
        </is>
      </c>
      <c r="M368" s="12" t="n">
        <v>45949</v>
      </c>
      <c r="N368" s="12" t="n">
        <v>45895</v>
      </c>
      <c r="O368" s="13" t="inlineStr"/>
      <c r="P368" s="13" t="inlineStr"/>
      <c r="Q368" s="12" t="n"/>
    </row>
    <row r="369" ht="66" customHeight="1">
      <c r="A369" s="15" t="inlineStr">
        <is>
          <t>AU23792</t>
        </is>
      </c>
      <c r="B369" s="16" t="n">
        <v>45901</v>
      </c>
      <c r="C369" s="15" t="inlineStr">
        <is>
          <t>Patient Liaison Administrator</t>
        </is>
      </c>
      <c r="D369" s="15" t="n"/>
      <c r="E369" s="15" t="inlineStr">
        <is>
          <t>CO - Contract</t>
        </is>
      </c>
      <c r="F369" s="15" t="inlineStr">
        <is>
          <t>Melbourne IVF Support Services Enterprise Agreement</t>
        </is>
      </c>
      <c r="G369" s="15" t="inlineStr">
        <is>
          <t>Victoria</t>
        </is>
      </c>
      <c r="H369" s="17" t="inlineStr">
        <is>
          <t>76.00</t>
        </is>
      </c>
      <c r="I369" s="15" t="inlineStr">
        <is>
          <t>MELBOURNE IVF</t>
        </is>
      </c>
      <c r="J369" s="15" t="n"/>
      <c r="K369" s="18" t="n">
        <v>8.66</v>
      </c>
      <c r="L369" s="17" t="inlineStr">
        <is>
          <t>8.66</t>
        </is>
      </c>
      <c r="M369" s="16" t="n">
        <v>45949</v>
      </c>
      <c r="N369" s="16" t="n">
        <v>45901</v>
      </c>
      <c r="O369" s="17" t="inlineStr"/>
      <c r="P369" s="17" t="inlineStr"/>
      <c r="Q369" s="16" t="n"/>
    </row>
    <row r="370" ht="79.2" customHeight="1">
      <c r="A370" s="11" t="inlineStr">
        <is>
          <t>AU23795</t>
        </is>
      </c>
      <c r="B370" s="12" t="n">
        <v>45908</v>
      </c>
      <c r="C370" s="11" t="inlineStr">
        <is>
          <t>Phlebotomist</t>
        </is>
      </c>
      <c r="D370" s="11" t="n"/>
      <c r="E370" s="11" t="inlineStr">
        <is>
          <t>PT - Part Time Waged</t>
        </is>
      </c>
      <c r="F370" s="11" t="inlineStr">
        <is>
          <t>Health Professionals and Support Services Award</t>
        </is>
      </c>
      <c r="G370" s="11" t="inlineStr">
        <is>
          <t>Victoria</t>
        </is>
      </c>
      <c r="H370" s="13" t="inlineStr">
        <is>
          <t>45.60</t>
        </is>
      </c>
      <c r="I370" s="11" t="inlineStr">
        <is>
          <t>MELBOURNE IVF</t>
        </is>
      </c>
      <c r="J370" s="11" t="n"/>
      <c r="K370" s="14" t="n">
        <v>7.9</v>
      </c>
      <c r="L370" s="13" t="inlineStr">
        <is>
          <t>7.90</t>
        </is>
      </c>
      <c r="M370" s="12" t="n">
        <v>45949</v>
      </c>
      <c r="N370" s="12" t="n">
        <v>44218</v>
      </c>
      <c r="O370" s="13" t="inlineStr"/>
      <c r="P370" s="13" t="inlineStr"/>
      <c r="Q370" s="12" t="n"/>
    </row>
    <row r="371" ht="66" customHeight="1">
      <c r="A371" s="15" t="inlineStr">
        <is>
          <t>AU23828</t>
        </is>
      </c>
      <c r="B371" s="16" t="n">
        <v>45915</v>
      </c>
      <c r="C371" s="15" t="inlineStr">
        <is>
          <t>Administration Clerk</t>
        </is>
      </c>
      <c r="D371" s="15" t="n"/>
      <c r="E371" s="15" t="inlineStr">
        <is>
          <t>FP - Full Time Waged</t>
        </is>
      </c>
      <c r="F371" s="15" t="inlineStr">
        <is>
          <t>Melbourne IVF Support Services Enterprise Agreement</t>
        </is>
      </c>
      <c r="G371" s="15" t="inlineStr">
        <is>
          <t>Victoria</t>
        </is>
      </c>
      <c r="H371" s="17" t="inlineStr">
        <is>
          <t>76.00</t>
        </is>
      </c>
      <c r="I371" s="15" t="inlineStr">
        <is>
          <t>MELBOURNE IVF</t>
        </is>
      </c>
      <c r="J371" s="15" t="n"/>
      <c r="K371" s="18" t="n">
        <v>6.14</v>
      </c>
      <c r="L371" s="17" t="inlineStr">
        <is>
          <t>6.14</t>
        </is>
      </c>
      <c r="M371" s="16" t="n">
        <v>45949</v>
      </c>
      <c r="N371" s="16" t="n">
        <v>45915</v>
      </c>
      <c r="O371" s="17" t="inlineStr"/>
      <c r="P371" s="17" t="inlineStr"/>
      <c r="Q371" s="16" t="n"/>
    </row>
    <row r="372" ht="52.8" customHeight="1">
      <c r="A372" s="11" t="inlineStr">
        <is>
          <t>AU23830</t>
        </is>
      </c>
      <c r="B372" s="12" t="n">
        <v>45922</v>
      </c>
      <c r="C372" s="11" t="inlineStr">
        <is>
          <t>Registered Nurse</t>
        </is>
      </c>
      <c r="D372" s="11" t="n"/>
      <c r="E372" s="11" t="inlineStr">
        <is>
          <t>CO - Contract</t>
        </is>
      </c>
      <c r="F372" s="11" t="inlineStr">
        <is>
          <t>Melbourne IVF Nurses Enterprise Agreement</t>
        </is>
      </c>
      <c r="G372" s="11" t="inlineStr">
        <is>
          <t>Victoria</t>
        </is>
      </c>
      <c r="H372" s="13" t="inlineStr">
        <is>
          <t>30.00</t>
        </is>
      </c>
      <c r="I372" s="11" t="inlineStr">
        <is>
          <t>MELBOURNE IVF</t>
        </is>
      </c>
      <c r="J372" s="11" t="n"/>
      <c r="K372" s="14" t="n">
        <v>1.92</v>
      </c>
      <c r="L372" s="13" t="inlineStr">
        <is>
          <t>1.92</t>
        </is>
      </c>
      <c r="M372" s="12" t="n">
        <v>45949</v>
      </c>
      <c r="N372" s="12" t="n">
        <v>45798</v>
      </c>
      <c r="O372" s="13" t="inlineStr"/>
      <c r="P372" s="13" t="inlineStr"/>
      <c r="Q372" s="12" t="n"/>
    </row>
    <row r="373" ht="66" customHeight="1">
      <c r="A373" s="15" t="inlineStr">
        <is>
          <t>AU23847</t>
        </is>
      </c>
      <c r="B373" s="16" t="n">
        <v>45922</v>
      </c>
      <c r="C373" s="15" t="inlineStr">
        <is>
          <t>Andrologist</t>
        </is>
      </c>
      <c r="D373" s="15" t="n"/>
      <c r="E373" s="15" t="inlineStr">
        <is>
          <t>FP - Full Time Waged</t>
        </is>
      </c>
      <c r="F373" s="15" t="inlineStr">
        <is>
          <t>Melbourne IVF Medical Scientists Enterprise Agreement</t>
        </is>
      </c>
      <c r="G373" s="15" t="inlineStr">
        <is>
          <t>Victoria</t>
        </is>
      </c>
      <c r="H373" s="17" t="inlineStr">
        <is>
          <t>76.00</t>
        </is>
      </c>
      <c r="I373" s="15" t="inlineStr">
        <is>
          <t>MELBOURNE IVF</t>
        </is>
      </c>
      <c r="J373" s="15" t="n"/>
      <c r="K373" s="18" t="n">
        <v>4.87</v>
      </c>
      <c r="L373" s="17" t="inlineStr">
        <is>
          <t>4.87</t>
        </is>
      </c>
      <c r="M373" s="16" t="n">
        <v>45949</v>
      </c>
      <c r="N373" s="16" t="n">
        <v>45922</v>
      </c>
      <c r="O373" s="17" t="inlineStr"/>
      <c r="P373" s="17" t="inlineStr"/>
      <c r="Q373" s="16" t="n"/>
    </row>
    <row r="374" ht="52.8" customHeight="1">
      <c r="A374" s="11" t="inlineStr">
        <is>
          <t>AU23858</t>
        </is>
      </c>
      <c r="B374" s="12" t="n">
        <v>45929</v>
      </c>
      <c r="C374" s="11" t="inlineStr">
        <is>
          <t>Registered Nurse</t>
        </is>
      </c>
      <c r="D374" s="11" t="n"/>
      <c r="E374" s="11" t="inlineStr">
        <is>
          <t>CO - Contract</t>
        </is>
      </c>
      <c r="F374" s="11" t="inlineStr">
        <is>
          <t>Melbourne IVF Nurses Enterprise Agreement</t>
        </is>
      </c>
      <c r="G374" s="11" t="inlineStr">
        <is>
          <t>Victoria</t>
        </is>
      </c>
      <c r="H374" s="13" t="inlineStr">
        <is>
          <t>60.80</t>
        </is>
      </c>
      <c r="I374" s="11" t="inlineStr">
        <is>
          <t>MELBOURNE IVF</t>
        </is>
      </c>
      <c r="J374" s="11" t="n"/>
      <c r="K374" s="14" t="n">
        <v>2.89</v>
      </c>
      <c r="L374" s="13" t="inlineStr">
        <is>
          <t>2.89</t>
        </is>
      </c>
      <c r="M374" s="12" t="n">
        <v>45949</v>
      </c>
      <c r="N374" s="12" t="n">
        <v>45929</v>
      </c>
      <c r="O374" s="13" t="inlineStr"/>
      <c r="P374" s="13" t="inlineStr"/>
      <c r="Q374" s="12" t="n"/>
    </row>
    <row r="375" ht="66" customHeight="1">
      <c r="A375" s="15" t="inlineStr">
        <is>
          <t>AU23874</t>
        </is>
      </c>
      <c r="B375" s="16" t="n">
        <v>45936</v>
      </c>
      <c r="C375" s="15" t="inlineStr">
        <is>
          <t>Clinical Technologist</t>
        </is>
      </c>
      <c r="D375" s="15" t="n"/>
      <c r="E375" s="15" t="inlineStr">
        <is>
          <t>CO - Contract</t>
        </is>
      </c>
      <c r="F375" s="15" t="inlineStr">
        <is>
          <t>Melbourne IVF Medical Scientists Enterprise Agreement</t>
        </is>
      </c>
      <c r="G375" s="15" t="inlineStr">
        <is>
          <t>Victoria</t>
        </is>
      </c>
      <c r="H375" s="17" t="inlineStr">
        <is>
          <t>76.00</t>
        </is>
      </c>
      <c r="I375" s="15" t="inlineStr">
        <is>
          <t>MELBOURNE IVF</t>
        </is>
      </c>
      <c r="J375" s="15" t="n"/>
      <c r="K375" s="18" t="n">
        <v>2.35</v>
      </c>
      <c r="L375" s="17" t="inlineStr">
        <is>
          <t>2.35</t>
        </is>
      </c>
      <c r="M375" s="16" t="n">
        <v>45949</v>
      </c>
      <c r="N375" s="16" t="n">
        <v>45936</v>
      </c>
      <c r="O375" s="17" t="inlineStr"/>
      <c r="P375" s="17" t="inlineStr"/>
      <c r="Q375" s="16" t="n"/>
    </row>
    <row r="376" ht="66" customHeight="1">
      <c r="A376" s="11" t="inlineStr">
        <is>
          <t>AU23865</t>
        </is>
      </c>
      <c r="B376" s="12" t="n">
        <v>45943</v>
      </c>
      <c r="C376" s="11" t="inlineStr">
        <is>
          <t>Embryologist</t>
        </is>
      </c>
      <c r="D376" s="11" t="n"/>
      <c r="E376" s="11" t="inlineStr">
        <is>
          <t>CO - Contract</t>
        </is>
      </c>
      <c r="F376" s="11" t="inlineStr">
        <is>
          <t>Melbourne IVF Medical Scientists Enterprise Agreement</t>
        </is>
      </c>
      <c r="G376" s="11" t="inlineStr">
        <is>
          <t>Victoria</t>
        </is>
      </c>
      <c r="H376" s="13" t="inlineStr">
        <is>
          <t>76.00</t>
        </is>
      </c>
      <c r="I376" s="11" t="inlineStr">
        <is>
          <t>MELBOURNE IVF</t>
        </is>
      </c>
      <c r="J376" s="11" t="n"/>
      <c r="K376" s="14" t="n">
        <v>1.08</v>
      </c>
      <c r="L376" s="13" t="inlineStr">
        <is>
          <t>1.08</t>
        </is>
      </c>
      <c r="M376" s="12" t="n">
        <v>45949</v>
      </c>
      <c r="N376" s="12" t="n">
        <v>45943</v>
      </c>
      <c r="O376" s="13" t="inlineStr"/>
      <c r="P376" s="13" t="inlineStr"/>
      <c r="Q376" s="12" t="n"/>
    </row>
    <row r="377" ht="66" customHeight="1">
      <c r="A377" s="15" t="inlineStr">
        <is>
          <t>AU23879</t>
        </is>
      </c>
      <c r="B377" s="16" t="n">
        <v>45943</v>
      </c>
      <c r="C377" s="15" t="inlineStr">
        <is>
          <t>Administration Clerk</t>
        </is>
      </c>
      <c r="D377" s="15" t="n"/>
      <c r="E377" s="15" t="inlineStr">
        <is>
          <t>FP - Full Time Waged</t>
        </is>
      </c>
      <c r="F377" s="15" t="inlineStr">
        <is>
          <t>TAS IVF Support Services Enterprise Agreement</t>
        </is>
      </c>
      <c r="G377" s="15" t="inlineStr">
        <is>
          <t>Tasmania</t>
        </is>
      </c>
      <c r="H377" s="17" t="inlineStr">
        <is>
          <t>75.00</t>
        </is>
      </c>
      <c r="I377" s="15" t="inlineStr">
        <is>
          <t>TAS IVF PTY LTD</t>
        </is>
      </c>
      <c r="J377" s="15" t="n"/>
      <c r="K377" s="18" t="n">
        <v>0.54</v>
      </c>
      <c r="L377" s="17" t="inlineStr">
        <is>
          <t>0.54</t>
        </is>
      </c>
      <c r="M377" s="16" t="n">
        <v>45949</v>
      </c>
      <c r="N377" s="16" t="n">
        <v>45943</v>
      </c>
      <c r="O377" s="17" t="inlineStr"/>
      <c r="P377" s="17" t="inlineStr"/>
      <c r="Q377" s="16" t="n"/>
    </row>
    <row r="378" ht="66" customHeight="1">
      <c r="A378" s="11" t="inlineStr">
        <is>
          <t>AU23895</t>
        </is>
      </c>
      <c r="B378" s="12" t="n">
        <v>45945</v>
      </c>
      <c r="C378" s="11" t="inlineStr">
        <is>
          <t>Nursing Administrator</t>
        </is>
      </c>
      <c r="D378" s="11" t="n"/>
      <c r="E378" s="11" t="inlineStr">
        <is>
          <t>CO - Contract</t>
        </is>
      </c>
      <c r="F378" s="11" t="inlineStr">
        <is>
          <t>Melbourne IVF Support Services Enterprise Agreement</t>
        </is>
      </c>
      <c r="G378" s="11" t="inlineStr">
        <is>
          <t>Victoria</t>
        </is>
      </c>
      <c r="H378" s="13" t="inlineStr">
        <is>
          <t>76.00</t>
        </is>
      </c>
      <c r="I378" s="11" t="inlineStr">
        <is>
          <t>MELBOURNE IVF</t>
        </is>
      </c>
      <c r="J378" s="11" t="n"/>
      <c r="K378" s="14" t="n">
        <v>0.72</v>
      </c>
      <c r="L378" s="13" t="inlineStr">
        <is>
          <t>0.72</t>
        </is>
      </c>
      <c r="M378" s="12" t="n">
        <v>45949</v>
      </c>
      <c r="N378" s="12" t="n">
        <v>45945</v>
      </c>
      <c r="O378" s="13" t="inlineStr"/>
      <c r="P378" s="13" t="inlineStr"/>
      <c r="Q378" s="12" t="n"/>
    </row>
    <row r="379" ht="66" customHeight="1">
      <c r="A379" s="15" t="inlineStr">
        <is>
          <t>AU23872</t>
        </is>
      </c>
      <c r="B379" s="16" t="n">
        <v>45950</v>
      </c>
      <c r="C379" s="15" t="inlineStr">
        <is>
          <t>Patient Liaison Administrator</t>
        </is>
      </c>
      <c r="D379" s="15" t="n"/>
      <c r="E379" s="15" t="inlineStr">
        <is>
          <t>PT - Part Time Waged</t>
        </is>
      </c>
      <c r="F379" s="15" t="inlineStr">
        <is>
          <t>TAS IVF Support Services Enterprise Agreement</t>
        </is>
      </c>
      <c r="G379" s="15" t="inlineStr">
        <is>
          <t>Tasmania</t>
        </is>
      </c>
      <c r="H379" s="17" t="inlineStr">
        <is>
          <t>30.00</t>
        </is>
      </c>
      <c r="I379" s="15" t="inlineStr">
        <is>
          <t>TAS IVF PTY LTD</t>
        </is>
      </c>
      <c r="J379" s="15" t="n"/>
      <c r="K379" s="18" t="n"/>
      <c r="L379" s="17" t="inlineStr"/>
      <c r="M379" s="16" t="n">
        <v>45950</v>
      </c>
      <c r="N379" s="16" t="n">
        <v>45950</v>
      </c>
      <c r="O379" s="17" t="inlineStr"/>
      <c r="P379" s="17" t="inlineStr"/>
      <c r="Q379" s="16" t="n"/>
    </row>
    <row r="380" ht="39.6" customHeight="1">
      <c r="A380" s="11" t="n">
        <v>19801</v>
      </c>
      <c r="B380" s="12" t="n">
        <v>40210</v>
      </c>
      <c r="C380" s="11" t="inlineStr">
        <is>
          <t>Embryologist</t>
        </is>
      </c>
      <c r="D380" s="11" t="inlineStr">
        <is>
          <t>IVFA Scientists EA</t>
        </is>
      </c>
      <c r="E380" s="11" t="inlineStr">
        <is>
          <t>FT - Full-time Waged</t>
        </is>
      </c>
      <c r="F380" s="11" t="inlineStr">
        <is>
          <t>IVFA</t>
        </is>
      </c>
      <c r="G380" s="11" t="inlineStr">
        <is>
          <t>New South Wales</t>
        </is>
      </c>
      <c r="H380" s="13" t="inlineStr">
        <is>
          <t>76.00</t>
        </is>
      </c>
      <c r="I380" s="11" t="inlineStr">
        <is>
          <t>IVF Australia Pty Ltd</t>
        </is>
      </c>
      <c r="J380" s="14" t="n">
        <v>266.12</v>
      </c>
      <c r="K380" s="13" t="inlineStr"/>
      <c r="L380" s="12" t="n">
        <v>45599</v>
      </c>
      <c r="M380" s="12" t="n">
        <v>45689</v>
      </c>
      <c r="N380" s="13" t="inlineStr">
        <is>
          <t>266.12</t>
        </is>
      </c>
      <c r="O380" s="13" t="inlineStr"/>
      <c r="P380" s="12" t="n"/>
    </row>
    <row r="381" ht="52.8" customHeight="1">
      <c r="A381" s="15" t="inlineStr">
        <is>
          <t>AU23875</t>
        </is>
      </c>
      <c r="B381" s="16" t="n">
        <v>45957</v>
      </c>
      <c r="C381" s="15" t="inlineStr">
        <is>
          <t>Administration Clerk</t>
        </is>
      </c>
      <c r="D381" s="15" t="n"/>
      <c r="E381" s="15" t="inlineStr">
        <is>
          <t>FT - Full-time Waged</t>
        </is>
      </c>
      <c r="F381" s="15" t="n"/>
      <c r="G381" s="15" t="inlineStr">
        <is>
          <t>Queensland</t>
        </is>
      </c>
      <c r="H381" s="17" t="inlineStr"/>
      <c r="I381" s="15" t="inlineStr">
        <is>
          <t>Spring Hill Specialist Day Hospital</t>
        </is>
      </c>
      <c r="J381" s="18" t="n"/>
      <c r="K381" s="17" t="inlineStr"/>
      <c r="L381" s="16" t="n"/>
      <c r="M381" s="16" t="n"/>
      <c r="N381" s="17" t="inlineStr"/>
      <c r="O381" s="17" t="inlineStr"/>
      <c r="P381" s="16" t="n"/>
    </row>
    <row r="382" ht="66" customHeight="1">
      <c r="A382" s="11" t="inlineStr">
        <is>
          <t>AU23013</t>
        </is>
      </c>
      <c r="B382" s="12" t="n">
        <v>45215</v>
      </c>
      <c r="C382" s="11" t="inlineStr">
        <is>
          <t>Registered Nurse</t>
        </is>
      </c>
      <c r="D382" s="11" t="inlineStr">
        <is>
          <t>NSW Nurse EA</t>
        </is>
      </c>
      <c r="E382" s="11" t="inlineStr">
        <is>
          <t>CA - Casual</t>
        </is>
      </c>
      <c r="F382" s="11" t="inlineStr">
        <is>
          <t>Day Hospitals</t>
        </is>
      </c>
      <c r="G382" s="11" t="inlineStr">
        <is>
          <t>New South Wales</t>
        </is>
      </c>
      <c r="H382" s="13" t="inlineStr"/>
      <c r="I382" s="11" t="inlineStr">
        <is>
          <t>Alexandria Specialist Day Hospital Pty Ltd</t>
        </is>
      </c>
      <c r="J382" s="14" t="n">
        <v>0.12</v>
      </c>
      <c r="K382" s="13" t="inlineStr">
        <is>
          <t>0.12</t>
        </is>
      </c>
      <c r="L382" s="12" t="n">
        <v>45235</v>
      </c>
      <c r="M382" s="12" t="n">
        <v>45215</v>
      </c>
      <c r="N382" s="13" t="inlineStr"/>
      <c r="O382" s="13" t="inlineStr"/>
      <c r="P382" s="12" t="n"/>
    </row>
    <row r="383" ht="52.8" customHeight="1">
      <c r="A383" s="15" t="inlineStr">
        <is>
          <t>AU23850</t>
        </is>
      </c>
      <c r="B383" s="16" t="n">
        <v>45915</v>
      </c>
      <c r="C383" s="15" t="inlineStr">
        <is>
          <t xml:space="preserve">Theatre Nurse </t>
        </is>
      </c>
      <c r="D383" s="15" t="inlineStr">
        <is>
          <t>QLD Nurse EA</t>
        </is>
      </c>
      <c r="E383" s="15" t="inlineStr">
        <is>
          <t>CA - Casual</t>
        </is>
      </c>
      <c r="F383" s="15" t="inlineStr">
        <is>
          <t>Queensland Fertility Group</t>
        </is>
      </c>
      <c r="G383" s="15" t="inlineStr">
        <is>
          <t>Queensland</t>
        </is>
      </c>
      <c r="H383" s="17" t="inlineStr"/>
      <c r="I383" s="15" t="inlineStr">
        <is>
          <t>Queensland Fertility Group Pty Ltd</t>
        </is>
      </c>
      <c r="J383" s="18" t="n">
        <v>0.18</v>
      </c>
      <c r="K383" s="17" t="inlineStr">
        <is>
          <t>0.18</t>
        </is>
      </c>
      <c r="L383" s="16" t="n">
        <v>45935</v>
      </c>
      <c r="M383" s="16" t="n">
        <v>45915</v>
      </c>
      <c r="N383" s="17" t="inlineStr"/>
      <c r="O383" s="17" t="inlineStr"/>
      <c r="P383" s="16" t="n"/>
    </row>
    <row r="384" ht="79.2" customHeight="1">
      <c r="A384" s="11" t="inlineStr">
        <is>
          <t>AU23852</t>
        </is>
      </c>
      <c r="B384" s="12" t="n">
        <v>45922</v>
      </c>
      <c r="C384" s="11" t="inlineStr">
        <is>
          <t>Administration</t>
        </is>
      </c>
      <c r="D384" s="11" t="inlineStr">
        <is>
          <t>Health Professionals and Support Services Award</t>
        </is>
      </c>
      <c r="E384" s="11" t="inlineStr">
        <is>
          <t>CA - Casual</t>
        </is>
      </c>
      <c r="F384" s="11" t="inlineStr">
        <is>
          <t>Queensland Fertility Group</t>
        </is>
      </c>
      <c r="G384" s="11" t="inlineStr">
        <is>
          <t>Queensland</t>
        </is>
      </c>
      <c r="H384" s="13" t="inlineStr"/>
      <c r="I384" s="11" t="inlineStr">
        <is>
          <t>Queensland Fertility Group Pty Ltd</t>
        </is>
      </c>
      <c r="J384" s="14" t="n">
        <v>0.22</v>
      </c>
      <c r="K384" s="13" t="inlineStr">
        <is>
          <t>0.22</t>
        </is>
      </c>
      <c r="L384" s="12" t="n">
        <v>45935</v>
      </c>
      <c r="M384" s="12" t="n">
        <v>45922</v>
      </c>
      <c r="N384" s="13" t="inlineStr"/>
      <c r="O384" s="13" t="inlineStr"/>
      <c r="P384" s="12" t="n"/>
    </row>
    <row r="385" ht="66" customHeight="1">
      <c r="A385" s="15" t="inlineStr">
        <is>
          <t>AU23630</t>
        </is>
      </c>
      <c r="B385" s="16" t="n">
        <v>45754</v>
      </c>
      <c r="C385" s="15" t="inlineStr">
        <is>
          <t>Registered Nurse</t>
        </is>
      </c>
      <c r="D385" s="15" t="inlineStr">
        <is>
          <t>NSW Nurse EA</t>
        </is>
      </c>
      <c r="E385" s="15" t="inlineStr">
        <is>
          <t>CA - Casual</t>
        </is>
      </c>
      <c r="F385" s="15" t="inlineStr">
        <is>
          <t>Day Hospitals</t>
        </is>
      </c>
      <c r="G385" s="15" t="inlineStr">
        <is>
          <t>New South Wales</t>
        </is>
      </c>
      <c r="H385" s="17" t="inlineStr"/>
      <c r="I385" s="15" t="inlineStr">
        <is>
          <t>Alexandria Specialist Day Hospital Pty Ltd</t>
        </is>
      </c>
      <c r="J385" s="18" t="n">
        <v>0.23</v>
      </c>
      <c r="K385" s="17" t="inlineStr">
        <is>
          <t>0.23</t>
        </is>
      </c>
      <c r="L385" s="16" t="n">
        <v>45921</v>
      </c>
      <c r="M385" s="16" t="n">
        <v>45754</v>
      </c>
      <c r="N385" s="17" t="inlineStr"/>
      <c r="O385" s="17" t="inlineStr"/>
      <c r="P385" s="16" t="n"/>
    </row>
    <row r="386" ht="39.6" customHeight="1">
      <c r="A386" s="11" t="inlineStr">
        <is>
          <t>AU23873</t>
        </is>
      </c>
      <c r="B386" s="12" t="n">
        <v>45938</v>
      </c>
      <c r="C386" s="11" t="inlineStr">
        <is>
          <t>Nurse Coordinator</t>
        </is>
      </c>
      <c r="D386" s="11" t="inlineStr">
        <is>
          <t>NSW Nurse EA</t>
        </is>
      </c>
      <c r="E386" s="11" t="inlineStr">
        <is>
          <t>PP - Part-time Waged</t>
        </is>
      </c>
      <c r="F386" s="11" t="inlineStr">
        <is>
          <t>IVFA</t>
        </is>
      </c>
      <c r="G386" s="11" t="inlineStr">
        <is>
          <t>Australian Capital Territory</t>
        </is>
      </c>
      <c r="H386" s="13" t="inlineStr">
        <is>
          <t>51.00</t>
        </is>
      </c>
      <c r="I386" s="11" t="inlineStr">
        <is>
          <t>IVF Australia Pty Ltd</t>
        </is>
      </c>
      <c r="J386" s="14" t="n">
        <v>0.28</v>
      </c>
      <c r="K386" s="13" t="inlineStr">
        <is>
          <t>0.28</t>
        </is>
      </c>
      <c r="L386" s="12" t="n">
        <v>45949</v>
      </c>
      <c r="M386" s="12" t="n">
        <v>45938</v>
      </c>
      <c r="N386" s="13" t="inlineStr"/>
      <c r="O386" s="13" t="inlineStr"/>
      <c r="P386" s="12" t="n"/>
    </row>
    <row r="387" ht="66" customHeight="1">
      <c r="A387" s="15" t="n">
        <v>30052</v>
      </c>
      <c r="B387" s="16" t="n">
        <v>40444</v>
      </c>
      <c r="C387" s="15" t="inlineStr">
        <is>
          <t>Registered Nurse</t>
        </is>
      </c>
      <c r="D387" s="15" t="inlineStr">
        <is>
          <t>NSW Nurse EA</t>
        </is>
      </c>
      <c r="E387" s="15" t="inlineStr">
        <is>
          <t>CA - Casual</t>
        </is>
      </c>
      <c r="F387" s="15" t="inlineStr">
        <is>
          <t>Day Hospitals</t>
        </is>
      </c>
      <c r="G387" s="15" t="inlineStr">
        <is>
          <t>New South Wales</t>
        </is>
      </c>
      <c r="H387" s="17" t="inlineStr"/>
      <c r="I387" s="15" t="inlineStr">
        <is>
          <t>North Shore Specialist Day Hospital Pty Ltd</t>
        </is>
      </c>
      <c r="J387" s="18" t="n">
        <v>39.67</v>
      </c>
      <c r="K387" s="17" t="inlineStr">
        <is>
          <t>0.33</t>
        </is>
      </c>
      <c r="L387" s="16" t="n">
        <v>45949</v>
      </c>
      <c r="M387" s="16" t="n">
        <v>45923</v>
      </c>
      <c r="N387" s="17" t="inlineStr">
        <is>
          <t>39.34</t>
        </is>
      </c>
      <c r="O387" s="17" t="inlineStr"/>
      <c r="P387" s="16" t="n"/>
    </row>
    <row r="388" ht="52.8" customHeight="1">
      <c r="A388" s="11" t="n">
        <v>80067</v>
      </c>
      <c r="B388" s="12" t="n">
        <v>40737</v>
      </c>
      <c r="C388" s="11" t="inlineStr">
        <is>
          <t>Clinical Nurse</t>
        </is>
      </c>
      <c r="D388" s="11" t="inlineStr">
        <is>
          <t>QLD Nurse EA</t>
        </is>
      </c>
      <c r="E388" s="11" t="inlineStr">
        <is>
          <t>CA - Casual</t>
        </is>
      </c>
      <c r="F388" s="11" t="inlineStr">
        <is>
          <t>The Fertility Centre</t>
        </is>
      </c>
      <c r="G388" s="11" t="inlineStr">
        <is>
          <t>Queensland</t>
        </is>
      </c>
      <c r="H388" s="13" t="inlineStr"/>
      <c r="I388" s="11" t="inlineStr">
        <is>
          <t>Queensland Fertility Group Pty Ltd</t>
        </is>
      </c>
      <c r="J388" s="14" t="n">
        <v>6.7</v>
      </c>
      <c r="K388" s="13" t="inlineStr">
        <is>
          <t>0.34</t>
        </is>
      </c>
      <c r="L388" s="12" t="n">
        <v>45921</v>
      </c>
      <c r="M388" s="12" t="n">
        <v>45851</v>
      </c>
      <c r="N388" s="13" t="inlineStr">
        <is>
          <t>6.36</t>
        </is>
      </c>
      <c r="O388" s="13" t="inlineStr"/>
      <c r="P388" s="12" t="n"/>
    </row>
    <row r="389" ht="52.8" customHeight="1">
      <c r="A389" s="15" t="inlineStr">
        <is>
          <t>AU23877</t>
        </is>
      </c>
      <c r="B389" s="16" t="n">
        <v>45938</v>
      </c>
      <c r="C389" s="15" t="inlineStr">
        <is>
          <t>Registered Nurse</t>
        </is>
      </c>
      <c r="D389" s="15" t="inlineStr">
        <is>
          <t>QLD Nurse EA</t>
        </is>
      </c>
      <c r="E389" s="15" t="inlineStr">
        <is>
          <t>FT - Full-time Waged</t>
        </is>
      </c>
      <c r="F389" s="15" t="inlineStr">
        <is>
          <t>Day Hospitals</t>
        </is>
      </c>
      <c r="G389" s="15" t="inlineStr">
        <is>
          <t>Queensland</t>
        </is>
      </c>
      <c r="H389" s="17" t="inlineStr">
        <is>
          <t>76.00</t>
        </is>
      </c>
      <c r="I389" s="15" t="inlineStr">
        <is>
          <t>Spring Hill Specialist Day Hospital</t>
        </is>
      </c>
      <c r="J389" s="18" t="n">
        <v>0.38</v>
      </c>
      <c r="K389" s="17" t="inlineStr">
        <is>
          <t>0.38</t>
        </is>
      </c>
      <c r="L389" s="16" t="n">
        <v>45949</v>
      </c>
      <c r="M389" s="16" t="n">
        <v>45938</v>
      </c>
      <c r="N389" s="17" t="inlineStr"/>
      <c r="O389" s="17" t="inlineStr"/>
      <c r="P389" s="16" t="n"/>
    </row>
    <row r="390" ht="39.6" customHeight="1">
      <c r="A390" s="11" t="inlineStr">
        <is>
          <t>AU23880</t>
        </is>
      </c>
      <c r="B390" s="12" t="n">
        <v>45943</v>
      </c>
      <c r="C390" s="11" t="inlineStr">
        <is>
          <t>Nurse Coordinator</t>
        </is>
      </c>
      <c r="D390" s="11" t="inlineStr">
        <is>
          <t>NSW Nurse EA</t>
        </is>
      </c>
      <c r="E390" s="11" t="inlineStr">
        <is>
          <t>CO - Contract</t>
        </is>
      </c>
      <c r="F390" s="11" t="inlineStr">
        <is>
          <t>IVFA</t>
        </is>
      </c>
      <c r="G390" s="11" t="inlineStr">
        <is>
          <t>New South Wales</t>
        </is>
      </c>
      <c r="H390" s="13" t="inlineStr">
        <is>
          <t>51.00</t>
        </is>
      </c>
      <c r="I390" s="11" t="inlineStr">
        <is>
          <t>IVF Australia Pty Ltd</t>
        </is>
      </c>
      <c r="J390" s="14" t="n">
        <v>0.43</v>
      </c>
      <c r="K390" s="13" t="inlineStr">
        <is>
          <t>0.43</t>
        </is>
      </c>
      <c r="L390" s="12" t="n">
        <v>45949</v>
      </c>
      <c r="M390" s="12" t="n">
        <v>45943</v>
      </c>
      <c r="N390" s="13" t="inlineStr"/>
      <c r="O390" s="13" t="inlineStr"/>
      <c r="P390" s="12" t="n"/>
    </row>
    <row r="391" ht="39.6" customHeight="1">
      <c r="A391" s="15" t="inlineStr">
        <is>
          <t>AU23361</t>
        </is>
      </c>
      <c r="B391" s="16" t="n">
        <v>45607</v>
      </c>
      <c r="C391" s="15" t="inlineStr">
        <is>
          <t>Registered Nurse</t>
        </is>
      </c>
      <c r="D391" s="15" t="inlineStr">
        <is>
          <t>NSW Nurse EA</t>
        </is>
      </c>
      <c r="E391" s="15" t="inlineStr">
        <is>
          <t>CA - Casual</t>
        </is>
      </c>
      <c r="F391" s="15" t="inlineStr">
        <is>
          <t>IVFA</t>
        </is>
      </c>
      <c r="G391" s="15" t="inlineStr">
        <is>
          <t>New South Wales</t>
        </is>
      </c>
      <c r="H391" s="17" t="inlineStr"/>
      <c r="I391" s="15" t="inlineStr">
        <is>
          <t>IVF Australia Pty Ltd</t>
        </is>
      </c>
      <c r="J391" s="18" t="n">
        <v>57.83</v>
      </c>
      <c r="K391" s="17" t="inlineStr">
        <is>
          <t>0.45</t>
        </is>
      </c>
      <c r="L391" s="16" t="n">
        <v>45879</v>
      </c>
      <c r="M391" s="16" t="n">
        <v>44949</v>
      </c>
      <c r="N391" s="17" t="inlineStr">
        <is>
          <t>57.38</t>
        </is>
      </c>
      <c r="O391" s="17" t="inlineStr"/>
      <c r="P391" s="16" t="n"/>
    </row>
    <row r="392" ht="39.6" customHeight="1">
      <c r="A392" s="11" t="inlineStr">
        <is>
          <t>AU23882</t>
        </is>
      </c>
      <c r="B392" s="12" t="n">
        <v>45945</v>
      </c>
      <c r="C392" s="11" t="inlineStr">
        <is>
          <t>Assistant in Nursing</t>
        </is>
      </c>
      <c r="D392" s="11" t="inlineStr">
        <is>
          <t>NSW Nurse EA</t>
        </is>
      </c>
      <c r="E392" s="11" t="inlineStr">
        <is>
          <t>CO - Contract</t>
        </is>
      </c>
      <c r="F392" s="11" t="inlineStr">
        <is>
          <t>IVFA</t>
        </is>
      </c>
      <c r="G392" s="11" t="inlineStr">
        <is>
          <t>New South Wales</t>
        </is>
      </c>
      <c r="H392" s="13" t="inlineStr">
        <is>
          <t>38.00</t>
        </is>
      </c>
      <c r="I392" s="11" t="inlineStr">
        <is>
          <t>IVF Australia Pty Ltd</t>
        </is>
      </c>
      <c r="J392" s="14" t="n">
        <v>0.48</v>
      </c>
      <c r="K392" s="13" t="inlineStr">
        <is>
          <t>0.48</t>
        </is>
      </c>
      <c r="L392" s="12" t="n">
        <v>45949</v>
      </c>
      <c r="M392" s="12" t="n">
        <v>45945</v>
      </c>
      <c r="N392" s="13" t="inlineStr"/>
      <c r="O392" s="13" t="inlineStr"/>
      <c r="P392" s="12" t="n"/>
    </row>
    <row r="393" ht="26.4" customHeight="1">
      <c r="A393" s="15" t="inlineStr">
        <is>
          <t>AU23210</t>
        </is>
      </c>
      <c r="B393" s="16" t="n">
        <v>45406</v>
      </c>
      <c r="C393" s="15" t="inlineStr">
        <is>
          <t>Registered Nurse</t>
        </is>
      </c>
      <c r="D393" s="15" t="inlineStr">
        <is>
          <t>NSW Nurse EA</t>
        </is>
      </c>
      <c r="E393" s="15" t="inlineStr">
        <is>
          <t>CA - Casual</t>
        </is>
      </c>
      <c r="F393" s="15" t="inlineStr">
        <is>
          <t>Day Hospitals</t>
        </is>
      </c>
      <c r="G393" s="15" t="inlineStr">
        <is>
          <t>New South Wales</t>
        </is>
      </c>
      <c r="H393" s="17" t="inlineStr"/>
      <c r="I393" s="15" t="inlineStr">
        <is>
          <t>City West Day Surgery</t>
        </is>
      </c>
      <c r="J393" s="18" t="n">
        <v>0.51</v>
      </c>
      <c r="K393" s="17" t="inlineStr">
        <is>
          <t>0.51</t>
        </is>
      </c>
      <c r="L393" s="16" t="n">
        <v>45627</v>
      </c>
      <c r="M393" s="16" t="n">
        <v>45406</v>
      </c>
      <c r="N393" s="17" t="inlineStr"/>
      <c r="O393" s="17" t="inlineStr"/>
      <c r="P393" s="16" t="n"/>
    </row>
    <row r="394" ht="79.2" customHeight="1">
      <c r="A394" s="11" t="inlineStr">
        <is>
          <t>AU23854</t>
        </is>
      </c>
      <c r="B394" s="12" t="n">
        <v>45915</v>
      </c>
      <c r="C394" s="11" t="inlineStr">
        <is>
          <t>Courier</t>
        </is>
      </c>
      <c r="D394" s="11" t="inlineStr">
        <is>
          <t>Health Professionals and Support Services Award</t>
        </is>
      </c>
      <c r="E394" s="11" t="inlineStr">
        <is>
          <t>CA - Casual</t>
        </is>
      </c>
      <c r="F394" s="11" t="inlineStr">
        <is>
          <t>Diagnostics</t>
        </is>
      </c>
      <c r="G394" s="11" t="inlineStr">
        <is>
          <t>New South Wales</t>
        </is>
      </c>
      <c r="H394" s="13" t="inlineStr"/>
      <c r="I394" s="11" t="inlineStr">
        <is>
          <t>Virtus Health Specialist Diagnostics</t>
        </is>
      </c>
      <c r="J394" s="14" t="n">
        <v>0.61</v>
      </c>
      <c r="K394" s="13" t="inlineStr">
        <is>
          <t>0.61</t>
        </is>
      </c>
      <c r="L394" s="12" t="n">
        <v>45949</v>
      </c>
      <c r="M394" s="12" t="n">
        <v>45915</v>
      </c>
      <c r="N394" s="13" t="inlineStr"/>
      <c r="O394" s="13" t="inlineStr"/>
      <c r="P394" s="12" t="n"/>
    </row>
    <row r="395" ht="79.2" customHeight="1">
      <c r="A395" s="15" t="inlineStr">
        <is>
          <t>AU23853</t>
        </is>
      </c>
      <c r="B395" s="16" t="n">
        <v>45922</v>
      </c>
      <c r="C395" s="15" t="inlineStr">
        <is>
          <t>Administration</t>
        </is>
      </c>
      <c r="D395" s="15" t="inlineStr">
        <is>
          <t>Health Professionals and Support Services Award</t>
        </is>
      </c>
      <c r="E395" s="15" t="inlineStr">
        <is>
          <t>CA - Casual</t>
        </is>
      </c>
      <c r="F395" s="15" t="inlineStr">
        <is>
          <t>Queensland Fertility Group</t>
        </is>
      </c>
      <c r="G395" s="15" t="inlineStr">
        <is>
          <t>Queensland</t>
        </is>
      </c>
      <c r="H395" s="17" t="inlineStr"/>
      <c r="I395" s="15" t="inlineStr">
        <is>
          <t>Queensland Fertility Group Pty Ltd</t>
        </is>
      </c>
      <c r="J395" s="18" t="n">
        <v>0.63</v>
      </c>
      <c r="K395" s="17" t="inlineStr">
        <is>
          <t>0.63</t>
        </is>
      </c>
      <c r="L395" s="16" t="n">
        <v>45949</v>
      </c>
      <c r="M395" s="16" t="n">
        <v>45922</v>
      </c>
      <c r="N395" s="17" t="inlineStr"/>
      <c r="O395" s="17" t="inlineStr"/>
      <c r="P395" s="16" t="n"/>
    </row>
    <row r="396" ht="39.6" customHeight="1">
      <c r="A396" s="11" t="inlineStr">
        <is>
          <t>AU23868</t>
        </is>
      </c>
      <c r="B396" s="12" t="n">
        <v>45943</v>
      </c>
      <c r="C396" s="11" t="inlineStr">
        <is>
          <t>Nures Coordinator</t>
        </is>
      </c>
      <c r="D396" s="11" t="inlineStr">
        <is>
          <t>NSW Nurse EA</t>
        </is>
      </c>
      <c r="E396" s="11" t="inlineStr">
        <is>
          <t>FT - Full-time Waged</t>
        </is>
      </c>
      <c r="F396" s="11" t="inlineStr">
        <is>
          <t>IVFA</t>
        </is>
      </c>
      <c r="G396" s="11" t="inlineStr">
        <is>
          <t>New South Wales</t>
        </is>
      </c>
      <c r="H396" s="13" t="inlineStr">
        <is>
          <t>76.00</t>
        </is>
      </c>
      <c r="I396" s="11" t="inlineStr">
        <is>
          <t>IVF Australia Pty Ltd</t>
        </is>
      </c>
      <c r="J396" s="14" t="n">
        <v>0.63</v>
      </c>
      <c r="K396" s="13" t="inlineStr">
        <is>
          <t>0.63</t>
        </is>
      </c>
      <c r="L396" s="12" t="n">
        <v>45949</v>
      </c>
      <c r="M396" s="12" t="n">
        <v>45943</v>
      </c>
      <c r="N396" s="13" t="inlineStr"/>
      <c r="O396" s="13" t="inlineStr"/>
      <c r="P396" s="12" t="n"/>
    </row>
    <row r="397" ht="39.6" customHeight="1">
      <c r="A397" s="15" t="inlineStr">
        <is>
          <t>AU23876</t>
        </is>
      </c>
      <c r="B397" s="16" t="n">
        <v>45943</v>
      </c>
      <c r="C397" s="15" t="inlineStr">
        <is>
          <t>Andrologist</t>
        </is>
      </c>
      <c r="D397" s="15" t="inlineStr">
        <is>
          <t>IVFA Scientists EA</t>
        </is>
      </c>
      <c r="E397" s="15" t="inlineStr">
        <is>
          <t>FT - Full-time Waged</t>
        </is>
      </c>
      <c r="F397" s="15" t="inlineStr">
        <is>
          <t>IVFA</t>
        </is>
      </c>
      <c r="G397" s="15" t="inlineStr">
        <is>
          <t>New South Wales</t>
        </is>
      </c>
      <c r="H397" s="17" t="inlineStr">
        <is>
          <t>76.00</t>
        </is>
      </c>
      <c r="I397" s="15" t="inlineStr">
        <is>
          <t>IVF Australia Pty Ltd</t>
        </is>
      </c>
      <c r="J397" s="18" t="n">
        <v>0.63</v>
      </c>
      <c r="K397" s="17" t="inlineStr">
        <is>
          <t>0.63</t>
        </is>
      </c>
      <c r="L397" s="16" t="n">
        <v>45949</v>
      </c>
      <c r="M397" s="16" t="n">
        <v>45943</v>
      </c>
      <c r="N397" s="17" t="inlineStr"/>
      <c r="O397" s="17" t="inlineStr"/>
      <c r="P397" s="16" t="n"/>
    </row>
    <row r="398" ht="66" customHeight="1">
      <c r="A398" s="11" t="inlineStr">
        <is>
          <t>AU23719</t>
        </is>
      </c>
      <c r="B398" s="12" t="n">
        <v>45845</v>
      </c>
      <c r="C398" s="11" t="inlineStr">
        <is>
          <t>Registered Nurse</t>
        </is>
      </c>
      <c r="D398" s="11" t="inlineStr">
        <is>
          <t>NSW Nurse EA</t>
        </is>
      </c>
      <c r="E398" s="11" t="inlineStr">
        <is>
          <t>CA - Casual</t>
        </is>
      </c>
      <c r="F398" s="11" t="inlineStr">
        <is>
          <t>Day Hospitals</t>
        </is>
      </c>
      <c r="G398" s="11" t="inlineStr">
        <is>
          <t>New South Wales</t>
        </is>
      </c>
      <c r="H398" s="13" t="inlineStr"/>
      <c r="I398" s="11" t="inlineStr">
        <is>
          <t>Alexandria Specialist Day Hospital Pty Ltd</t>
        </is>
      </c>
      <c r="J398" s="14" t="n">
        <v>0.65</v>
      </c>
      <c r="K398" s="13" t="inlineStr">
        <is>
          <t>0.65</t>
        </is>
      </c>
      <c r="L398" s="12" t="n">
        <v>45949</v>
      </c>
      <c r="M398" s="12" t="n">
        <v>45845</v>
      </c>
      <c r="N398" s="13" t="inlineStr"/>
      <c r="O398" s="13" t="inlineStr"/>
      <c r="P398" s="12" t="n"/>
    </row>
    <row r="399" ht="79.2" customHeight="1">
      <c r="A399" s="15" t="inlineStr">
        <is>
          <t>AU23881</t>
        </is>
      </c>
      <c r="B399" s="16" t="n">
        <v>45943</v>
      </c>
      <c r="C399" s="15" t="inlineStr">
        <is>
          <t>Administration Clerk</t>
        </is>
      </c>
      <c r="D399" s="15" t="inlineStr">
        <is>
          <t>Health Professionals and Support Services Award</t>
        </is>
      </c>
      <c r="E399" s="15" t="inlineStr">
        <is>
          <t>PP - Part-time Waged</t>
        </is>
      </c>
      <c r="F399" s="15" t="inlineStr">
        <is>
          <t>Day Hospitals</t>
        </is>
      </c>
      <c r="G399" s="15" t="inlineStr">
        <is>
          <t>Queensland</t>
        </is>
      </c>
      <c r="H399" s="17" t="inlineStr">
        <is>
          <t>40.00</t>
        </is>
      </c>
      <c r="I399" s="15" t="inlineStr">
        <is>
          <t>MACKAY Specialist Day Hospital</t>
        </is>
      </c>
      <c r="J399" s="18" t="n">
        <v>0.67</v>
      </c>
      <c r="K399" s="17" t="inlineStr">
        <is>
          <t>0.67</t>
        </is>
      </c>
      <c r="L399" s="16" t="n">
        <v>45949</v>
      </c>
      <c r="M399" s="16" t="n">
        <v>45943</v>
      </c>
      <c r="N399" s="17" t="inlineStr"/>
      <c r="O399" s="17" t="inlineStr"/>
      <c r="P399" s="16" t="n"/>
    </row>
    <row r="400" ht="39.6" customHeight="1">
      <c r="A400" s="11" t="inlineStr">
        <is>
          <t>AU23820</t>
        </is>
      </c>
      <c r="B400" s="12" t="n">
        <v>45929</v>
      </c>
      <c r="C400" s="11" t="inlineStr">
        <is>
          <t>Registered Nurse</t>
        </is>
      </c>
      <c r="D400" s="11" t="inlineStr">
        <is>
          <t>NSW Nurse EA</t>
        </is>
      </c>
      <c r="E400" s="11" t="inlineStr">
        <is>
          <t>PP - Part-time Waged</t>
        </is>
      </c>
      <c r="F400" s="11" t="inlineStr">
        <is>
          <t>Day Hospitals</t>
        </is>
      </c>
      <c r="G400" s="11" t="inlineStr">
        <is>
          <t>New South Wales</t>
        </is>
      </c>
      <c r="H400" s="13" t="inlineStr">
        <is>
          <t>32.00</t>
        </is>
      </c>
      <c r="I400" s="11" t="inlineStr">
        <is>
          <t>IVF Australia Pty Ltd</t>
        </is>
      </c>
      <c r="J400" s="14" t="n">
        <v>0.8</v>
      </c>
      <c r="K400" s="13" t="inlineStr">
        <is>
          <t>0.80</t>
        </is>
      </c>
      <c r="L400" s="12" t="n">
        <v>45949</v>
      </c>
      <c r="M400" s="12" t="n">
        <v>45929</v>
      </c>
      <c r="N400" s="13" t="inlineStr"/>
      <c r="O400" s="13" t="inlineStr"/>
      <c r="P400" s="12" t="n"/>
    </row>
    <row r="401" ht="39.6" customHeight="1">
      <c r="A401" s="15" t="inlineStr">
        <is>
          <t>AU23822</t>
        </is>
      </c>
      <c r="B401" s="16" t="n">
        <v>45924</v>
      </c>
      <c r="C401" s="15" t="inlineStr">
        <is>
          <t>Clinical Nurse Specialist</t>
        </is>
      </c>
      <c r="D401" s="15" t="inlineStr">
        <is>
          <t>NSW Nurse EA</t>
        </is>
      </c>
      <c r="E401" s="15" t="inlineStr">
        <is>
          <t>PP - Part-time Waged</t>
        </is>
      </c>
      <c r="F401" s="15" t="inlineStr">
        <is>
          <t>IVFA</t>
        </is>
      </c>
      <c r="G401" s="15" t="inlineStr">
        <is>
          <t>New South Wales</t>
        </is>
      </c>
      <c r="H401" s="17" t="inlineStr">
        <is>
          <t>48.00</t>
        </is>
      </c>
      <c r="I401" s="15" t="inlineStr">
        <is>
          <t>IVF Australia Pty Ltd</t>
        </is>
      </c>
      <c r="J401" s="18" t="n">
        <v>0.8</v>
      </c>
      <c r="K401" s="17" t="inlineStr">
        <is>
          <t>0.80</t>
        </is>
      </c>
      <c r="L401" s="16" t="n">
        <v>45949</v>
      </c>
      <c r="M401" s="16" t="n">
        <v>45924</v>
      </c>
      <c r="N401" s="17" t="inlineStr"/>
      <c r="O401" s="17" t="inlineStr"/>
      <c r="P401" s="16" t="n"/>
    </row>
    <row r="402" ht="66" customHeight="1">
      <c r="A402" s="11" t="inlineStr">
        <is>
          <t>AU23589</t>
        </is>
      </c>
      <c r="B402" s="12" t="n">
        <v>45752</v>
      </c>
      <c r="C402" s="11" t="inlineStr">
        <is>
          <t>Reception</t>
        </is>
      </c>
      <c r="D402" s="11" t="inlineStr">
        <is>
          <t>NSW Support Services EA</t>
        </is>
      </c>
      <c r="E402" s="11" t="inlineStr">
        <is>
          <t>CA - Casual</t>
        </is>
      </c>
      <c r="F402" s="11" t="inlineStr">
        <is>
          <t>Day Hospitals</t>
        </is>
      </c>
      <c r="G402" s="11" t="inlineStr">
        <is>
          <t>New South Wales</t>
        </is>
      </c>
      <c r="H402" s="13" t="inlineStr"/>
      <c r="I402" s="11" t="inlineStr">
        <is>
          <t>North Shore Specialist Day Hospital Pty Ltd</t>
        </is>
      </c>
      <c r="J402" s="14" t="n">
        <v>0.87</v>
      </c>
      <c r="K402" s="13" t="inlineStr">
        <is>
          <t>0.87</t>
        </is>
      </c>
      <c r="L402" s="12" t="n">
        <v>45865</v>
      </c>
      <c r="M402" s="12" t="n">
        <v>45752</v>
      </c>
      <c r="N402" s="13" t="inlineStr"/>
      <c r="O402" s="13" t="inlineStr"/>
      <c r="P402" s="12" t="n"/>
    </row>
    <row r="403" ht="66" customHeight="1">
      <c r="A403" s="15" t="inlineStr">
        <is>
          <t>AU23616</t>
        </is>
      </c>
      <c r="B403" s="16" t="n">
        <v>45742</v>
      </c>
      <c r="C403" s="15" t="inlineStr">
        <is>
          <t>Registered Nurse</t>
        </is>
      </c>
      <c r="D403" s="15" t="inlineStr">
        <is>
          <t>NSW Nurse EA</t>
        </is>
      </c>
      <c r="E403" s="15" t="inlineStr">
        <is>
          <t>CA - Casual</t>
        </is>
      </c>
      <c r="F403" s="15" t="inlineStr">
        <is>
          <t>Day Hospitals</t>
        </is>
      </c>
      <c r="G403" s="15" t="inlineStr">
        <is>
          <t>New South Wales</t>
        </is>
      </c>
      <c r="H403" s="17" t="inlineStr"/>
      <c r="I403" s="15" t="inlineStr">
        <is>
          <t>Alexandria Specialist Day Hospital Pty Ltd</t>
        </is>
      </c>
      <c r="J403" s="18" t="n">
        <v>0.88</v>
      </c>
      <c r="K403" s="17" t="inlineStr">
        <is>
          <t>0.88</t>
        </is>
      </c>
      <c r="L403" s="16" t="n">
        <v>45865</v>
      </c>
      <c r="M403" s="16" t="n">
        <v>45742</v>
      </c>
      <c r="N403" s="17" t="inlineStr"/>
      <c r="O403" s="17" t="inlineStr"/>
      <c r="P403" s="16" t="n"/>
    </row>
    <row r="404" ht="66" customHeight="1">
      <c r="A404" s="11" t="n">
        <v>50077</v>
      </c>
      <c r="B404" s="12" t="n">
        <v>42216</v>
      </c>
      <c r="C404" s="11" t="inlineStr">
        <is>
          <t>Registered Nurse</t>
        </is>
      </c>
      <c r="D404" s="11" t="inlineStr">
        <is>
          <t>NSW Nurse EA</t>
        </is>
      </c>
      <c r="E404" s="11" t="inlineStr">
        <is>
          <t>CA - Casual</t>
        </is>
      </c>
      <c r="F404" s="11" t="inlineStr">
        <is>
          <t>Day Hospitals</t>
        </is>
      </c>
      <c r="G404" s="11" t="inlineStr">
        <is>
          <t>New South Wales</t>
        </is>
      </c>
      <c r="H404" s="13" t="inlineStr"/>
      <c r="I404" s="11" t="inlineStr">
        <is>
          <t>Alexandria Specialist Day Hospital Pty Ltd</t>
        </is>
      </c>
      <c r="J404" s="14" t="n">
        <v>33.99</v>
      </c>
      <c r="K404" s="13" t="inlineStr">
        <is>
          <t>0.93</t>
        </is>
      </c>
      <c r="L404" s="12" t="n">
        <v>45921</v>
      </c>
      <c r="M404" s="12" t="n">
        <v>45869</v>
      </c>
      <c r="N404" s="13" t="inlineStr">
        <is>
          <t>70.56</t>
        </is>
      </c>
      <c r="O404" s="13" t="inlineStr">
        <is>
          <t>37.50</t>
        </is>
      </c>
      <c r="P404" s="12" t="n"/>
    </row>
    <row r="405" ht="39.6" customHeight="1">
      <c r="A405" s="15" t="inlineStr">
        <is>
          <t>AU23809</t>
        </is>
      </c>
      <c r="B405" s="16" t="n">
        <v>45938</v>
      </c>
      <c r="C405" s="15" t="inlineStr">
        <is>
          <t>Registered Nurse</t>
        </is>
      </c>
      <c r="D405" s="15" t="inlineStr">
        <is>
          <t>NSW Nurse EA</t>
        </is>
      </c>
      <c r="E405" s="15" t="inlineStr">
        <is>
          <t>PP - Part-time Waged</t>
        </is>
      </c>
      <c r="F405" s="15" t="inlineStr">
        <is>
          <t>IVFA</t>
        </is>
      </c>
      <c r="G405" s="15" t="inlineStr">
        <is>
          <t>New South Wales</t>
        </is>
      </c>
      <c r="H405" s="17" t="inlineStr">
        <is>
          <t>64.00</t>
        </is>
      </c>
      <c r="I405" s="15" t="inlineStr">
        <is>
          <t>IVF Australia Pty Ltd</t>
        </is>
      </c>
      <c r="J405" s="18" t="n">
        <v>0.9399999999999999</v>
      </c>
      <c r="K405" s="17" t="inlineStr">
        <is>
          <t>0.94</t>
        </is>
      </c>
      <c r="L405" s="16" t="n">
        <v>45949</v>
      </c>
      <c r="M405" s="16" t="n">
        <v>45938</v>
      </c>
      <c r="N405" s="17" t="inlineStr"/>
      <c r="O405" s="17" t="inlineStr"/>
      <c r="P405" s="16" t="n"/>
    </row>
    <row r="406" ht="39.6" customHeight="1">
      <c r="A406" s="11" t="inlineStr">
        <is>
          <t>AU23631</t>
        </is>
      </c>
      <c r="B406" s="12" t="n">
        <v>45748</v>
      </c>
      <c r="C406" s="11" t="inlineStr">
        <is>
          <t xml:space="preserve"> Embryologist</t>
        </is>
      </c>
      <c r="D406" s="11" t="inlineStr">
        <is>
          <t>IVFA Scientists EA</t>
        </is>
      </c>
      <c r="E406" s="11" t="inlineStr">
        <is>
          <t>CA - Casual</t>
        </is>
      </c>
      <c r="F406" s="11" t="inlineStr">
        <is>
          <t>IVFA</t>
        </is>
      </c>
      <c r="G406" s="11" t="inlineStr">
        <is>
          <t>New South Wales</t>
        </is>
      </c>
      <c r="H406" s="13" t="inlineStr"/>
      <c r="I406" s="11" t="inlineStr">
        <is>
          <t>IVF Australia Pty Ltd</t>
        </is>
      </c>
      <c r="J406" s="14" t="n">
        <v>0.97</v>
      </c>
      <c r="K406" s="13" t="inlineStr">
        <is>
          <t>0.97</t>
        </is>
      </c>
      <c r="L406" s="12" t="n">
        <v>45865</v>
      </c>
      <c r="M406" s="12" t="n">
        <v>45748</v>
      </c>
      <c r="N406" s="13" t="inlineStr"/>
      <c r="O406" s="13" t="inlineStr"/>
      <c r="P406" s="12" t="n"/>
    </row>
    <row r="407" ht="39.6" customHeight="1">
      <c r="A407" s="15" t="inlineStr">
        <is>
          <t>AU23878</t>
        </is>
      </c>
      <c r="B407" s="16" t="n">
        <v>45937</v>
      </c>
      <c r="C407" s="15" t="inlineStr">
        <is>
          <t>Medical Secretary</t>
        </is>
      </c>
      <c r="D407" s="15" t="inlineStr">
        <is>
          <t>NSW Support Services EA</t>
        </is>
      </c>
      <c r="E407" s="15" t="inlineStr">
        <is>
          <t>FT - Full-time Waged</t>
        </is>
      </c>
      <c r="F407" s="15" t="inlineStr">
        <is>
          <t>IVFA</t>
        </is>
      </c>
      <c r="G407" s="15" t="inlineStr">
        <is>
          <t>New South Wales</t>
        </is>
      </c>
      <c r="H407" s="17" t="inlineStr">
        <is>
          <t>76.00</t>
        </is>
      </c>
      <c r="I407" s="15" t="inlineStr">
        <is>
          <t>IVF Australia Pty Ltd</t>
        </is>
      </c>
      <c r="J407" s="18" t="n">
        <v>1.03</v>
      </c>
      <c r="K407" s="17" t="inlineStr">
        <is>
          <t>1.03</t>
        </is>
      </c>
      <c r="L407" s="16" t="n">
        <v>45949</v>
      </c>
      <c r="M407" s="16" t="n">
        <v>45937</v>
      </c>
      <c r="N407" s="17" t="inlineStr"/>
      <c r="O407" s="17" t="inlineStr"/>
      <c r="P407" s="16" t="n"/>
    </row>
    <row r="408" ht="52.8" customHeight="1">
      <c r="A408" s="11" t="inlineStr">
        <is>
          <t>AU23690</t>
        </is>
      </c>
      <c r="B408" s="12" t="n">
        <v>45824</v>
      </c>
      <c r="C408" s="11" t="inlineStr">
        <is>
          <t>Registered Nurse</t>
        </is>
      </c>
      <c r="D408" s="11" t="inlineStr">
        <is>
          <t>QLD Nurse EA</t>
        </is>
      </c>
      <c r="E408" s="11" t="inlineStr">
        <is>
          <t>CA - Casual</t>
        </is>
      </c>
      <c r="F408" s="11" t="inlineStr">
        <is>
          <t>Day Hospitals</t>
        </is>
      </c>
      <c r="G408" s="11" t="inlineStr">
        <is>
          <t>Queensland</t>
        </is>
      </c>
      <c r="H408" s="13" t="inlineStr"/>
      <c r="I408" s="11" t="inlineStr">
        <is>
          <t>Spring Hill Specialist Day Hospital</t>
        </is>
      </c>
      <c r="J408" s="14" t="n">
        <v>1.07</v>
      </c>
      <c r="K408" s="13" t="inlineStr">
        <is>
          <t>1.07</t>
        </is>
      </c>
      <c r="L408" s="12" t="n">
        <v>45949</v>
      </c>
      <c r="M408" s="12" t="n">
        <v>45824</v>
      </c>
      <c r="N408" s="13" t="inlineStr"/>
      <c r="O408" s="13" t="inlineStr"/>
      <c r="P408" s="12" t="n"/>
    </row>
    <row r="409" ht="39.6" customHeight="1">
      <c r="A409" s="15" t="inlineStr">
        <is>
          <t>AU23855</t>
        </is>
      </c>
      <c r="B409" s="16" t="n">
        <v>45929</v>
      </c>
      <c r="C409" s="15" t="inlineStr">
        <is>
          <t>Patient Support Officer</t>
        </is>
      </c>
      <c r="D409" s="15" t="inlineStr">
        <is>
          <t>NSW Support Services EA</t>
        </is>
      </c>
      <c r="E409" s="15" t="inlineStr">
        <is>
          <t>PP - Part-time Waged</t>
        </is>
      </c>
      <c r="F409" s="15" t="inlineStr">
        <is>
          <t>IVFA</t>
        </is>
      </c>
      <c r="G409" s="15" t="inlineStr">
        <is>
          <t>New South Wales</t>
        </is>
      </c>
      <c r="H409" s="17" t="inlineStr">
        <is>
          <t>51.00</t>
        </is>
      </c>
      <c r="I409" s="15" t="inlineStr">
        <is>
          <t>IVF Australia Pty Ltd</t>
        </is>
      </c>
      <c r="J409" s="18" t="n">
        <v>1.12</v>
      </c>
      <c r="K409" s="17" t="inlineStr">
        <is>
          <t>1.12</t>
        </is>
      </c>
      <c r="L409" s="16" t="n">
        <v>45949</v>
      </c>
      <c r="M409" s="16" t="n">
        <v>45929</v>
      </c>
      <c r="N409" s="17" t="inlineStr"/>
      <c r="O409" s="17" t="inlineStr"/>
      <c r="P409" s="16" t="n"/>
    </row>
    <row r="410" ht="52.8" customHeight="1">
      <c r="A410" s="11" t="inlineStr">
        <is>
          <t>AU23700</t>
        </is>
      </c>
      <c r="B410" s="12" t="n">
        <v>45842</v>
      </c>
      <c r="C410" s="11" t="inlineStr">
        <is>
          <t>Registered Nurse</t>
        </is>
      </c>
      <c r="D410" s="11" t="inlineStr">
        <is>
          <t>QLD Nurse EA</t>
        </is>
      </c>
      <c r="E410" s="11" t="inlineStr">
        <is>
          <t>CA - Casual</t>
        </is>
      </c>
      <c r="F410" s="11" t="inlineStr">
        <is>
          <t>Day Hospitals</t>
        </is>
      </c>
      <c r="G410" s="11" t="inlineStr">
        <is>
          <t>Queensland</t>
        </is>
      </c>
      <c r="H410" s="13" t="inlineStr"/>
      <c r="I410" s="11" t="inlineStr">
        <is>
          <t>Spring Hill Specialist Day Hospital</t>
        </is>
      </c>
      <c r="J410" s="14" t="n">
        <v>1.14</v>
      </c>
      <c r="K410" s="13" t="inlineStr">
        <is>
          <t>1.14</t>
        </is>
      </c>
      <c r="L410" s="12" t="n">
        <v>45949</v>
      </c>
      <c r="M410" s="12" t="n">
        <v>45842</v>
      </c>
      <c r="N410" s="13" t="inlineStr"/>
      <c r="O410" s="13" t="inlineStr"/>
      <c r="P410" s="12" t="n"/>
    </row>
    <row r="411" ht="52.8" customHeight="1">
      <c r="A411" s="15" t="inlineStr">
        <is>
          <t>AU23827</t>
        </is>
      </c>
      <c r="B411" s="16" t="n">
        <v>45937</v>
      </c>
      <c r="C411" s="15" t="inlineStr">
        <is>
          <t>Collections Officer</t>
        </is>
      </c>
      <c r="D411" s="15" t="inlineStr">
        <is>
          <t>Common Law Employment Contract</t>
        </is>
      </c>
      <c r="E411" s="15" t="inlineStr">
        <is>
          <t>FP - Full-time Salaried</t>
        </is>
      </c>
      <c r="F411" s="15" t="inlineStr">
        <is>
          <t>IVFA</t>
        </is>
      </c>
      <c r="G411" s="15" t="inlineStr">
        <is>
          <t>New South Wales</t>
        </is>
      </c>
      <c r="H411" s="17" t="inlineStr">
        <is>
          <t>76.00</t>
        </is>
      </c>
      <c r="I411" s="15" t="inlineStr">
        <is>
          <t>IVF Australia Pty Ltd</t>
        </is>
      </c>
      <c r="J411" s="18" t="n">
        <v>1.14</v>
      </c>
      <c r="K411" s="17" t="inlineStr">
        <is>
          <t>1.14</t>
        </is>
      </c>
      <c r="L411" s="16" t="n">
        <v>45949</v>
      </c>
      <c r="M411" s="16" t="n">
        <v>45937</v>
      </c>
      <c r="N411" s="17" t="inlineStr"/>
      <c r="O411" s="17" t="inlineStr"/>
      <c r="P411" s="16" t="n"/>
    </row>
    <row r="412" ht="79.2" customHeight="1">
      <c r="A412" s="11" t="inlineStr">
        <is>
          <t>AU23777</t>
        </is>
      </c>
      <c r="B412" s="12" t="n">
        <v>45884</v>
      </c>
      <c r="C412" s="11" t="inlineStr">
        <is>
          <t>Administration</t>
        </is>
      </c>
      <c r="D412" s="11" t="inlineStr">
        <is>
          <t>Health Professionals and Support Services Award</t>
        </is>
      </c>
      <c r="E412" s="11" t="inlineStr">
        <is>
          <t>CA - Casual</t>
        </is>
      </c>
      <c r="F412" s="11" t="inlineStr">
        <is>
          <t>The Fertility Centre</t>
        </is>
      </c>
      <c r="G412" s="11" t="inlineStr">
        <is>
          <t>Queensland</t>
        </is>
      </c>
      <c r="H412" s="13" t="inlineStr"/>
      <c r="I412" s="11" t="inlineStr">
        <is>
          <t>Queensland Fertility Group Pty Ltd</t>
        </is>
      </c>
      <c r="J412" s="14" t="n">
        <v>1.17</v>
      </c>
      <c r="K412" s="13" t="inlineStr">
        <is>
          <t>1.17</t>
        </is>
      </c>
      <c r="L412" s="12" t="n">
        <v>45949</v>
      </c>
      <c r="M412" s="12" t="n">
        <v>45884</v>
      </c>
      <c r="N412" s="13" t="inlineStr"/>
      <c r="O412" s="13" t="inlineStr"/>
      <c r="P412" s="12" t="n"/>
    </row>
    <row r="413" ht="79.2" customHeight="1">
      <c r="A413" s="15" t="inlineStr">
        <is>
          <t>AU22644</t>
        </is>
      </c>
      <c r="B413" s="16" t="n">
        <v>44875</v>
      </c>
      <c r="C413" s="15" t="inlineStr">
        <is>
          <t>Administration</t>
        </is>
      </c>
      <c r="D413" s="15" t="inlineStr">
        <is>
          <t>Health Professionals and Support Services Award</t>
        </is>
      </c>
      <c r="E413" s="15" t="inlineStr">
        <is>
          <t>CA - Casual</t>
        </is>
      </c>
      <c r="F413" s="15" t="inlineStr">
        <is>
          <t>Queensland Fertility Group</t>
        </is>
      </c>
      <c r="G413" s="15" t="inlineStr">
        <is>
          <t>Queensland</t>
        </is>
      </c>
      <c r="H413" s="17" t="inlineStr"/>
      <c r="I413" s="15" t="inlineStr">
        <is>
          <t>Queensland Fertility Group Pty Ltd</t>
        </is>
      </c>
      <c r="J413" s="18" t="n">
        <v>1.18</v>
      </c>
      <c r="K413" s="17" t="inlineStr">
        <is>
          <t>1.18</t>
        </is>
      </c>
      <c r="L413" s="16" t="n">
        <v>44899</v>
      </c>
      <c r="M413" s="16" t="n">
        <v>44875</v>
      </c>
      <c r="N413" s="17" t="inlineStr"/>
      <c r="O413" s="17" t="inlineStr"/>
      <c r="P413" s="16" t="n"/>
    </row>
    <row r="414" ht="79.2" customHeight="1">
      <c r="A414" s="11" t="inlineStr">
        <is>
          <t>AU23842</t>
        </is>
      </c>
      <c r="B414" s="12" t="n">
        <v>45908</v>
      </c>
      <c r="C414" s="11" t="inlineStr">
        <is>
          <t>Courier</t>
        </is>
      </c>
      <c r="D414" s="11" t="inlineStr">
        <is>
          <t>Health Professionals and Support Services Award</t>
        </is>
      </c>
      <c r="E414" s="11" t="inlineStr">
        <is>
          <t>PP - Part-time Waged</t>
        </is>
      </c>
      <c r="F414" s="11" t="inlineStr">
        <is>
          <t>Diagnostics</t>
        </is>
      </c>
      <c r="G414" s="11" t="inlineStr">
        <is>
          <t>New South Wales</t>
        </is>
      </c>
      <c r="H414" s="13" t="inlineStr">
        <is>
          <t>40.40</t>
        </is>
      </c>
      <c r="I414" s="11" t="inlineStr">
        <is>
          <t>Virtus Health Specialist Diagnostics</t>
        </is>
      </c>
      <c r="J414" s="14" t="n">
        <v>1.19</v>
      </c>
      <c r="K414" s="13" t="inlineStr">
        <is>
          <t>1.19</t>
        </is>
      </c>
      <c r="L414" s="12" t="n">
        <v>45949</v>
      </c>
      <c r="M414" s="12" t="n">
        <v>45908</v>
      </c>
      <c r="N414" s="13" t="inlineStr"/>
      <c r="O414" s="13" t="inlineStr"/>
      <c r="P414" s="12" t="n"/>
    </row>
    <row r="415" ht="39.6" customHeight="1">
      <c r="A415" s="15" t="inlineStr">
        <is>
          <t>AU23814</t>
        </is>
      </c>
      <c r="B415" s="16" t="n">
        <v>45931</v>
      </c>
      <c r="C415" s="15" t="inlineStr">
        <is>
          <t>Senior Scientist</t>
        </is>
      </c>
      <c r="D415" s="15" t="inlineStr">
        <is>
          <t>IVFA Scientists EA</t>
        </is>
      </c>
      <c r="E415" s="15" t="inlineStr">
        <is>
          <t>PP - Part-time Waged</t>
        </is>
      </c>
      <c r="F415" s="15" t="inlineStr">
        <is>
          <t>IVFA</t>
        </is>
      </c>
      <c r="G415" s="15" t="inlineStr">
        <is>
          <t>New South Wales</t>
        </is>
      </c>
      <c r="H415" s="17" t="inlineStr">
        <is>
          <t>48.00</t>
        </is>
      </c>
      <c r="I415" s="15" t="inlineStr">
        <is>
          <t>IVF Australia Pty Ltd</t>
        </is>
      </c>
      <c r="J415" s="18" t="n">
        <v>1.19</v>
      </c>
      <c r="K415" s="17" t="inlineStr">
        <is>
          <t>1.19</t>
        </is>
      </c>
      <c r="L415" s="16" t="n">
        <v>45949</v>
      </c>
      <c r="M415" s="16" t="n">
        <v>45931</v>
      </c>
      <c r="N415" s="17" t="inlineStr"/>
      <c r="O415" s="17" t="inlineStr"/>
      <c r="P415" s="16" t="n"/>
    </row>
    <row r="416" ht="52.8" customHeight="1">
      <c r="A416" s="11" t="inlineStr">
        <is>
          <t>AU23803</t>
        </is>
      </c>
      <c r="B416" s="12" t="n">
        <v>45904</v>
      </c>
      <c r="C416" s="11" t="inlineStr">
        <is>
          <t>HR Administrator</t>
        </is>
      </c>
      <c r="D416" s="11" t="inlineStr">
        <is>
          <t>Common Law Employment Contract</t>
        </is>
      </c>
      <c r="E416" s="11" t="inlineStr">
        <is>
          <t>CA - Casual</t>
        </is>
      </c>
      <c r="F416" s="11" t="inlineStr">
        <is>
          <t>Corporate Services</t>
        </is>
      </c>
      <c r="G416" s="11" t="inlineStr">
        <is>
          <t>New South Wales</t>
        </is>
      </c>
      <c r="H416" s="13" t="inlineStr"/>
      <c r="I416" s="11" t="inlineStr">
        <is>
          <t>IVF Australia Pty Ltd</t>
        </is>
      </c>
      <c r="J416" s="14" t="n">
        <v>1.21</v>
      </c>
      <c r="K416" s="13" t="inlineStr">
        <is>
          <t>1.21</t>
        </is>
      </c>
      <c r="L416" s="12" t="n">
        <v>45949</v>
      </c>
      <c r="M416" s="12" t="n">
        <v>45904</v>
      </c>
      <c r="N416" s="13" t="inlineStr"/>
      <c r="O416" s="13" t="inlineStr"/>
      <c r="P416" s="12" t="n"/>
    </row>
    <row r="417" ht="79.2" customHeight="1">
      <c r="A417" s="15" t="inlineStr">
        <is>
          <t>AU23767</t>
        </is>
      </c>
      <c r="B417" s="16" t="n">
        <v>45873</v>
      </c>
      <c r="C417" s="15" t="inlineStr">
        <is>
          <t>Administration</t>
        </is>
      </c>
      <c r="D417" s="15" t="inlineStr">
        <is>
          <t>Health Professionals and Support Services Award</t>
        </is>
      </c>
      <c r="E417" s="15" t="inlineStr">
        <is>
          <t>CA - Casual</t>
        </is>
      </c>
      <c r="F417" s="15" t="inlineStr">
        <is>
          <t>Queensland Fertility Group</t>
        </is>
      </c>
      <c r="G417" s="15" t="inlineStr">
        <is>
          <t>Queensland</t>
        </is>
      </c>
      <c r="H417" s="17" t="inlineStr"/>
      <c r="I417" s="15" t="inlineStr">
        <is>
          <t>Queensland Fertility Group Pty Ltd</t>
        </is>
      </c>
      <c r="J417" s="18" t="n">
        <v>1.26</v>
      </c>
      <c r="K417" s="17" t="inlineStr">
        <is>
          <t>1.26</t>
        </is>
      </c>
      <c r="L417" s="16" t="n">
        <v>45949</v>
      </c>
      <c r="M417" s="16" t="n">
        <v>45873</v>
      </c>
      <c r="N417" s="17" t="inlineStr"/>
      <c r="O417" s="17" t="inlineStr"/>
      <c r="P417" s="16" t="n"/>
    </row>
    <row r="418" ht="39.6" customHeight="1">
      <c r="A418" s="11" t="n">
        <v>20474</v>
      </c>
      <c r="B418" s="12" t="n">
        <v>42283</v>
      </c>
      <c r="C418" s="11" t="inlineStr">
        <is>
          <t>Medical Secretary</t>
        </is>
      </c>
      <c r="D418" s="11" t="inlineStr">
        <is>
          <t>NSW Support Services EA</t>
        </is>
      </c>
      <c r="E418" s="11" t="inlineStr">
        <is>
          <t>FT - Full-time Waged</t>
        </is>
      </c>
      <c r="F418" s="11" t="inlineStr">
        <is>
          <t>IVFA</t>
        </is>
      </c>
      <c r="G418" s="11" t="inlineStr">
        <is>
          <t>New South Wales</t>
        </is>
      </c>
      <c r="H418" s="13" t="inlineStr">
        <is>
          <t>76.00</t>
        </is>
      </c>
      <c r="I418" s="11" t="inlineStr">
        <is>
          <t>IVF Australia Pty Ltd</t>
        </is>
      </c>
      <c r="J418" s="14" t="n">
        <v>284.23</v>
      </c>
      <c r="K418" s="13" t="inlineStr">
        <is>
          <t>1.27</t>
        </is>
      </c>
      <c r="L418" s="12" t="n">
        <v>45949</v>
      </c>
      <c r="M418" s="12" t="n">
        <v>45936</v>
      </c>
      <c r="N418" s="13" t="inlineStr">
        <is>
          <t>320.96</t>
        </is>
      </c>
      <c r="O418" s="13" t="inlineStr">
        <is>
          <t>38.00</t>
        </is>
      </c>
      <c r="P418" s="12" t="n"/>
    </row>
    <row r="419" ht="52.8" customHeight="1">
      <c r="A419" s="15" t="n">
        <v>80187</v>
      </c>
      <c r="B419" s="16" t="n">
        <v>42283</v>
      </c>
      <c r="C419" s="15" t="inlineStr">
        <is>
          <t>Embryologist</t>
        </is>
      </c>
      <c r="D419" s="15" t="inlineStr">
        <is>
          <t>QLD Scientists EA</t>
        </is>
      </c>
      <c r="E419" s="15" t="inlineStr">
        <is>
          <t>FT - Full-time Waged</t>
        </is>
      </c>
      <c r="F419" s="15" t="inlineStr">
        <is>
          <t>Queensland Fertility Group</t>
        </is>
      </c>
      <c r="G419" s="15" t="inlineStr">
        <is>
          <t>Queensland</t>
        </is>
      </c>
      <c r="H419" s="17" t="inlineStr">
        <is>
          <t>76.00</t>
        </is>
      </c>
      <c r="I419" s="15" t="inlineStr">
        <is>
          <t>Queensland Fertility Group Pty Ltd</t>
        </is>
      </c>
      <c r="J419" s="18" t="n">
        <v>330.6</v>
      </c>
      <c r="K419" s="17" t="inlineStr">
        <is>
          <t>1.27</t>
        </is>
      </c>
      <c r="L419" s="16" t="n">
        <v>45949</v>
      </c>
      <c r="M419" s="16" t="n">
        <v>45936</v>
      </c>
      <c r="N419" s="17" t="inlineStr">
        <is>
          <t>329.33</t>
        </is>
      </c>
      <c r="O419" s="17" t="inlineStr"/>
      <c r="P419" s="16" t="n"/>
    </row>
    <row r="420" ht="52.8" customHeight="1">
      <c r="A420" s="11" t="inlineStr">
        <is>
          <t>AU23458</t>
        </is>
      </c>
      <c r="B420" s="12" t="n">
        <v>45630</v>
      </c>
      <c r="C420" s="11" t="inlineStr">
        <is>
          <t>Pathologist - Microbiology</t>
        </is>
      </c>
      <c r="D420" s="11" t="inlineStr">
        <is>
          <t>Common Law Employment Contract</t>
        </is>
      </c>
      <c r="E420" s="11" t="inlineStr">
        <is>
          <t>CA - Casual</t>
        </is>
      </c>
      <c r="F420" s="11" t="inlineStr">
        <is>
          <t>Diagnostics</t>
        </is>
      </c>
      <c r="G420" s="11" t="inlineStr">
        <is>
          <t>Victoria</t>
        </is>
      </c>
      <c r="H420" s="13" t="inlineStr"/>
      <c r="I420" s="11" t="inlineStr">
        <is>
          <t>Virtus Health Specialist Diagnostics</t>
        </is>
      </c>
      <c r="J420" s="14" t="n">
        <v>1.27</v>
      </c>
      <c r="K420" s="13" t="inlineStr">
        <is>
          <t>1.27</t>
        </is>
      </c>
      <c r="L420" s="12" t="n">
        <v>45683</v>
      </c>
      <c r="M420" s="12" t="n">
        <v>45630</v>
      </c>
      <c r="N420" s="13" t="inlineStr"/>
      <c r="O420" s="13" t="inlineStr"/>
      <c r="P420" s="12" t="n"/>
    </row>
    <row r="421" ht="79.2" customHeight="1">
      <c r="A421" s="15" t="inlineStr">
        <is>
          <t>AU23863</t>
        </is>
      </c>
      <c r="B421" s="16" t="n">
        <v>45924</v>
      </c>
      <c r="C421" s="15" t="inlineStr">
        <is>
          <t>Phlebotomist</t>
        </is>
      </c>
      <c r="D421" s="15" t="inlineStr">
        <is>
          <t>Health Professionals and Support Services Award</t>
        </is>
      </c>
      <c r="E421" s="15" t="inlineStr">
        <is>
          <t>PP - Part-time Waged</t>
        </is>
      </c>
      <c r="F421" s="15" t="inlineStr">
        <is>
          <t>IVFA</t>
        </is>
      </c>
      <c r="G421" s="15" t="inlineStr">
        <is>
          <t>New South Wales</t>
        </is>
      </c>
      <c r="H421" s="17" t="inlineStr">
        <is>
          <t>38.00</t>
        </is>
      </c>
      <c r="I421" s="15" t="inlineStr">
        <is>
          <t>IVF Australia Pty Ltd</t>
        </is>
      </c>
      <c r="J421" s="18" t="n">
        <v>1.27</v>
      </c>
      <c r="K421" s="17" t="inlineStr">
        <is>
          <t>1.27</t>
        </is>
      </c>
      <c r="L421" s="16" t="n">
        <v>45949</v>
      </c>
      <c r="M421" s="16" t="n">
        <v>45924</v>
      </c>
      <c r="N421" s="17" t="inlineStr"/>
      <c r="O421" s="17" t="inlineStr"/>
      <c r="P421" s="16" t="n"/>
    </row>
    <row r="422" ht="39.6" customHeight="1">
      <c r="A422" s="11" t="inlineStr">
        <is>
          <t>AU23826</t>
        </is>
      </c>
      <c r="B422" s="12" t="n">
        <v>45936</v>
      </c>
      <c r="C422" s="11" t="inlineStr">
        <is>
          <t>Administration</t>
        </is>
      </c>
      <c r="D422" s="11" t="inlineStr">
        <is>
          <t>NSW Support Services EA</t>
        </is>
      </c>
      <c r="E422" s="11" t="inlineStr">
        <is>
          <t>FT - Full-time Waged</t>
        </is>
      </c>
      <c r="F422" s="11" t="inlineStr">
        <is>
          <t>IVFA</t>
        </is>
      </c>
      <c r="G422" s="11" t="inlineStr">
        <is>
          <t>New South Wales</t>
        </is>
      </c>
      <c r="H422" s="13" t="inlineStr">
        <is>
          <t>76.00</t>
        </is>
      </c>
      <c r="I422" s="11" t="inlineStr">
        <is>
          <t>IVF Australia Pty Ltd</t>
        </is>
      </c>
      <c r="J422" s="14" t="n">
        <v>1.27</v>
      </c>
      <c r="K422" s="13" t="inlineStr">
        <is>
          <t>1.27</t>
        </is>
      </c>
      <c r="L422" s="12" t="n">
        <v>45949</v>
      </c>
      <c r="M422" s="12" t="n">
        <v>45936</v>
      </c>
      <c r="N422" s="13" t="inlineStr"/>
      <c r="O422" s="13" t="inlineStr"/>
      <c r="P422" s="12" t="n"/>
    </row>
    <row r="423" ht="39.6" customHeight="1">
      <c r="A423" s="15" t="inlineStr">
        <is>
          <t>AU23897</t>
        </is>
      </c>
      <c r="B423" s="16" t="n">
        <v>45936</v>
      </c>
      <c r="C423" s="15" t="inlineStr">
        <is>
          <t>Nures Coordinator</t>
        </is>
      </c>
      <c r="D423" s="15" t="inlineStr">
        <is>
          <t>NSW Nurse EA</t>
        </is>
      </c>
      <c r="E423" s="15" t="inlineStr">
        <is>
          <t>FT - Full-time Waged</t>
        </is>
      </c>
      <c r="F423" s="15" t="inlineStr">
        <is>
          <t>IVFA</t>
        </is>
      </c>
      <c r="G423" s="15" t="inlineStr">
        <is>
          <t>New South Wales</t>
        </is>
      </c>
      <c r="H423" s="17" t="inlineStr">
        <is>
          <t>76.00</t>
        </is>
      </c>
      <c r="I423" s="15" t="inlineStr">
        <is>
          <t>IVF Australia Pty Ltd</t>
        </is>
      </c>
      <c r="J423" s="18" t="n">
        <v>1.27</v>
      </c>
      <c r="K423" s="17" t="inlineStr">
        <is>
          <t>1.27</t>
        </is>
      </c>
      <c r="L423" s="16" t="n">
        <v>45949</v>
      </c>
      <c r="M423" s="16" t="n">
        <v>45936</v>
      </c>
      <c r="N423" s="17" t="inlineStr"/>
      <c r="O423" s="17" t="inlineStr"/>
      <c r="P423" s="16" t="n"/>
    </row>
    <row r="424" ht="39.6" customHeight="1">
      <c r="A424" s="11" t="inlineStr">
        <is>
          <t>AU23860</t>
        </is>
      </c>
      <c r="B424" s="12" t="n">
        <v>45922</v>
      </c>
      <c r="C424" s="11" t="inlineStr">
        <is>
          <t>Administration Clerk</t>
        </is>
      </c>
      <c r="D424" s="11" t="inlineStr">
        <is>
          <t>NSW Support Services EA</t>
        </is>
      </c>
      <c r="E424" s="11" t="inlineStr">
        <is>
          <t>PP - Part-time Waged</t>
        </is>
      </c>
      <c r="F424" s="11" t="inlineStr">
        <is>
          <t>Day Hospitals</t>
        </is>
      </c>
      <c r="G424" s="11" t="inlineStr">
        <is>
          <t>New South Wales</t>
        </is>
      </c>
      <c r="H424" s="13" t="inlineStr">
        <is>
          <t>38.00</t>
        </is>
      </c>
      <c r="I424" s="11" t="inlineStr">
        <is>
          <t>City West Day Surgery</t>
        </is>
      </c>
      <c r="J424" s="14" t="n">
        <v>1.28</v>
      </c>
      <c r="K424" s="13" t="inlineStr">
        <is>
          <t>1.28</t>
        </is>
      </c>
      <c r="L424" s="12" t="n">
        <v>45949</v>
      </c>
      <c r="M424" s="12" t="n">
        <v>45005</v>
      </c>
      <c r="N424" s="13" t="inlineStr"/>
      <c r="O424" s="13" t="inlineStr"/>
      <c r="P424" s="12" t="n"/>
    </row>
    <row r="425" ht="66" customHeight="1">
      <c r="A425" s="15" t="inlineStr">
        <is>
          <t>AU23656</t>
        </is>
      </c>
      <c r="B425" s="16" t="n">
        <v>45803</v>
      </c>
      <c r="C425" s="15" t="inlineStr">
        <is>
          <t>Registered Nurse</t>
        </is>
      </c>
      <c r="D425" s="15" t="inlineStr">
        <is>
          <t>NSW Nurse EA</t>
        </is>
      </c>
      <c r="E425" s="15" t="inlineStr">
        <is>
          <t>CA - Casual</t>
        </is>
      </c>
      <c r="F425" s="15" t="inlineStr">
        <is>
          <t>Day Hospitals</t>
        </is>
      </c>
      <c r="G425" s="15" t="inlineStr">
        <is>
          <t>New South Wales</t>
        </is>
      </c>
      <c r="H425" s="17" t="inlineStr"/>
      <c r="I425" s="15" t="inlineStr">
        <is>
          <t>North Shore Specialist Day Hospital Pty Ltd</t>
        </is>
      </c>
      <c r="J425" s="18" t="n">
        <v>1.3</v>
      </c>
      <c r="K425" s="17" t="inlineStr">
        <is>
          <t>1.30</t>
        </is>
      </c>
      <c r="L425" s="16" t="n">
        <v>45949</v>
      </c>
      <c r="M425" s="16" t="n">
        <v>45803</v>
      </c>
      <c r="N425" s="17" t="inlineStr"/>
      <c r="O425" s="17" t="inlineStr"/>
      <c r="P425" s="16" t="n"/>
    </row>
    <row r="426" ht="79.2" customHeight="1">
      <c r="A426" s="11" t="inlineStr">
        <is>
          <t>AU23851</t>
        </is>
      </c>
      <c r="B426" s="12" t="n">
        <v>45924</v>
      </c>
      <c r="C426" s="11" t="inlineStr">
        <is>
          <t>Administration</t>
        </is>
      </c>
      <c r="D426" s="11" t="inlineStr">
        <is>
          <t>Health Professionals and Support Services Award</t>
        </is>
      </c>
      <c r="E426" s="11" t="inlineStr">
        <is>
          <t>CA - Casual</t>
        </is>
      </c>
      <c r="F426" s="11" t="inlineStr">
        <is>
          <t>Queensland Fertility Group</t>
        </is>
      </c>
      <c r="G426" s="11" t="inlineStr">
        <is>
          <t>Queensland</t>
        </is>
      </c>
      <c r="H426" s="13" t="inlineStr"/>
      <c r="I426" s="11" t="inlineStr">
        <is>
          <t>Queensland Fertility Group Pty Ltd</t>
        </is>
      </c>
      <c r="J426" s="14" t="n">
        <v>1.3</v>
      </c>
      <c r="K426" s="13" t="inlineStr">
        <is>
          <t>1.30</t>
        </is>
      </c>
      <c r="L426" s="12" t="n">
        <v>45949</v>
      </c>
      <c r="M426" s="12" t="n">
        <v>45924</v>
      </c>
      <c r="N426" s="13" t="inlineStr"/>
      <c r="O426" s="13" t="inlineStr"/>
      <c r="P426" s="12" t="n"/>
    </row>
    <row r="427" ht="66" customHeight="1">
      <c r="A427" s="15" t="inlineStr">
        <is>
          <t>AU23151</t>
        </is>
      </c>
      <c r="B427" s="16" t="n">
        <v>45378</v>
      </c>
      <c r="C427" s="15" t="inlineStr">
        <is>
          <t>Registered Nurse</t>
        </is>
      </c>
      <c r="D427" s="15" t="inlineStr">
        <is>
          <t>NSW Nurse EA</t>
        </is>
      </c>
      <c r="E427" s="15" t="inlineStr">
        <is>
          <t>CA - Casual</t>
        </is>
      </c>
      <c r="F427" s="15" t="inlineStr">
        <is>
          <t>Day Hospitals</t>
        </is>
      </c>
      <c r="G427" s="15" t="inlineStr">
        <is>
          <t>New South Wales</t>
        </is>
      </c>
      <c r="H427" s="17" t="inlineStr"/>
      <c r="I427" s="15" t="inlineStr">
        <is>
          <t>Alexandria Specialist Day Hospital Pty Ltd</t>
        </is>
      </c>
      <c r="J427" s="18" t="n">
        <v>1.32</v>
      </c>
      <c r="K427" s="17" t="inlineStr">
        <is>
          <t>1.32</t>
        </is>
      </c>
      <c r="L427" s="16" t="n">
        <v>45543</v>
      </c>
      <c r="M427" s="16" t="n">
        <v>45378</v>
      </c>
      <c r="N427" s="17" t="inlineStr"/>
      <c r="O427" s="17" t="inlineStr"/>
      <c r="P427" s="16" t="n"/>
    </row>
    <row r="428" ht="66" customHeight="1">
      <c r="A428" s="11" t="inlineStr">
        <is>
          <t>AU23412</t>
        </is>
      </c>
      <c r="B428" s="12" t="n">
        <v>45586</v>
      </c>
      <c r="C428" s="11" t="inlineStr">
        <is>
          <t>Theatre Orderly</t>
        </is>
      </c>
      <c r="D428" s="11" t="inlineStr">
        <is>
          <t>NSW Support Services EA</t>
        </is>
      </c>
      <c r="E428" s="11" t="inlineStr">
        <is>
          <t>CA - Casual</t>
        </is>
      </c>
      <c r="F428" s="11" t="inlineStr">
        <is>
          <t>Day Hospitals</t>
        </is>
      </c>
      <c r="G428" s="11" t="inlineStr">
        <is>
          <t>New South Wales</t>
        </is>
      </c>
      <c r="H428" s="13" t="inlineStr"/>
      <c r="I428" s="11" t="inlineStr">
        <is>
          <t>North Shore Specialist Day Hospital Pty Ltd</t>
        </is>
      </c>
      <c r="J428" s="14" t="n">
        <v>1.38</v>
      </c>
      <c r="K428" s="13" t="inlineStr">
        <is>
          <t>1.38</t>
        </is>
      </c>
      <c r="L428" s="12" t="n">
        <v>45921</v>
      </c>
      <c r="M428" s="12" t="n">
        <v>45586</v>
      </c>
      <c r="N428" s="13" t="inlineStr"/>
      <c r="O428" s="13" t="inlineStr"/>
      <c r="P428" s="12" t="n"/>
    </row>
    <row r="429" ht="39.6" customHeight="1">
      <c r="A429" s="15" t="inlineStr">
        <is>
          <t>AU23849</t>
        </is>
      </c>
      <c r="B429" s="16" t="n">
        <v>45922</v>
      </c>
      <c r="C429" s="15" t="inlineStr">
        <is>
          <t>Administration</t>
        </is>
      </c>
      <c r="D429" s="15" t="inlineStr">
        <is>
          <t>NSW Support Services EA</t>
        </is>
      </c>
      <c r="E429" s="15" t="inlineStr">
        <is>
          <t>PP - Part-time Waged</t>
        </is>
      </c>
      <c r="F429" s="15" t="inlineStr">
        <is>
          <t>Day Hospitals</t>
        </is>
      </c>
      <c r="G429" s="15" t="inlineStr">
        <is>
          <t>New South Wales</t>
        </is>
      </c>
      <c r="H429" s="17" t="inlineStr">
        <is>
          <t>38.00</t>
        </is>
      </c>
      <c r="I429" s="15" t="inlineStr">
        <is>
          <t>City West Day Surgery</t>
        </is>
      </c>
      <c r="J429" s="18" t="n">
        <v>1.38</v>
      </c>
      <c r="K429" s="17" t="inlineStr">
        <is>
          <t>1.38</t>
        </is>
      </c>
      <c r="L429" s="16" t="n">
        <v>45949</v>
      </c>
      <c r="M429" s="16" t="n">
        <v>45922</v>
      </c>
      <c r="N429" s="17" t="inlineStr"/>
      <c r="O429" s="17" t="inlineStr"/>
      <c r="P429" s="16" t="n"/>
    </row>
    <row r="430" ht="52.8" customHeight="1">
      <c r="A430" s="11" t="n">
        <v>60013</v>
      </c>
      <c r="B430" s="12" t="n">
        <v>40105</v>
      </c>
      <c r="C430" s="11" t="inlineStr">
        <is>
          <t>Registered Nurse</t>
        </is>
      </c>
      <c r="D430" s="11" t="inlineStr">
        <is>
          <t>QLD Nurse EA</t>
        </is>
      </c>
      <c r="E430" s="11" t="inlineStr">
        <is>
          <t>PP - Part-time Waged</t>
        </is>
      </c>
      <c r="F430" s="11" t="inlineStr">
        <is>
          <t>Day Hospitals</t>
        </is>
      </c>
      <c r="G430" s="11" t="inlineStr">
        <is>
          <t>Queensland</t>
        </is>
      </c>
      <c r="H430" s="13" t="inlineStr">
        <is>
          <t>32.00</t>
        </is>
      </c>
      <c r="I430" s="11" t="inlineStr">
        <is>
          <t>MACKAY Specialist Day Hospital</t>
        </is>
      </c>
      <c r="J430" s="14" t="n">
        <v>325.66</v>
      </c>
      <c r="K430" s="13" t="inlineStr">
        <is>
          <t>1.40</t>
        </is>
      </c>
      <c r="L430" s="12" t="n">
        <v>45949</v>
      </c>
      <c r="M430" s="12" t="n">
        <v>45949</v>
      </c>
      <c r="N430" s="13" t="inlineStr">
        <is>
          <t>324.26</t>
        </is>
      </c>
      <c r="O430" s="13" t="inlineStr"/>
      <c r="P430" s="12" t="n"/>
    </row>
    <row r="431" ht="39.6" customHeight="1">
      <c r="A431" s="15" t="inlineStr">
        <is>
          <t>AU23829</t>
        </is>
      </c>
      <c r="B431" s="16" t="n">
        <v>45916</v>
      </c>
      <c r="C431" s="15" t="inlineStr">
        <is>
          <t>Patient Support Officer</t>
        </is>
      </c>
      <c r="D431" s="15" t="inlineStr">
        <is>
          <t>NSW Support Services EA</t>
        </is>
      </c>
      <c r="E431" s="15" t="inlineStr">
        <is>
          <t>PP - Part-time Waged</t>
        </is>
      </c>
      <c r="F431" s="15" t="inlineStr">
        <is>
          <t>IVFA</t>
        </is>
      </c>
      <c r="G431" s="15" t="inlineStr">
        <is>
          <t>New South Wales</t>
        </is>
      </c>
      <c r="H431" s="17" t="inlineStr">
        <is>
          <t>64.00</t>
        </is>
      </c>
      <c r="I431" s="15" t="inlineStr">
        <is>
          <t>IVF Australia Pty Ltd</t>
        </is>
      </c>
      <c r="J431" s="18" t="n">
        <v>1.44</v>
      </c>
      <c r="K431" s="17" t="inlineStr">
        <is>
          <t>1.44</t>
        </is>
      </c>
      <c r="L431" s="16" t="n">
        <v>45949</v>
      </c>
      <c r="M431" s="16" t="n">
        <v>45916</v>
      </c>
      <c r="N431" s="17" t="inlineStr"/>
      <c r="O431" s="17" t="inlineStr"/>
      <c r="P431" s="16" t="n"/>
    </row>
    <row r="432" ht="39.6" customHeight="1">
      <c r="A432" s="11" t="n">
        <v>20468</v>
      </c>
      <c r="B432" s="12" t="n">
        <v>42254</v>
      </c>
      <c r="C432" s="11" t="inlineStr">
        <is>
          <t>Administration</t>
        </is>
      </c>
      <c r="D432" s="11" t="inlineStr">
        <is>
          <t>NSW Support Services EA</t>
        </is>
      </c>
      <c r="E432" s="11" t="inlineStr">
        <is>
          <t>PP - Part-time Waged</t>
        </is>
      </c>
      <c r="F432" s="11" t="inlineStr">
        <is>
          <t>The Fertility Centre</t>
        </is>
      </c>
      <c r="G432" s="11" t="inlineStr">
        <is>
          <t>New South Wales</t>
        </is>
      </c>
      <c r="H432" s="13" t="inlineStr">
        <is>
          <t>38.00</t>
        </is>
      </c>
      <c r="I432" s="11" t="inlineStr">
        <is>
          <t>IVF Australia Pty Ltd</t>
        </is>
      </c>
      <c r="J432" s="14" t="n">
        <v>146.41</v>
      </c>
      <c r="K432" s="13" t="inlineStr">
        <is>
          <t>1.47</t>
        </is>
      </c>
      <c r="L432" s="12" t="n">
        <v>45949</v>
      </c>
      <c r="M432" s="12" t="n">
        <v>45907</v>
      </c>
      <c r="N432" s="13" t="inlineStr">
        <is>
          <t>144.94</t>
        </is>
      </c>
      <c r="O432" s="13" t="inlineStr"/>
      <c r="P432" s="12" t="n"/>
    </row>
    <row r="433" ht="52.8" customHeight="1">
      <c r="A433" s="15" t="inlineStr">
        <is>
          <t>AU23834</t>
        </is>
      </c>
      <c r="B433" s="16" t="n">
        <v>45929</v>
      </c>
      <c r="C433" s="15" t="inlineStr">
        <is>
          <t>Registered Nurse</t>
        </is>
      </c>
      <c r="D433" s="15" t="inlineStr">
        <is>
          <t>QLD Nurse EA</t>
        </is>
      </c>
      <c r="E433" s="15" t="inlineStr">
        <is>
          <t>PP - Part-time Waged</t>
        </is>
      </c>
      <c r="F433" s="15" t="inlineStr">
        <is>
          <t>Day Hospitals</t>
        </is>
      </c>
      <c r="G433" s="15" t="inlineStr">
        <is>
          <t>Queensland</t>
        </is>
      </c>
      <c r="H433" s="17" t="inlineStr">
        <is>
          <t>38.00</t>
        </is>
      </c>
      <c r="I433" s="15" t="inlineStr">
        <is>
          <t>MACKAY Specialist Day Hospital</t>
        </is>
      </c>
      <c r="J433" s="18" t="n">
        <v>1.51</v>
      </c>
      <c r="K433" s="17" t="inlineStr">
        <is>
          <t>1.51</t>
        </is>
      </c>
      <c r="L433" s="16" t="n">
        <v>45949</v>
      </c>
      <c r="M433" s="16" t="n">
        <v>45901</v>
      </c>
      <c r="N433" s="17" t="inlineStr"/>
      <c r="O433" s="17" t="inlineStr"/>
      <c r="P433" s="16" t="n"/>
    </row>
    <row r="434" ht="52.8" customHeight="1">
      <c r="A434" s="11" t="inlineStr">
        <is>
          <t>AU23785</t>
        </is>
      </c>
      <c r="B434" s="12" t="n">
        <v>45901</v>
      </c>
      <c r="C434" s="11" t="inlineStr">
        <is>
          <t>Assistant in Nursing</t>
        </is>
      </c>
      <c r="D434" s="11" t="inlineStr">
        <is>
          <t>QLD Nurse EA</t>
        </is>
      </c>
      <c r="E434" s="11" t="inlineStr">
        <is>
          <t>PP - Part-time Waged</t>
        </is>
      </c>
      <c r="F434" s="11" t="inlineStr">
        <is>
          <t>Day Hospitals</t>
        </is>
      </c>
      <c r="G434" s="11" t="inlineStr">
        <is>
          <t>Queensland</t>
        </is>
      </c>
      <c r="H434" s="13" t="inlineStr">
        <is>
          <t>32.00</t>
        </is>
      </c>
      <c r="I434" s="11" t="inlineStr">
        <is>
          <t>MACKAY Specialist Day Hospital</t>
        </is>
      </c>
      <c r="J434" s="14" t="n">
        <v>1.53</v>
      </c>
      <c r="K434" s="13" t="inlineStr">
        <is>
          <t>1.53</t>
        </is>
      </c>
      <c r="L434" s="12" t="n">
        <v>45935</v>
      </c>
      <c r="M434" s="12" t="n">
        <v>45901</v>
      </c>
      <c r="N434" s="13" t="inlineStr"/>
      <c r="O434" s="13" t="inlineStr"/>
      <c r="P434" s="12" t="n"/>
    </row>
    <row r="435" ht="66" customHeight="1">
      <c r="A435" s="15" t="n">
        <v>30020</v>
      </c>
      <c r="B435" s="16" t="n">
        <v>40009</v>
      </c>
      <c r="C435" s="15" t="inlineStr">
        <is>
          <t>Registered Nurse</t>
        </is>
      </c>
      <c r="D435" s="15" t="inlineStr">
        <is>
          <t>NSW Nurse EA</t>
        </is>
      </c>
      <c r="E435" s="15" t="inlineStr">
        <is>
          <t>PP - Part-time Waged</t>
        </is>
      </c>
      <c r="F435" s="15" t="inlineStr">
        <is>
          <t>Day Hospitals</t>
        </is>
      </c>
      <c r="G435" s="15" t="inlineStr">
        <is>
          <t>New South Wales</t>
        </is>
      </c>
      <c r="H435" s="17" t="inlineStr">
        <is>
          <t>16.00</t>
        </is>
      </c>
      <c r="I435" s="15" t="inlineStr">
        <is>
          <t>North Shore Specialist Day Hospital Pty Ltd</t>
        </is>
      </c>
      <c r="J435" s="18" t="n">
        <v>46.32</v>
      </c>
      <c r="K435" s="17" t="inlineStr">
        <is>
          <t>1.58</t>
        </is>
      </c>
      <c r="L435" s="16" t="n">
        <v>45949</v>
      </c>
      <c r="M435" s="16" t="n">
        <v>45853</v>
      </c>
      <c r="N435" s="17" t="inlineStr">
        <is>
          <t>44.74</t>
        </is>
      </c>
      <c r="O435" s="17" t="inlineStr"/>
      <c r="P435" s="16" t="n"/>
    </row>
    <row r="436" ht="26.4" customHeight="1">
      <c r="A436" s="11" t="inlineStr">
        <is>
          <t>AU23862</t>
        </is>
      </c>
      <c r="B436" s="12" t="n">
        <v>45925</v>
      </c>
      <c r="C436" s="11" t="inlineStr">
        <is>
          <t>Registered Nurse</t>
        </is>
      </c>
      <c r="D436" s="11" t="inlineStr">
        <is>
          <t>NSW Nurse EA</t>
        </is>
      </c>
      <c r="E436" s="11" t="inlineStr">
        <is>
          <t>CA - Casual</t>
        </is>
      </c>
      <c r="F436" s="11" t="inlineStr">
        <is>
          <t>Day Hospitals</t>
        </is>
      </c>
      <c r="G436" s="11" t="inlineStr">
        <is>
          <t>New South Wales</t>
        </is>
      </c>
      <c r="H436" s="13" t="inlineStr"/>
      <c r="I436" s="11" t="inlineStr">
        <is>
          <t>City West Day Surgery</t>
        </is>
      </c>
      <c r="J436" s="14" t="n">
        <v>1.58</v>
      </c>
      <c r="K436" s="13" t="inlineStr">
        <is>
          <t>1.58</t>
        </is>
      </c>
      <c r="L436" s="12" t="n">
        <v>45949</v>
      </c>
      <c r="M436" s="12" t="n">
        <v>45925</v>
      </c>
      <c r="N436" s="13" t="inlineStr"/>
      <c r="O436" s="13" t="inlineStr"/>
      <c r="P436" s="12" t="n"/>
    </row>
    <row r="437" ht="39.6" customHeight="1">
      <c r="A437" s="15" t="inlineStr">
        <is>
          <t>AU23818</t>
        </is>
      </c>
      <c r="B437" s="16" t="n">
        <v>45929</v>
      </c>
      <c r="C437" s="15" t="inlineStr">
        <is>
          <t>Registered Nurse</t>
        </is>
      </c>
      <c r="D437" s="15" t="inlineStr">
        <is>
          <t>NSW Nurse EA</t>
        </is>
      </c>
      <c r="E437" s="15" t="inlineStr">
        <is>
          <t>PP - Part-time Waged</t>
        </is>
      </c>
      <c r="F437" s="15" t="inlineStr">
        <is>
          <t>Day Hospitals</t>
        </is>
      </c>
      <c r="G437" s="15" t="inlineStr">
        <is>
          <t>New South Wales</t>
        </is>
      </c>
      <c r="H437" s="17" t="inlineStr">
        <is>
          <t>64.00</t>
        </is>
      </c>
      <c r="I437" s="15" t="inlineStr">
        <is>
          <t>IVF Australia Pty Ltd</t>
        </is>
      </c>
      <c r="J437" s="18" t="n">
        <v>1.6</v>
      </c>
      <c r="K437" s="17" t="inlineStr">
        <is>
          <t>1.60</t>
        </is>
      </c>
      <c r="L437" s="16" t="n">
        <v>45949</v>
      </c>
      <c r="M437" s="16" t="n">
        <v>45929</v>
      </c>
      <c r="N437" s="17" t="inlineStr"/>
      <c r="O437" s="17" t="inlineStr"/>
      <c r="P437" s="16" t="n"/>
    </row>
    <row r="438" ht="66" customHeight="1">
      <c r="A438" s="11" t="n">
        <v>30139</v>
      </c>
      <c r="B438" s="12" t="n">
        <v>42181</v>
      </c>
      <c r="C438" s="11" t="inlineStr">
        <is>
          <t>Registered Nurse</t>
        </is>
      </c>
      <c r="D438" s="11" t="inlineStr">
        <is>
          <t>NSW Nurse EA</t>
        </is>
      </c>
      <c r="E438" s="11" t="inlineStr">
        <is>
          <t>CA - Casual</t>
        </is>
      </c>
      <c r="F438" s="11" t="inlineStr">
        <is>
          <t>Day Hospitals</t>
        </is>
      </c>
      <c r="G438" s="11" t="inlineStr">
        <is>
          <t>New South Wales</t>
        </is>
      </c>
      <c r="H438" s="13" t="inlineStr"/>
      <c r="I438" s="11" t="inlineStr">
        <is>
          <t>North Shore Specialist Day Hospital Pty Ltd</t>
        </is>
      </c>
      <c r="J438" s="14" t="n">
        <v>63.51</v>
      </c>
      <c r="K438" s="13" t="inlineStr">
        <is>
          <t>1.63</t>
        </is>
      </c>
      <c r="L438" s="12" t="n">
        <v>45949</v>
      </c>
      <c r="M438" s="12" t="n">
        <v>45834</v>
      </c>
      <c r="N438" s="13" t="inlineStr">
        <is>
          <t>61.88</t>
        </is>
      </c>
      <c r="O438" s="13" t="inlineStr"/>
      <c r="P438" s="12" t="n"/>
    </row>
    <row r="439" ht="79.2" customHeight="1">
      <c r="A439" s="15" t="inlineStr">
        <is>
          <t>AU23856</t>
        </is>
      </c>
      <c r="B439" s="16" t="n">
        <v>45929</v>
      </c>
      <c r="C439" s="15" t="inlineStr">
        <is>
          <t>Administration</t>
        </is>
      </c>
      <c r="D439" s="15" t="inlineStr">
        <is>
          <t>Health Professionals and Support Services Award</t>
        </is>
      </c>
      <c r="E439" s="15" t="inlineStr">
        <is>
          <t>FT - Full-time Waged</t>
        </is>
      </c>
      <c r="F439" s="15" t="inlineStr">
        <is>
          <t>Queensland Fertility Group</t>
        </is>
      </c>
      <c r="G439" s="15" t="inlineStr">
        <is>
          <t>Queensland</t>
        </is>
      </c>
      <c r="H439" s="17" t="inlineStr">
        <is>
          <t>76.00</t>
        </is>
      </c>
      <c r="I439" s="15" t="inlineStr">
        <is>
          <t>Queensland Fertility Group Pty Ltd</t>
        </is>
      </c>
      <c r="J439" s="18" t="n">
        <v>1.77</v>
      </c>
      <c r="K439" s="17" t="inlineStr">
        <is>
          <t>1.77</t>
        </is>
      </c>
      <c r="L439" s="16" t="n">
        <v>45949</v>
      </c>
      <c r="M439" s="16" t="n">
        <v>45929</v>
      </c>
      <c r="N439" s="17" t="inlineStr"/>
      <c r="O439" s="17" t="inlineStr"/>
      <c r="P439" s="16" t="n"/>
    </row>
    <row r="440" ht="66" customHeight="1">
      <c r="A440" s="11" t="inlineStr">
        <is>
          <t>AU23680</t>
        </is>
      </c>
      <c r="B440" s="12" t="n">
        <v>45796</v>
      </c>
      <c r="C440" s="11" t="inlineStr">
        <is>
          <t>CSSD Tech</t>
        </is>
      </c>
      <c r="D440" s="11" t="inlineStr">
        <is>
          <t>NSW Support Services EA</t>
        </is>
      </c>
      <c r="E440" s="11" t="inlineStr">
        <is>
          <t>CA - Casual</t>
        </is>
      </c>
      <c r="F440" s="11" t="inlineStr">
        <is>
          <t>Day Hospitals</t>
        </is>
      </c>
      <c r="G440" s="11" t="inlineStr">
        <is>
          <t>New South Wales</t>
        </is>
      </c>
      <c r="H440" s="13" t="inlineStr"/>
      <c r="I440" s="11" t="inlineStr">
        <is>
          <t>Alexandria Specialist Day Hospital Pty Ltd</t>
        </is>
      </c>
      <c r="J440" s="14" t="n">
        <v>1.78</v>
      </c>
      <c r="K440" s="13" t="inlineStr">
        <is>
          <t>1.78</t>
        </is>
      </c>
      <c r="L440" s="12" t="n">
        <v>45949</v>
      </c>
      <c r="M440" s="12" t="n">
        <v>45796</v>
      </c>
      <c r="N440" s="13" t="inlineStr"/>
      <c r="O440" s="13" t="inlineStr"/>
      <c r="P440" s="12" t="n"/>
    </row>
    <row r="441" ht="52.8" customHeight="1">
      <c r="A441" s="15" t="inlineStr">
        <is>
          <t>AU23804</t>
        </is>
      </c>
      <c r="B441" s="16" t="n">
        <v>45937</v>
      </c>
      <c r="C441" s="15" t="inlineStr">
        <is>
          <t>Nurses  Coordinator</t>
        </is>
      </c>
      <c r="D441" s="15" t="inlineStr">
        <is>
          <t>QLD Nurse EA</t>
        </is>
      </c>
      <c r="E441" s="15" t="inlineStr">
        <is>
          <t>CO - Contract</t>
        </is>
      </c>
      <c r="F441" s="15" t="inlineStr">
        <is>
          <t>Queensland Fertility Group</t>
        </is>
      </c>
      <c r="G441" s="15" t="inlineStr">
        <is>
          <t>Queensland</t>
        </is>
      </c>
      <c r="H441" s="17" t="inlineStr">
        <is>
          <t>76.00</t>
        </is>
      </c>
      <c r="I441" s="15" t="inlineStr">
        <is>
          <t>Queensland Fertility Group Pty Ltd</t>
        </is>
      </c>
      <c r="J441" s="18" t="n">
        <v>1.79</v>
      </c>
      <c r="K441" s="17" t="inlineStr">
        <is>
          <t>1.79</t>
        </is>
      </c>
      <c r="L441" s="16" t="n">
        <v>45949</v>
      </c>
      <c r="M441" s="16" t="n">
        <v>45937</v>
      </c>
      <c r="N441" s="17" t="inlineStr"/>
      <c r="O441" s="17" t="inlineStr"/>
      <c r="P441" s="16" t="n"/>
    </row>
    <row r="442" ht="66" customHeight="1">
      <c r="A442" s="11" t="inlineStr">
        <is>
          <t>AU23675</t>
        </is>
      </c>
      <c r="B442" s="12" t="n">
        <v>45810</v>
      </c>
      <c r="C442" s="11" t="inlineStr">
        <is>
          <t>Theatre Orderly</t>
        </is>
      </c>
      <c r="D442" s="11" t="inlineStr">
        <is>
          <t>NSW Support Services EA</t>
        </is>
      </c>
      <c r="E442" s="11" t="inlineStr">
        <is>
          <t>CA - Casual</t>
        </is>
      </c>
      <c r="F442" s="11" t="inlineStr">
        <is>
          <t>Day Hospitals</t>
        </is>
      </c>
      <c r="G442" s="11" t="inlineStr">
        <is>
          <t>New South Wales</t>
        </is>
      </c>
      <c r="H442" s="13" t="inlineStr"/>
      <c r="I442" s="11" t="inlineStr">
        <is>
          <t>North Shore Specialist Day Hospital Pty Ltd</t>
        </is>
      </c>
      <c r="J442" s="14" t="n">
        <v>1.82</v>
      </c>
      <c r="K442" s="13" t="inlineStr">
        <is>
          <t>1.82</t>
        </is>
      </c>
      <c r="L442" s="12" t="n">
        <v>45949</v>
      </c>
      <c r="M442" s="12" t="n">
        <v>45810</v>
      </c>
      <c r="N442" s="13" t="inlineStr"/>
      <c r="O442" s="13" t="inlineStr"/>
      <c r="P442" s="12" t="n"/>
    </row>
    <row r="443" ht="79.2" customHeight="1">
      <c r="A443" s="15" t="inlineStr">
        <is>
          <t>AU23857</t>
        </is>
      </c>
      <c r="B443" s="16" t="n">
        <v>45929</v>
      </c>
      <c r="C443" s="15" t="inlineStr">
        <is>
          <t>Administration</t>
        </is>
      </c>
      <c r="D443" s="15" t="inlineStr">
        <is>
          <t>Health Professionals and Support Services Award</t>
        </is>
      </c>
      <c r="E443" s="15" t="inlineStr">
        <is>
          <t>FT - Full-time Waged</t>
        </is>
      </c>
      <c r="F443" s="15" t="inlineStr">
        <is>
          <t>Queensland Fertility Group</t>
        </is>
      </c>
      <c r="G443" s="15" t="inlineStr">
        <is>
          <t>Queensland</t>
        </is>
      </c>
      <c r="H443" s="17" t="inlineStr">
        <is>
          <t>76.00</t>
        </is>
      </c>
      <c r="I443" s="15" t="inlineStr">
        <is>
          <t>Queensland Fertility Group Pty Ltd</t>
        </is>
      </c>
      <c r="J443" s="18" t="n">
        <v>1.89</v>
      </c>
      <c r="K443" s="17" t="inlineStr">
        <is>
          <t>1.89</t>
        </is>
      </c>
      <c r="L443" s="16" t="n">
        <v>45949</v>
      </c>
      <c r="M443" s="16" t="n">
        <v>45929</v>
      </c>
      <c r="N443" s="17" t="inlineStr"/>
      <c r="O443" s="17" t="inlineStr"/>
      <c r="P443" s="16" t="n"/>
    </row>
    <row r="444" ht="52.8" customHeight="1">
      <c r="A444" s="11" t="n">
        <v>80106</v>
      </c>
      <c r="B444" s="12" t="n">
        <v>35352</v>
      </c>
      <c r="C444" s="11" t="inlineStr">
        <is>
          <t>Embryologist</t>
        </is>
      </c>
      <c r="D444" s="11" t="inlineStr">
        <is>
          <t>QLD Scientists EA</t>
        </is>
      </c>
      <c r="E444" s="11" t="inlineStr">
        <is>
          <t>FT - Full-time Waged</t>
        </is>
      </c>
      <c r="F444" s="11" t="inlineStr">
        <is>
          <t>Queensland Fertility Group</t>
        </is>
      </c>
      <c r="G444" s="11" t="inlineStr">
        <is>
          <t>Queensland</t>
        </is>
      </c>
      <c r="H444" s="13" t="inlineStr">
        <is>
          <t>76.00</t>
        </is>
      </c>
      <c r="I444" s="11" t="inlineStr">
        <is>
          <t>Queensland Fertility Group Pty Ltd</t>
        </is>
      </c>
      <c r="J444" s="14" t="n">
        <v>55.41</v>
      </c>
      <c r="K444" s="13" t="inlineStr">
        <is>
          <t>1.90</t>
        </is>
      </c>
      <c r="L444" s="12" t="n">
        <v>45949</v>
      </c>
      <c r="M444" s="12" t="n">
        <v>45944</v>
      </c>
      <c r="N444" s="13" t="inlineStr">
        <is>
          <t>121.91</t>
        </is>
      </c>
      <c r="O444" s="13" t="inlineStr">
        <is>
          <t>68.40</t>
        </is>
      </c>
      <c r="P444" s="12" t="n"/>
    </row>
    <row r="445" ht="52.8" customHeight="1">
      <c r="A445" s="15" t="inlineStr">
        <is>
          <t>AU23864</t>
        </is>
      </c>
      <c r="B445" s="16" t="n">
        <v>45929</v>
      </c>
      <c r="C445" s="15" t="inlineStr">
        <is>
          <t>Quality Compliance &amp; Risk Manager</t>
        </is>
      </c>
      <c r="D445" s="15" t="inlineStr">
        <is>
          <t>Common Law Employment Contract</t>
        </is>
      </c>
      <c r="E445" s="15" t="inlineStr">
        <is>
          <t>CO - Contract</t>
        </is>
      </c>
      <c r="F445" s="15" t="inlineStr">
        <is>
          <t>Corporate Services</t>
        </is>
      </c>
      <c r="G445" s="15" t="inlineStr">
        <is>
          <t>New South Wales</t>
        </is>
      </c>
      <c r="H445" s="17" t="inlineStr">
        <is>
          <t>76.00</t>
        </is>
      </c>
      <c r="I445" s="15" t="inlineStr">
        <is>
          <t>IVF Australia Pty Ltd</t>
        </is>
      </c>
      <c r="J445" s="18" t="n">
        <v>1.9</v>
      </c>
      <c r="K445" s="17" t="inlineStr">
        <is>
          <t>1.90</t>
        </is>
      </c>
      <c r="L445" s="16" t="n">
        <v>45949</v>
      </c>
      <c r="M445" s="16" t="n">
        <v>45929</v>
      </c>
      <c r="N445" s="17" t="inlineStr"/>
      <c r="O445" s="17" t="inlineStr"/>
      <c r="P445" s="16" t="n"/>
    </row>
    <row r="446" ht="52.8" customHeight="1">
      <c r="A446" s="11" t="inlineStr">
        <is>
          <t>AU23859</t>
        </is>
      </c>
      <c r="B446" s="12" t="n">
        <v>45929</v>
      </c>
      <c r="C446" s="11" t="inlineStr">
        <is>
          <t>Technology Operations Engineer</t>
        </is>
      </c>
      <c r="D446" s="11" t="inlineStr">
        <is>
          <t>Common Law Employment Contract</t>
        </is>
      </c>
      <c r="E446" s="11" t="inlineStr">
        <is>
          <t>FP - Full-time Salaried</t>
        </is>
      </c>
      <c r="F446" s="11" t="inlineStr">
        <is>
          <t>Corporate Services</t>
        </is>
      </c>
      <c r="G446" s="11" t="inlineStr">
        <is>
          <t>Victoria</t>
        </is>
      </c>
      <c r="H446" s="13" t="inlineStr">
        <is>
          <t>76.00</t>
        </is>
      </c>
      <c r="I446" s="11" t="inlineStr">
        <is>
          <t>IVF Australia Pty Ltd</t>
        </is>
      </c>
      <c r="J446" s="14" t="n">
        <v>1.9</v>
      </c>
      <c r="K446" s="13" t="inlineStr">
        <is>
          <t>1.90</t>
        </is>
      </c>
      <c r="L446" s="12" t="n">
        <v>45949</v>
      </c>
      <c r="M446" s="12" t="n">
        <v>45929</v>
      </c>
      <c r="N446" s="13" t="inlineStr"/>
      <c r="O446" s="13" t="inlineStr"/>
      <c r="P446" s="12" t="n"/>
    </row>
    <row r="447" ht="52.8" customHeight="1">
      <c r="A447" s="15" t="inlineStr">
        <is>
          <t>AU23789</t>
        </is>
      </c>
      <c r="B447" s="16" t="n">
        <v>45929</v>
      </c>
      <c r="C447" s="15" t="inlineStr">
        <is>
          <t>HR Generalist</t>
        </is>
      </c>
      <c r="D447" s="15" t="inlineStr">
        <is>
          <t>Common Law Employment Contract</t>
        </is>
      </c>
      <c r="E447" s="15" t="inlineStr">
        <is>
          <t>FT - Full-time Waged</t>
        </is>
      </c>
      <c r="F447" s="15" t="inlineStr">
        <is>
          <t>IVFA</t>
        </is>
      </c>
      <c r="G447" s="15" t="inlineStr">
        <is>
          <t>New South Wales</t>
        </is>
      </c>
      <c r="H447" s="17" t="inlineStr">
        <is>
          <t>76.00</t>
        </is>
      </c>
      <c r="I447" s="15" t="inlineStr">
        <is>
          <t>IVF Australia Pty Ltd</t>
        </is>
      </c>
      <c r="J447" s="18" t="n">
        <v>1.9</v>
      </c>
      <c r="K447" s="17" t="inlineStr">
        <is>
          <t>1.90</t>
        </is>
      </c>
      <c r="L447" s="16" t="n">
        <v>45949</v>
      </c>
      <c r="M447" s="16" t="n">
        <v>45929</v>
      </c>
      <c r="N447" s="17" t="inlineStr"/>
      <c r="O447" s="17" t="inlineStr"/>
      <c r="P447" s="16" t="n"/>
    </row>
    <row r="448" ht="52.8" customHeight="1">
      <c r="A448" s="11" t="inlineStr">
        <is>
          <t>AU23898</t>
        </is>
      </c>
      <c r="B448" s="12" t="n">
        <v>45929</v>
      </c>
      <c r="C448" s="11" t="inlineStr">
        <is>
          <t>Head of Financial Control</t>
        </is>
      </c>
      <c r="D448" s="11" t="inlineStr">
        <is>
          <t>Common Law Employment Contract</t>
        </is>
      </c>
      <c r="E448" s="11" t="inlineStr">
        <is>
          <t>FP - Full-time Salaried</t>
        </is>
      </c>
      <c r="F448" s="11" t="inlineStr">
        <is>
          <t>IVFA</t>
        </is>
      </c>
      <c r="G448" s="11" t="inlineStr">
        <is>
          <t>New South Wales</t>
        </is>
      </c>
      <c r="H448" s="13" t="inlineStr">
        <is>
          <t>76.00</t>
        </is>
      </c>
      <c r="I448" s="11" t="inlineStr">
        <is>
          <t>IVF Australia Pty Ltd</t>
        </is>
      </c>
      <c r="J448" s="14" t="n">
        <v>1.9</v>
      </c>
      <c r="K448" s="13" t="inlineStr">
        <is>
          <t>1.90</t>
        </is>
      </c>
      <c r="L448" s="12" t="n">
        <v>45949</v>
      </c>
      <c r="M448" s="12" t="n">
        <v>45929</v>
      </c>
      <c r="N448" s="13" t="inlineStr"/>
      <c r="O448" s="13" t="inlineStr"/>
      <c r="P448" s="12" t="n"/>
    </row>
    <row r="449" ht="66" customHeight="1">
      <c r="A449" s="15" t="inlineStr">
        <is>
          <t>AU23097</t>
        </is>
      </c>
      <c r="B449" s="16" t="n">
        <v>45348</v>
      </c>
      <c r="C449" s="15" t="inlineStr">
        <is>
          <t>Registered Nurse</t>
        </is>
      </c>
      <c r="D449" s="15" t="inlineStr">
        <is>
          <t>NSW Nurse EA</t>
        </is>
      </c>
      <c r="E449" s="15" t="inlineStr">
        <is>
          <t>CA - Casual</t>
        </is>
      </c>
      <c r="F449" s="15" t="inlineStr">
        <is>
          <t>Day Hospitals</t>
        </is>
      </c>
      <c r="G449" s="15" t="inlineStr">
        <is>
          <t>New South Wales</t>
        </is>
      </c>
      <c r="H449" s="17" t="inlineStr"/>
      <c r="I449" s="15" t="inlineStr">
        <is>
          <t>Alexandria Specialist Day Hospital Pty Ltd</t>
        </is>
      </c>
      <c r="J449" s="18" t="n">
        <v>2.01</v>
      </c>
      <c r="K449" s="17" t="inlineStr">
        <is>
          <t>2.01</t>
        </is>
      </c>
      <c r="L449" s="16" t="n">
        <v>45543</v>
      </c>
      <c r="M449" s="16" t="n">
        <v>45348</v>
      </c>
      <c r="N449" s="17" t="inlineStr"/>
      <c r="O449" s="17" t="inlineStr"/>
      <c r="P449" s="16" t="n"/>
    </row>
    <row r="450" ht="79.2" customHeight="1">
      <c r="A450" s="11" t="inlineStr">
        <is>
          <t>AU23319</t>
        </is>
      </c>
      <c r="B450" s="12" t="n">
        <v>45523</v>
      </c>
      <c r="C450" s="11" t="inlineStr">
        <is>
          <t>Phlebotomist</t>
        </is>
      </c>
      <c r="D450" s="11" t="inlineStr">
        <is>
          <t>Health Professionals and Support Services Award</t>
        </is>
      </c>
      <c r="E450" s="11" t="inlineStr">
        <is>
          <t>CA - Casual</t>
        </is>
      </c>
      <c r="F450" s="11" t="inlineStr">
        <is>
          <t>Queensland Fertility Group</t>
        </is>
      </c>
      <c r="G450" s="11" t="inlineStr">
        <is>
          <t>Queensland</t>
        </is>
      </c>
      <c r="H450" s="13" t="inlineStr"/>
      <c r="I450" s="11" t="inlineStr">
        <is>
          <t>Queensland Fertility Group Pty Ltd</t>
        </is>
      </c>
      <c r="J450" s="14" t="n">
        <v>2.1</v>
      </c>
      <c r="K450" s="13" t="inlineStr">
        <is>
          <t>2.10</t>
        </is>
      </c>
      <c r="L450" s="12" t="n">
        <v>45585</v>
      </c>
      <c r="M450" s="12" t="n">
        <v>45523</v>
      </c>
      <c r="N450" s="13" t="inlineStr"/>
      <c r="O450" s="13" t="inlineStr"/>
      <c r="P450" s="12" t="n"/>
    </row>
    <row r="451" ht="66" customHeight="1">
      <c r="A451" s="15" t="n">
        <v>30132</v>
      </c>
      <c r="B451" s="16" t="n">
        <v>41964</v>
      </c>
      <c r="C451" s="15" t="inlineStr">
        <is>
          <t>Registered Nurse</t>
        </is>
      </c>
      <c r="D451" s="15" t="inlineStr">
        <is>
          <t>NSW Nurse EA</t>
        </is>
      </c>
      <c r="E451" s="15" t="inlineStr">
        <is>
          <t>CA - Casual</t>
        </is>
      </c>
      <c r="F451" s="15" t="inlineStr">
        <is>
          <t>Day Hospitals</t>
        </is>
      </c>
      <c r="G451" s="15" t="inlineStr">
        <is>
          <t>New South Wales</t>
        </is>
      </c>
      <c r="H451" s="17" t="inlineStr"/>
      <c r="I451" s="15" t="inlineStr">
        <is>
          <t>North Shore Specialist Day Hospital Pty Ltd</t>
        </is>
      </c>
      <c r="J451" s="18" t="n">
        <v>28.72</v>
      </c>
      <c r="K451" s="17" t="inlineStr">
        <is>
          <t>2.12</t>
        </is>
      </c>
      <c r="L451" s="16" t="n">
        <v>45949</v>
      </c>
      <c r="M451" s="16" t="n">
        <v>45617</v>
      </c>
      <c r="N451" s="17" t="inlineStr">
        <is>
          <t>26.60</t>
        </is>
      </c>
      <c r="O451" s="17" t="inlineStr"/>
      <c r="P451" s="16" t="n"/>
    </row>
    <row r="452" ht="79.2" customHeight="1">
      <c r="A452" s="11" t="inlineStr">
        <is>
          <t>AU23773</t>
        </is>
      </c>
      <c r="B452" s="12" t="n">
        <v>45880</v>
      </c>
      <c r="C452" s="11" t="inlineStr">
        <is>
          <t>Laboratory Administration</t>
        </is>
      </c>
      <c r="D452" s="11" t="inlineStr">
        <is>
          <t>Health Professionals and Support Services Award</t>
        </is>
      </c>
      <c r="E452" s="11" t="inlineStr">
        <is>
          <t>CA - Casual</t>
        </is>
      </c>
      <c r="F452" s="11" t="inlineStr">
        <is>
          <t>Queensland Fertility Group</t>
        </is>
      </c>
      <c r="G452" s="11" t="inlineStr">
        <is>
          <t>Queensland</t>
        </is>
      </c>
      <c r="H452" s="13" t="inlineStr"/>
      <c r="I452" s="11" t="inlineStr">
        <is>
          <t>Queensland Fertility Group Pty Ltd</t>
        </is>
      </c>
      <c r="J452" s="14" t="n">
        <v>2.12</v>
      </c>
      <c r="K452" s="13" t="inlineStr">
        <is>
          <t>2.12</t>
        </is>
      </c>
      <c r="L452" s="12" t="n">
        <v>45949</v>
      </c>
      <c r="M452" s="12" t="n">
        <v>45880</v>
      </c>
      <c r="N452" s="13" t="inlineStr"/>
      <c r="O452" s="13" t="inlineStr"/>
      <c r="P452" s="12" t="n"/>
    </row>
    <row r="453" ht="52.8" customHeight="1">
      <c r="A453" s="15" t="inlineStr">
        <is>
          <t>AU23788</t>
        </is>
      </c>
      <c r="B453" s="16" t="n">
        <v>45908</v>
      </c>
      <c r="C453" s="15" t="inlineStr">
        <is>
          <t>Laboratory Technician</t>
        </is>
      </c>
      <c r="D453" s="15" t="inlineStr">
        <is>
          <t>QLD Scientists EA</t>
        </is>
      </c>
      <c r="E453" s="15" t="inlineStr">
        <is>
          <t>CO - Contract</t>
        </is>
      </c>
      <c r="F453" s="15" t="inlineStr">
        <is>
          <t>Queensland Fertility Group</t>
        </is>
      </c>
      <c r="G453" s="15" t="inlineStr">
        <is>
          <t>Queensland</t>
        </is>
      </c>
      <c r="H453" s="17" t="inlineStr">
        <is>
          <t>45.60</t>
        </is>
      </c>
      <c r="I453" s="15" t="inlineStr">
        <is>
          <t>Queensland Fertility Group Pty Ltd</t>
        </is>
      </c>
      <c r="J453" s="18" t="n">
        <v>2.28</v>
      </c>
      <c r="K453" s="17" t="inlineStr">
        <is>
          <t>2.28</t>
        </is>
      </c>
      <c r="L453" s="16" t="n">
        <v>45949</v>
      </c>
      <c r="M453" s="16" t="n">
        <v>45908</v>
      </c>
      <c r="N453" s="17" t="inlineStr"/>
      <c r="O453" s="17" t="inlineStr"/>
      <c r="P453" s="16" t="n"/>
    </row>
    <row r="454" ht="26.4" customHeight="1">
      <c r="A454" s="11" t="inlineStr">
        <is>
          <t>AU22976</t>
        </is>
      </c>
      <c r="B454" s="12" t="n">
        <v>45166</v>
      </c>
      <c r="C454" s="11" t="inlineStr">
        <is>
          <t>Assistant in Nursing</t>
        </is>
      </c>
      <c r="D454" s="11" t="inlineStr">
        <is>
          <t>NSW Nurse EA</t>
        </is>
      </c>
      <c r="E454" s="11" t="inlineStr">
        <is>
          <t>CA - Casual</t>
        </is>
      </c>
      <c r="F454" s="11" t="inlineStr">
        <is>
          <t>Day Hospitals</t>
        </is>
      </c>
      <c r="G454" s="11" t="inlineStr">
        <is>
          <t>New South Wales</t>
        </is>
      </c>
      <c r="H454" s="13" t="inlineStr"/>
      <c r="I454" s="11" t="inlineStr">
        <is>
          <t>City West Day Surgery</t>
        </is>
      </c>
      <c r="J454" s="14" t="n">
        <v>2.33</v>
      </c>
      <c r="K454" s="13" t="inlineStr">
        <is>
          <t>2.33</t>
        </is>
      </c>
      <c r="L454" s="12" t="n">
        <v>45949</v>
      </c>
      <c r="M454" s="12" t="n">
        <v>45166</v>
      </c>
      <c r="N454" s="13" t="inlineStr"/>
      <c r="O454" s="13" t="inlineStr"/>
      <c r="P454" s="12" t="n"/>
    </row>
    <row r="455" ht="52.8" customHeight="1">
      <c r="A455" s="15" t="inlineStr">
        <is>
          <t>AU23819</t>
        </is>
      </c>
      <c r="B455" s="16" t="n">
        <v>45922</v>
      </c>
      <c r="C455" s="15" t="inlineStr">
        <is>
          <t>Registered Nurse</t>
        </is>
      </c>
      <c r="D455" s="15" t="inlineStr">
        <is>
          <t>QLD Nurse EA</t>
        </is>
      </c>
      <c r="E455" s="15" t="inlineStr">
        <is>
          <t>PP - Part-time Waged</t>
        </is>
      </c>
      <c r="F455" s="15" t="inlineStr">
        <is>
          <t>Day Hospitals</t>
        </is>
      </c>
      <c r="G455" s="15" t="inlineStr">
        <is>
          <t>Queensland</t>
        </is>
      </c>
      <c r="H455" s="17" t="inlineStr">
        <is>
          <t>48.00</t>
        </is>
      </c>
      <c r="I455" s="15" t="inlineStr">
        <is>
          <t>Spring Hill Specialist Day Hospital</t>
        </is>
      </c>
      <c r="J455" s="18" t="n">
        <v>2.36</v>
      </c>
      <c r="K455" s="17" t="inlineStr">
        <is>
          <t>2.36</t>
        </is>
      </c>
      <c r="L455" s="16" t="n">
        <v>45949</v>
      </c>
      <c r="M455" s="16" t="n">
        <v>45922</v>
      </c>
      <c r="N455" s="17" t="inlineStr"/>
      <c r="O455" s="17" t="inlineStr"/>
      <c r="P455" s="16" t="n"/>
    </row>
    <row r="456" ht="26.4" customHeight="1">
      <c r="A456" s="11" t="inlineStr">
        <is>
          <t>AU22884</t>
        </is>
      </c>
      <c r="B456" s="12" t="n">
        <v>45089</v>
      </c>
      <c r="C456" s="11" t="inlineStr">
        <is>
          <t>Registered Nurse</t>
        </is>
      </c>
      <c r="D456" s="11" t="inlineStr">
        <is>
          <t>NSW Nurse EA</t>
        </is>
      </c>
      <c r="E456" s="11" t="inlineStr">
        <is>
          <t>CA - Casual</t>
        </is>
      </c>
      <c r="F456" s="11" t="inlineStr">
        <is>
          <t>Day Hospitals</t>
        </is>
      </c>
      <c r="G456" s="11" t="inlineStr">
        <is>
          <t>New South Wales</t>
        </is>
      </c>
      <c r="H456" s="13" t="inlineStr"/>
      <c r="I456" s="11" t="inlineStr">
        <is>
          <t>City West Day Surgery</t>
        </is>
      </c>
      <c r="J456" s="14" t="n">
        <v>2.37</v>
      </c>
      <c r="K456" s="13" t="inlineStr">
        <is>
          <t>2.37</t>
        </is>
      </c>
      <c r="L456" s="12" t="n">
        <v>45795</v>
      </c>
      <c r="M456" s="12" t="n">
        <v>45089</v>
      </c>
      <c r="N456" s="13" t="inlineStr"/>
      <c r="O456" s="13" t="inlineStr"/>
      <c r="P456" s="12" t="n"/>
    </row>
    <row r="457" ht="39.6" customHeight="1">
      <c r="A457" s="15" t="n">
        <v>20146</v>
      </c>
      <c r="B457" s="16" t="n">
        <v>38265</v>
      </c>
      <c r="C457" s="15" t="inlineStr">
        <is>
          <t>Embryologist</t>
        </is>
      </c>
      <c r="D457" s="15" t="inlineStr">
        <is>
          <t>Lab Supervisors Pay Policy</t>
        </is>
      </c>
      <c r="E457" s="15" t="inlineStr">
        <is>
          <t>FT - Full-time Waged</t>
        </is>
      </c>
      <c r="F457" s="15" t="inlineStr">
        <is>
          <t>IVFA</t>
        </is>
      </c>
      <c r="G457" s="15" t="inlineStr">
        <is>
          <t>New South Wales</t>
        </is>
      </c>
      <c r="H457" s="17" t="inlineStr">
        <is>
          <t>76.00</t>
        </is>
      </c>
      <c r="I457" s="15" t="inlineStr">
        <is>
          <t>IVF Australia Pty Ltd</t>
        </is>
      </c>
      <c r="J457" s="18" t="n">
        <v>333.09</v>
      </c>
      <c r="K457" s="17" t="inlineStr">
        <is>
          <t>2.39</t>
        </is>
      </c>
      <c r="L457" s="16" t="n">
        <v>45949</v>
      </c>
      <c r="M457" s="16" t="n">
        <v>45935</v>
      </c>
      <c r="N457" s="17" t="inlineStr">
        <is>
          <t>330.70</t>
        </is>
      </c>
      <c r="O457" s="17" t="inlineStr"/>
      <c r="P457" s="16" t="n"/>
    </row>
    <row r="458" ht="26.4" customHeight="1">
      <c r="A458" s="11" t="inlineStr">
        <is>
          <t>AU23064</t>
        </is>
      </c>
      <c r="B458" s="12" t="n">
        <v>45306</v>
      </c>
      <c r="C458" s="11" t="inlineStr">
        <is>
          <t>Registered Nurse</t>
        </is>
      </c>
      <c r="D458" s="11" t="inlineStr">
        <is>
          <t>NSW Nurse EA</t>
        </is>
      </c>
      <c r="E458" s="11" t="inlineStr">
        <is>
          <t>CA - Casual</t>
        </is>
      </c>
      <c r="F458" s="11" t="inlineStr">
        <is>
          <t>Day Hospitals</t>
        </is>
      </c>
      <c r="G458" s="11" t="inlineStr">
        <is>
          <t>New South Wales</t>
        </is>
      </c>
      <c r="H458" s="13" t="inlineStr"/>
      <c r="I458" s="11" t="inlineStr">
        <is>
          <t>City West Day Surgery</t>
        </is>
      </c>
      <c r="J458" s="14" t="n">
        <v>2.43</v>
      </c>
      <c r="K458" s="13" t="inlineStr">
        <is>
          <t>2.43</t>
        </is>
      </c>
      <c r="L458" s="12" t="n">
        <v>45851</v>
      </c>
      <c r="M458" s="12" t="n">
        <v>45306</v>
      </c>
      <c r="N458" s="13" t="inlineStr"/>
      <c r="O458" s="13" t="inlineStr"/>
      <c r="P458" s="12" t="n"/>
    </row>
    <row r="459" ht="66" customHeight="1">
      <c r="A459" s="15" t="inlineStr">
        <is>
          <t>AU23315</t>
        </is>
      </c>
      <c r="B459" s="16" t="n">
        <v>45502</v>
      </c>
      <c r="C459" s="15" t="inlineStr">
        <is>
          <t>Registered Nurse</t>
        </is>
      </c>
      <c r="D459" s="15" t="inlineStr">
        <is>
          <t>NSW Nurse EA</t>
        </is>
      </c>
      <c r="E459" s="15" t="inlineStr">
        <is>
          <t>CA - Casual</t>
        </is>
      </c>
      <c r="F459" s="15" t="inlineStr">
        <is>
          <t>Day Hospitals</t>
        </is>
      </c>
      <c r="G459" s="15" t="inlineStr">
        <is>
          <t>New South Wales</t>
        </is>
      </c>
      <c r="H459" s="17" t="inlineStr"/>
      <c r="I459" s="15" t="inlineStr">
        <is>
          <t>Alexandria Specialist Day Hospital Pty Ltd</t>
        </is>
      </c>
      <c r="J459" s="18" t="n">
        <v>2.46</v>
      </c>
      <c r="K459" s="17" t="inlineStr">
        <is>
          <t>2.46</t>
        </is>
      </c>
      <c r="L459" s="16" t="n">
        <v>45907</v>
      </c>
      <c r="M459" s="16" t="n">
        <v>45502</v>
      </c>
      <c r="N459" s="17" t="inlineStr"/>
      <c r="O459" s="17" t="inlineStr"/>
      <c r="P459" s="16" t="n"/>
    </row>
    <row r="460" ht="79.2" customHeight="1">
      <c r="A460" s="11" t="inlineStr">
        <is>
          <t>AU23846</t>
        </is>
      </c>
      <c r="B460" s="12" t="n">
        <v>45922</v>
      </c>
      <c r="C460" s="11" t="inlineStr">
        <is>
          <t>Administration</t>
        </is>
      </c>
      <c r="D460" s="11" t="inlineStr">
        <is>
          <t>Health Professionals and Support Services Award</t>
        </is>
      </c>
      <c r="E460" s="11" t="inlineStr">
        <is>
          <t>FT - Full-time Waged</t>
        </is>
      </c>
      <c r="F460" s="11" t="inlineStr">
        <is>
          <t>Queensland Fertility Group</t>
        </is>
      </c>
      <c r="G460" s="11" t="inlineStr">
        <is>
          <t>Queensland</t>
        </is>
      </c>
      <c r="H460" s="13" t="inlineStr">
        <is>
          <t>76.00</t>
        </is>
      </c>
      <c r="I460" s="11" t="inlineStr">
        <is>
          <t>Queensland Fertility Group Pty Ltd</t>
        </is>
      </c>
      <c r="J460" s="14" t="n">
        <v>2.53</v>
      </c>
      <c r="K460" s="13" t="inlineStr">
        <is>
          <t>2.53</t>
        </is>
      </c>
      <c r="L460" s="12" t="n">
        <v>45949</v>
      </c>
      <c r="M460" s="12" t="n">
        <v>45922</v>
      </c>
      <c r="N460" s="13" t="inlineStr"/>
      <c r="O460" s="13" t="inlineStr"/>
      <c r="P460" s="12" t="n"/>
    </row>
    <row r="461" ht="52.8" customHeight="1">
      <c r="A461" s="15" t="inlineStr">
        <is>
          <t>AU23805</t>
        </is>
      </c>
      <c r="B461" s="16" t="n">
        <v>45922</v>
      </c>
      <c r="C461" s="15" t="inlineStr">
        <is>
          <t xml:space="preserve">National Accounts Payable Manager </t>
        </is>
      </c>
      <c r="D461" s="15" t="inlineStr">
        <is>
          <t>Common Law Employment Contract</t>
        </is>
      </c>
      <c r="E461" s="15" t="inlineStr">
        <is>
          <t>FP - Full-time Salaried</t>
        </is>
      </c>
      <c r="F461" s="15" t="inlineStr">
        <is>
          <t>IVFA</t>
        </is>
      </c>
      <c r="G461" s="15" t="inlineStr">
        <is>
          <t>New South Wales</t>
        </is>
      </c>
      <c r="H461" s="17" t="inlineStr">
        <is>
          <t>76.00</t>
        </is>
      </c>
      <c r="I461" s="15" t="inlineStr">
        <is>
          <t>IVF Australia Pty Ltd</t>
        </is>
      </c>
      <c r="J461" s="18" t="n">
        <v>2.53</v>
      </c>
      <c r="K461" s="17" t="inlineStr">
        <is>
          <t>2.53</t>
        </is>
      </c>
      <c r="L461" s="16" t="n">
        <v>45949</v>
      </c>
      <c r="M461" s="16" t="n">
        <v>45922</v>
      </c>
      <c r="N461" s="17" t="inlineStr"/>
      <c r="O461" s="17" t="inlineStr"/>
      <c r="P461" s="16" t="n"/>
    </row>
    <row r="462" ht="39.6" customHeight="1">
      <c r="A462" s="11" t="inlineStr">
        <is>
          <t>AU23813</t>
        </is>
      </c>
      <c r="B462" s="12" t="n">
        <v>45922</v>
      </c>
      <c r="C462" s="11" t="inlineStr">
        <is>
          <t>Registered Nurse</t>
        </is>
      </c>
      <c r="D462" s="11" t="inlineStr">
        <is>
          <t>NSW Nurse EA</t>
        </is>
      </c>
      <c r="E462" s="11" t="inlineStr">
        <is>
          <t>FT - Full-time Waged</t>
        </is>
      </c>
      <c r="F462" s="11" t="inlineStr">
        <is>
          <t>IVFA</t>
        </is>
      </c>
      <c r="G462" s="11" t="inlineStr">
        <is>
          <t>New South Wales</t>
        </is>
      </c>
      <c r="H462" s="13" t="inlineStr">
        <is>
          <t>76.00</t>
        </is>
      </c>
      <c r="I462" s="11" t="inlineStr">
        <is>
          <t>IVF Australia Pty Ltd</t>
        </is>
      </c>
      <c r="J462" s="14" t="n">
        <v>2.53</v>
      </c>
      <c r="K462" s="13" t="inlineStr">
        <is>
          <t>2.53</t>
        </is>
      </c>
      <c r="L462" s="12" t="n">
        <v>45949</v>
      </c>
      <c r="M462" s="12" t="n">
        <v>45922</v>
      </c>
      <c r="N462" s="13" t="inlineStr"/>
      <c r="O462" s="13" t="inlineStr"/>
      <c r="P462" s="12" t="n"/>
    </row>
    <row r="463" ht="52.8" customHeight="1">
      <c r="A463" s="15" t="inlineStr">
        <is>
          <t>AU23806</t>
        </is>
      </c>
      <c r="B463" s="16" t="n">
        <v>45922</v>
      </c>
      <c r="C463" s="15" t="inlineStr">
        <is>
          <t>Data Governance &amp; Platform Manager</t>
        </is>
      </c>
      <c r="D463" s="15" t="inlineStr">
        <is>
          <t>Common Law Employment Contract</t>
        </is>
      </c>
      <c r="E463" s="15" t="inlineStr">
        <is>
          <t>FP - Full-time Salaried</t>
        </is>
      </c>
      <c r="F463" s="15" t="inlineStr">
        <is>
          <t>IVFA</t>
        </is>
      </c>
      <c r="G463" s="15" t="inlineStr">
        <is>
          <t>Victoria</t>
        </is>
      </c>
      <c r="H463" s="17" t="inlineStr">
        <is>
          <t>76.00</t>
        </is>
      </c>
      <c r="I463" s="15" t="inlineStr">
        <is>
          <t>IVF Australia Pty Ltd</t>
        </is>
      </c>
      <c r="J463" s="18" t="n">
        <v>2.54</v>
      </c>
      <c r="K463" s="17" t="inlineStr">
        <is>
          <t>2.54</t>
        </is>
      </c>
      <c r="L463" s="16" t="n">
        <v>45949</v>
      </c>
      <c r="M463" s="16" t="n">
        <v>45922</v>
      </c>
      <c r="N463" s="17" t="inlineStr"/>
      <c r="O463" s="17" t="inlineStr"/>
      <c r="P463" s="16" t="n"/>
    </row>
    <row r="464" ht="52.8" customHeight="1">
      <c r="A464" s="11" t="inlineStr">
        <is>
          <t>AU23812</t>
        </is>
      </c>
      <c r="B464" s="12" t="n">
        <v>45922</v>
      </c>
      <c r="C464" s="11" t="inlineStr">
        <is>
          <t>Clinic Manager</t>
        </is>
      </c>
      <c r="D464" s="11" t="inlineStr">
        <is>
          <t>Common Law Employment Contract</t>
        </is>
      </c>
      <c r="E464" s="11" t="inlineStr">
        <is>
          <t>FT - Full-time Waged</t>
        </is>
      </c>
      <c r="F464" s="11" t="inlineStr">
        <is>
          <t>IVFA</t>
        </is>
      </c>
      <c r="G464" s="11" t="inlineStr">
        <is>
          <t>New South Wales</t>
        </is>
      </c>
      <c r="H464" s="13" t="inlineStr">
        <is>
          <t>76.00</t>
        </is>
      </c>
      <c r="I464" s="11" t="inlineStr">
        <is>
          <t>IVF Australia Pty Ltd</t>
        </is>
      </c>
      <c r="J464" s="14" t="n">
        <v>2.58</v>
      </c>
      <c r="K464" s="13" t="inlineStr">
        <is>
          <t>2.58</t>
        </is>
      </c>
      <c r="L464" s="12" t="n">
        <v>45949</v>
      </c>
      <c r="M464" s="12" t="n">
        <v>45922</v>
      </c>
      <c r="N464" s="13" t="inlineStr"/>
      <c r="O464" s="13" t="inlineStr"/>
      <c r="P464" s="12" t="n"/>
    </row>
    <row r="465" ht="52.8" customHeight="1">
      <c r="A465" s="15" t="inlineStr">
        <is>
          <t>AU23811</t>
        </is>
      </c>
      <c r="B465" s="16" t="n">
        <v>45909</v>
      </c>
      <c r="C465" s="15" t="inlineStr">
        <is>
          <t>Laboratory Supervisor</t>
        </is>
      </c>
      <c r="D465" s="15" t="inlineStr">
        <is>
          <t>Common Law Employment Contract</t>
        </is>
      </c>
      <c r="E465" s="15" t="inlineStr">
        <is>
          <t>PP - Part-time Waged</t>
        </is>
      </c>
      <c r="F465" s="15" t="inlineStr">
        <is>
          <t>IVFA</t>
        </is>
      </c>
      <c r="G465" s="15" t="inlineStr">
        <is>
          <t>New South Wales</t>
        </is>
      </c>
      <c r="H465" s="17" t="inlineStr">
        <is>
          <t>64.00</t>
        </is>
      </c>
      <c r="I465" s="15" t="inlineStr">
        <is>
          <t>IVF Australia Pty Ltd</t>
        </is>
      </c>
      <c r="J465" s="18" t="n">
        <v>2.67</v>
      </c>
      <c r="K465" s="17" t="inlineStr">
        <is>
          <t>2.67</t>
        </is>
      </c>
      <c r="L465" s="16" t="n">
        <v>45949</v>
      </c>
      <c r="M465" s="16" t="n">
        <v>45909</v>
      </c>
      <c r="N465" s="17" t="inlineStr"/>
      <c r="O465" s="17" t="inlineStr"/>
      <c r="P465" s="16" t="n"/>
    </row>
    <row r="466" ht="52.8" customHeight="1">
      <c r="A466" s="11" t="inlineStr">
        <is>
          <t>AU23761</t>
        </is>
      </c>
      <c r="B466" s="12" t="n">
        <v>45873</v>
      </c>
      <c r="C466" s="11" t="inlineStr">
        <is>
          <t>Registered Nurse</t>
        </is>
      </c>
      <c r="D466" s="11" t="inlineStr">
        <is>
          <t>QLD Nurse EA</t>
        </is>
      </c>
      <c r="E466" s="11" t="inlineStr">
        <is>
          <t>PP - Part-time Waged</t>
        </is>
      </c>
      <c r="F466" s="11" t="inlineStr">
        <is>
          <t>Day Hospitals</t>
        </is>
      </c>
      <c r="G466" s="11" t="inlineStr">
        <is>
          <t>Queensland</t>
        </is>
      </c>
      <c r="H466" s="13" t="inlineStr">
        <is>
          <t>16.00</t>
        </is>
      </c>
      <c r="I466" s="11" t="inlineStr">
        <is>
          <t>MACKAY Specialist Day Hospital</t>
        </is>
      </c>
      <c r="J466" s="14" t="n">
        <v>2.71</v>
      </c>
      <c r="K466" s="13" t="inlineStr">
        <is>
          <t>2.71</t>
        </is>
      </c>
      <c r="L466" s="12" t="n">
        <v>45949</v>
      </c>
      <c r="M466" s="12" t="n">
        <v>45873</v>
      </c>
      <c r="N466" s="13" t="inlineStr"/>
      <c r="O466" s="13" t="inlineStr"/>
      <c r="P466" s="12" t="n"/>
    </row>
    <row r="467" ht="79.2" customHeight="1">
      <c r="A467" s="15" t="inlineStr">
        <is>
          <t>AU23702</t>
        </is>
      </c>
      <c r="B467" s="16" t="n">
        <v>45838</v>
      </c>
      <c r="C467" s="15" t="inlineStr">
        <is>
          <t>Theatre Orderly</t>
        </is>
      </c>
      <c r="D467" s="15" t="inlineStr">
        <is>
          <t>Health Professionals and Support Services Award</t>
        </is>
      </c>
      <c r="E467" s="15" t="inlineStr">
        <is>
          <t>CA - Casual</t>
        </is>
      </c>
      <c r="F467" s="15" t="inlineStr">
        <is>
          <t>Day Hospitals</t>
        </is>
      </c>
      <c r="G467" s="15" t="inlineStr">
        <is>
          <t>Queensland</t>
        </is>
      </c>
      <c r="H467" s="17" t="inlineStr"/>
      <c r="I467" s="15" t="inlineStr">
        <is>
          <t>Spring Hill Specialist Day Hospital</t>
        </is>
      </c>
      <c r="J467" s="18" t="n">
        <v>2.73</v>
      </c>
      <c r="K467" s="17" t="inlineStr">
        <is>
          <t>2.73</t>
        </is>
      </c>
      <c r="L467" s="16" t="n">
        <v>45949</v>
      </c>
      <c r="M467" s="16" t="n">
        <v>45838</v>
      </c>
      <c r="N467" s="17" t="inlineStr"/>
      <c r="O467" s="17" t="inlineStr"/>
      <c r="P467" s="16" t="n"/>
    </row>
    <row r="468" ht="66" customHeight="1">
      <c r="A468" s="11" t="n">
        <v>30017</v>
      </c>
      <c r="B468" s="12" t="n">
        <v>39958</v>
      </c>
      <c r="C468" s="11" t="inlineStr">
        <is>
          <t>Registered Nurse</t>
        </is>
      </c>
      <c r="D468" s="11" t="inlineStr">
        <is>
          <t>NSW Nurse EA</t>
        </is>
      </c>
      <c r="E468" s="11" t="inlineStr">
        <is>
          <t>PP - Part-time Waged</t>
        </is>
      </c>
      <c r="F468" s="11" t="inlineStr">
        <is>
          <t>Day Hospitals</t>
        </is>
      </c>
      <c r="G468" s="11" t="inlineStr">
        <is>
          <t>New South Wales</t>
        </is>
      </c>
      <c r="H468" s="13" t="inlineStr">
        <is>
          <t>8.00</t>
        </is>
      </c>
      <c r="I468" s="11" t="inlineStr">
        <is>
          <t>North Shore Specialist Day Hospital Pty Ltd</t>
        </is>
      </c>
      <c r="J468" s="14" t="n">
        <v>59.73</v>
      </c>
      <c r="K468" s="13" t="inlineStr">
        <is>
          <t>2.79</t>
        </is>
      </c>
      <c r="L468" s="12" t="n">
        <v>45949</v>
      </c>
      <c r="M468" s="12" t="n">
        <v>45802</v>
      </c>
      <c r="N468" s="13" t="inlineStr">
        <is>
          <t>56.94</t>
        </is>
      </c>
      <c r="O468" s="13" t="inlineStr"/>
      <c r="P468" s="12" t="n"/>
    </row>
    <row r="469" ht="52.8" customHeight="1">
      <c r="A469" s="15" t="inlineStr">
        <is>
          <t>AU23831</t>
        </is>
      </c>
      <c r="B469" s="16" t="n">
        <v>45915</v>
      </c>
      <c r="C469" s="15" t="inlineStr">
        <is>
          <t>Genetic Scientist</t>
        </is>
      </c>
      <c r="D469" s="15" t="inlineStr">
        <is>
          <t>QLD Scientists EA</t>
        </is>
      </c>
      <c r="E469" s="15" t="inlineStr">
        <is>
          <t>FT - Full-time Waged</t>
        </is>
      </c>
      <c r="F469" s="15" t="inlineStr">
        <is>
          <t>Diagnostics</t>
        </is>
      </c>
      <c r="G469" s="15" t="inlineStr">
        <is>
          <t>Queensland</t>
        </is>
      </c>
      <c r="H469" s="17" t="inlineStr">
        <is>
          <t>76.00</t>
        </is>
      </c>
      <c r="I469" s="15" t="inlineStr">
        <is>
          <t>Queensland Fertility Group Pty Ltd</t>
        </is>
      </c>
      <c r="J469" s="18" t="n">
        <v>2.79</v>
      </c>
      <c r="K469" s="17" t="inlineStr">
        <is>
          <t>2.79</t>
        </is>
      </c>
      <c r="L469" s="16" t="n">
        <v>45949</v>
      </c>
      <c r="M469" s="16" t="n">
        <v>45915</v>
      </c>
      <c r="N469" s="17" t="inlineStr"/>
      <c r="O469" s="17" t="inlineStr"/>
      <c r="P469" s="16" t="n"/>
    </row>
    <row r="470" ht="52.8" customHeight="1">
      <c r="A470" s="11" t="inlineStr">
        <is>
          <t>AU23074</t>
        </is>
      </c>
      <c r="B470" s="12" t="n">
        <v>45327</v>
      </c>
      <c r="C470" s="11" t="inlineStr">
        <is>
          <t>Registered Nurse</t>
        </is>
      </c>
      <c r="D470" s="11" t="inlineStr">
        <is>
          <t>QLD Nurse EA</t>
        </is>
      </c>
      <c r="E470" s="11" t="inlineStr">
        <is>
          <t>CA - Casual</t>
        </is>
      </c>
      <c r="F470" s="11" t="inlineStr">
        <is>
          <t>Day Hospitals</t>
        </is>
      </c>
      <c r="G470" s="11" t="inlineStr">
        <is>
          <t>Queensland</t>
        </is>
      </c>
      <c r="H470" s="13" t="inlineStr"/>
      <c r="I470" s="11" t="inlineStr">
        <is>
          <t>Spring Hill Specialist Day Hospital</t>
        </is>
      </c>
      <c r="J470" s="14" t="n">
        <v>2.83</v>
      </c>
      <c r="K470" s="13" t="inlineStr">
        <is>
          <t>2.83</t>
        </is>
      </c>
      <c r="L470" s="12" t="n">
        <v>45935</v>
      </c>
      <c r="M470" s="12" t="n">
        <v>45327</v>
      </c>
      <c r="N470" s="13" t="inlineStr"/>
      <c r="O470" s="13" t="inlineStr"/>
      <c r="P470" s="12" t="n"/>
    </row>
    <row r="471" ht="39.6" customHeight="1">
      <c r="A471" s="15" t="inlineStr">
        <is>
          <t>AU23825</t>
        </is>
      </c>
      <c r="B471" s="16" t="n">
        <v>45915</v>
      </c>
      <c r="C471" s="15" t="inlineStr">
        <is>
          <t>Registered Nurse</t>
        </is>
      </c>
      <c r="D471" s="15" t="inlineStr">
        <is>
          <t>NSW Nurse EA</t>
        </is>
      </c>
      <c r="E471" s="15" t="inlineStr">
        <is>
          <t>FT - Full-time Waged</t>
        </is>
      </c>
      <c r="F471" s="15" t="inlineStr">
        <is>
          <t>IVFA</t>
        </is>
      </c>
      <c r="G471" s="15" t="inlineStr">
        <is>
          <t>New South Wales</t>
        </is>
      </c>
      <c r="H471" s="17" t="inlineStr">
        <is>
          <t>76.00</t>
        </is>
      </c>
      <c r="I471" s="15" t="inlineStr">
        <is>
          <t>IVF Australia Pty Ltd</t>
        </is>
      </c>
      <c r="J471" s="18" t="n">
        <v>2.88</v>
      </c>
      <c r="K471" s="17" t="inlineStr">
        <is>
          <t>2.88</t>
        </is>
      </c>
      <c r="L471" s="16" t="n">
        <v>45949</v>
      </c>
      <c r="M471" s="16" t="n">
        <v>45915</v>
      </c>
      <c r="N471" s="17" t="inlineStr"/>
      <c r="O471" s="17" t="inlineStr"/>
      <c r="P471" s="16" t="n"/>
    </row>
    <row r="472" ht="52.8" customHeight="1">
      <c r="A472" s="11" t="inlineStr">
        <is>
          <t>AU23794</t>
        </is>
      </c>
      <c r="B472" s="12" t="n">
        <v>45917</v>
      </c>
      <c r="C472" s="11" t="inlineStr">
        <is>
          <t>Scientific Director</t>
        </is>
      </c>
      <c r="D472" s="11" t="inlineStr">
        <is>
          <t>Common Law Employment Contract</t>
        </is>
      </c>
      <c r="E472" s="11" t="inlineStr">
        <is>
          <t>FP - Full-time Salaried</t>
        </is>
      </c>
      <c r="F472" s="11" t="inlineStr">
        <is>
          <t>Corporate Services</t>
        </is>
      </c>
      <c r="G472" s="11" t="inlineStr">
        <is>
          <t>New South Wales</t>
        </is>
      </c>
      <c r="H472" s="13" t="inlineStr">
        <is>
          <t>76.00</t>
        </is>
      </c>
      <c r="I472" s="11" t="inlineStr">
        <is>
          <t>IVF Australia Pty Ltd</t>
        </is>
      </c>
      <c r="J472" s="14" t="n">
        <v>2.91</v>
      </c>
      <c r="K472" s="13" t="inlineStr">
        <is>
          <t>2.91</t>
        </is>
      </c>
      <c r="L472" s="12" t="n">
        <v>45949</v>
      </c>
      <c r="M472" s="12" t="n">
        <v>45917</v>
      </c>
      <c r="N472" s="13" t="inlineStr"/>
      <c r="O472" s="13" t="inlineStr"/>
      <c r="P472" s="12" t="n"/>
    </row>
    <row r="473" ht="66" customHeight="1">
      <c r="A473" s="15" t="inlineStr">
        <is>
          <t>AU23388</t>
        </is>
      </c>
      <c r="B473" s="16" t="n">
        <v>45565</v>
      </c>
      <c r="C473" s="15" t="inlineStr">
        <is>
          <t>Enrolled Nurse</t>
        </is>
      </c>
      <c r="D473" s="15" t="inlineStr">
        <is>
          <t>NSW Nurse EA</t>
        </is>
      </c>
      <c r="E473" s="15" t="inlineStr">
        <is>
          <t>CA - Casual</t>
        </is>
      </c>
      <c r="F473" s="15" t="inlineStr">
        <is>
          <t>Day Hospitals</t>
        </is>
      </c>
      <c r="G473" s="15" t="inlineStr">
        <is>
          <t>New South Wales</t>
        </is>
      </c>
      <c r="H473" s="17" t="inlineStr"/>
      <c r="I473" s="15" t="inlineStr">
        <is>
          <t>Alexandria Specialist Day Hospital Pty Ltd</t>
        </is>
      </c>
      <c r="J473" s="18" t="n">
        <v>2.95</v>
      </c>
      <c r="K473" s="17" t="inlineStr">
        <is>
          <t>2.95</t>
        </is>
      </c>
      <c r="L473" s="16" t="n">
        <v>45725</v>
      </c>
      <c r="M473" s="16" t="n">
        <v>45565</v>
      </c>
      <c r="N473" s="17" t="inlineStr"/>
      <c r="O473" s="17" t="inlineStr"/>
      <c r="P473" s="16" t="n"/>
    </row>
    <row r="474" ht="66" customHeight="1">
      <c r="A474" s="11" t="inlineStr">
        <is>
          <t>AU23676</t>
        </is>
      </c>
      <c r="B474" s="12" t="n">
        <v>45748</v>
      </c>
      <c r="C474" s="11" t="inlineStr">
        <is>
          <t>Registered Nurse</t>
        </is>
      </c>
      <c r="D474" s="11" t="inlineStr">
        <is>
          <t>NSW Nurse EA</t>
        </is>
      </c>
      <c r="E474" s="11" t="inlineStr">
        <is>
          <t>CA - Casual</t>
        </is>
      </c>
      <c r="F474" s="11" t="inlineStr">
        <is>
          <t>Day Hospitals</t>
        </is>
      </c>
      <c r="G474" s="11" t="inlineStr">
        <is>
          <t>New South Wales</t>
        </is>
      </c>
      <c r="H474" s="13" t="inlineStr"/>
      <c r="I474" s="11" t="inlineStr">
        <is>
          <t>Alexandria Specialist Day Hospital Pty Ltd</t>
        </is>
      </c>
      <c r="J474" s="14" t="n">
        <v>2.98</v>
      </c>
      <c r="K474" s="13" t="inlineStr">
        <is>
          <t>2.98</t>
        </is>
      </c>
      <c r="L474" s="12" t="n">
        <v>45949</v>
      </c>
      <c r="M474" s="12" t="n">
        <v>45748</v>
      </c>
      <c r="N474" s="13" t="inlineStr"/>
      <c r="O474" s="13" t="inlineStr"/>
      <c r="P474" s="12" t="n"/>
    </row>
    <row r="475" ht="26.4" customHeight="1">
      <c r="A475" s="15" t="inlineStr">
        <is>
          <t>AU22990</t>
        </is>
      </c>
      <c r="B475" s="16" t="n">
        <v>45205</v>
      </c>
      <c r="C475" s="15" t="inlineStr">
        <is>
          <t>Registered Nurse</t>
        </is>
      </c>
      <c r="D475" s="15" t="inlineStr">
        <is>
          <t>NSW Nurse EA</t>
        </is>
      </c>
      <c r="E475" s="15" t="inlineStr">
        <is>
          <t>CA - Casual</t>
        </is>
      </c>
      <c r="F475" s="15" t="inlineStr">
        <is>
          <t>Day Hospitals</t>
        </is>
      </c>
      <c r="G475" s="15" t="inlineStr">
        <is>
          <t>New South Wales</t>
        </is>
      </c>
      <c r="H475" s="17" t="inlineStr"/>
      <c r="I475" s="15" t="inlineStr">
        <is>
          <t>City West Day Surgery</t>
        </is>
      </c>
      <c r="J475" s="18" t="n">
        <v>3.08</v>
      </c>
      <c r="K475" s="17" t="inlineStr">
        <is>
          <t>3.08</t>
        </is>
      </c>
      <c r="L475" s="16" t="n">
        <v>45949</v>
      </c>
      <c r="M475" s="16" t="n">
        <v>45205</v>
      </c>
      <c r="N475" s="17" t="inlineStr"/>
      <c r="O475" s="17" t="inlineStr"/>
      <c r="P475" s="16" t="n"/>
    </row>
    <row r="476" ht="52.8" customHeight="1">
      <c r="A476" s="11" t="inlineStr">
        <is>
          <t>AU23637</t>
        </is>
      </c>
      <c r="B476" s="12" t="n">
        <v>45784</v>
      </c>
      <c r="C476" s="11" t="inlineStr">
        <is>
          <t>Registered Nurse</t>
        </is>
      </c>
      <c r="D476" s="11" t="inlineStr">
        <is>
          <t>QLD Nurse EA</t>
        </is>
      </c>
      <c r="E476" s="11" t="inlineStr">
        <is>
          <t>CA - Casual</t>
        </is>
      </c>
      <c r="F476" s="11" t="inlineStr">
        <is>
          <t>Day Hospitals</t>
        </is>
      </c>
      <c r="G476" s="11" t="inlineStr">
        <is>
          <t>Queensland</t>
        </is>
      </c>
      <c r="H476" s="13" t="inlineStr"/>
      <c r="I476" s="11" t="inlineStr">
        <is>
          <t>Spring Hill Specialist Day Hospital</t>
        </is>
      </c>
      <c r="J476" s="14" t="n">
        <v>3.13</v>
      </c>
      <c r="K476" s="13" t="inlineStr">
        <is>
          <t>3.13</t>
        </is>
      </c>
      <c r="L476" s="12" t="n">
        <v>45949</v>
      </c>
      <c r="M476" s="12" t="n">
        <v>45784</v>
      </c>
      <c r="N476" s="13" t="inlineStr"/>
      <c r="O476" s="13" t="inlineStr"/>
      <c r="P476" s="12" t="n"/>
    </row>
    <row r="477" ht="66" customHeight="1">
      <c r="A477" s="15" t="n">
        <v>50027</v>
      </c>
      <c r="B477" s="16" t="n">
        <v>39337</v>
      </c>
      <c r="C477" s="15" t="inlineStr">
        <is>
          <t>Registered Nurse</t>
        </is>
      </c>
      <c r="D477" s="15" t="inlineStr">
        <is>
          <t>NSW Nurse EA</t>
        </is>
      </c>
      <c r="E477" s="15" t="inlineStr">
        <is>
          <t>PP - Part-time Waged</t>
        </is>
      </c>
      <c r="F477" s="15" t="inlineStr">
        <is>
          <t>Day Hospitals</t>
        </is>
      </c>
      <c r="G477" s="15" t="inlineStr">
        <is>
          <t>New South Wales</t>
        </is>
      </c>
      <c r="H477" s="17" t="inlineStr">
        <is>
          <t>20.00</t>
        </is>
      </c>
      <c r="I477" s="15" t="inlineStr">
        <is>
          <t>Alexandria Specialist Day Hospital Pty Ltd</t>
        </is>
      </c>
      <c r="J477" s="18" t="n">
        <v>226.28</v>
      </c>
      <c r="K477" s="17" t="inlineStr">
        <is>
          <t>3.17</t>
        </is>
      </c>
      <c r="L477" s="16" t="n">
        <v>45949</v>
      </c>
      <c r="M477" s="16" t="n">
        <v>45181</v>
      </c>
      <c r="N477" s="17" t="inlineStr">
        <is>
          <t>223.11</t>
        </is>
      </c>
      <c r="O477" s="17" t="inlineStr"/>
      <c r="P477" s="16" t="n"/>
    </row>
    <row r="478" ht="52.8" customHeight="1">
      <c r="A478" s="11" t="inlineStr">
        <is>
          <t>AU23824</t>
        </is>
      </c>
      <c r="B478" s="12" t="n">
        <v>45915</v>
      </c>
      <c r="C478" s="11" t="inlineStr">
        <is>
          <t>Technology Operations Engineer</t>
        </is>
      </c>
      <c r="D478" s="11" t="inlineStr">
        <is>
          <t>Common Law Employment Contract</t>
        </is>
      </c>
      <c r="E478" s="11" t="inlineStr">
        <is>
          <t>FP - Full-time Salaried</t>
        </is>
      </c>
      <c r="F478" s="11" t="inlineStr">
        <is>
          <t>Corporate Services</t>
        </is>
      </c>
      <c r="G478" s="11" t="inlineStr">
        <is>
          <t>New South Wales</t>
        </is>
      </c>
      <c r="H478" s="13" t="inlineStr">
        <is>
          <t>76.00</t>
        </is>
      </c>
      <c r="I478" s="11" t="inlineStr">
        <is>
          <t>IVF Australia Pty Ltd</t>
        </is>
      </c>
      <c r="J478" s="14" t="n">
        <v>3.17</v>
      </c>
      <c r="K478" s="13" t="inlineStr">
        <is>
          <t>3.17</t>
        </is>
      </c>
      <c r="L478" s="12" t="n">
        <v>45949</v>
      </c>
      <c r="M478" s="12" t="n">
        <v>45915</v>
      </c>
      <c r="N478" s="13" t="inlineStr"/>
      <c r="O478" s="13" t="inlineStr"/>
      <c r="P478" s="12" t="n"/>
    </row>
    <row r="479" ht="66" customHeight="1">
      <c r="A479" s="15" t="inlineStr">
        <is>
          <t>AU23330</t>
        </is>
      </c>
      <c r="B479" s="16" t="n">
        <v>45524</v>
      </c>
      <c r="C479" s="15" t="inlineStr">
        <is>
          <t>Registered Nurse</t>
        </is>
      </c>
      <c r="D479" s="15" t="inlineStr">
        <is>
          <t>NSW Nurse EA</t>
        </is>
      </c>
      <c r="E479" s="15" t="inlineStr">
        <is>
          <t>CA - Casual</t>
        </is>
      </c>
      <c r="F479" s="15" t="inlineStr">
        <is>
          <t>Day Hospitals</t>
        </is>
      </c>
      <c r="G479" s="15" t="inlineStr">
        <is>
          <t>New South Wales</t>
        </is>
      </c>
      <c r="H479" s="17" t="inlineStr"/>
      <c r="I479" s="15" t="inlineStr">
        <is>
          <t>Alexandria Specialist Day Hospital Pty Ltd</t>
        </is>
      </c>
      <c r="J479" s="18" t="n">
        <v>3.19</v>
      </c>
      <c r="K479" s="17" t="inlineStr">
        <is>
          <t>3.19</t>
        </is>
      </c>
      <c r="L479" s="16" t="n">
        <v>45907</v>
      </c>
      <c r="M479" s="16" t="n">
        <v>45524</v>
      </c>
      <c r="N479" s="17" t="inlineStr"/>
      <c r="O479" s="17" t="inlineStr"/>
      <c r="P479" s="16" t="n"/>
    </row>
    <row r="480" ht="39.6" customHeight="1">
      <c r="A480" s="11" t="inlineStr">
        <is>
          <t>AU23835</t>
        </is>
      </c>
      <c r="B480" s="12" t="n">
        <v>45915</v>
      </c>
      <c r="C480" s="11" t="inlineStr">
        <is>
          <t xml:space="preserve"> Embryologist</t>
        </is>
      </c>
      <c r="D480" s="11" t="inlineStr">
        <is>
          <t>IVFA Scientists EA</t>
        </is>
      </c>
      <c r="E480" s="11" t="inlineStr">
        <is>
          <t>FT - Full-time Waged</t>
        </is>
      </c>
      <c r="F480" s="11" t="inlineStr">
        <is>
          <t>IVFA</t>
        </is>
      </c>
      <c r="G480" s="11" t="inlineStr">
        <is>
          <t>New South Wales</t>
        </is>
      </c>
      <c r="H480" s="13" t="inlineStr">
        <is>
          <t>76.00</t>
        </is>
      </c>
      <c r="I480" s="11" t="inlineStr">
        <is>
          <t>IVF Australia Pty Ltd</t>
        </is>
      </c>
      <c r="J480" s="14" t="n">
        <v>3.2</v>
      </c>
      <c r="K480" s="13" t="inlineStr">
        <is>
          <t>3.20</t>
        </is>
      </c>
      <c r="L480" s="12" t="n">
        <v>45949</v>
      </c>
      <c r="M480" s="12" t="n">
        <v>45915</v>
      </c>
      <c r="N480" s="13" t="inlineStr"/>
      <c r="O480" s="13" t="inlineStr"/>
      <c r="P480" s="12" t="n"/>
    </row>
    <row r="481" ht="66" customHeight="1">
      <c r="A481" s="15" t="inlineStr">
        <is>
          <t>AU23711</t>
        </is>
      </c>
      <c r="B481" s="16" t="n">
        <v>45785</v>
      </c>
      <c r="C481" s="15" t="inlineStr">
        <is>
          <t>CSSD Technician</t>
        </is>
      </c>
      <c r="D481" s="15" t="inlineStr">
        <is>
          <t>NSW Support Services EA</t>
        </is>
      </c>
      <c r="E481" s="15" t="inlineStr">
        <is>
          <t>CA - Casual</t>
        </is>
      </c>
      <c r="F481" s="15" t="inlineStr">
        <is>
          <t>Day Hospitals</t>
        </is>
      </c>
      <c r="G481" s="15" t="inlineStr">
        <is>
          <t>New South Wales</t>
        </is>
      </c>
      <c r="H481" s="17" t="inlineStr"/>
      <c r="I481" s="15" t="inlineStr">
        <is>
          <t>Alexandria Specialist Day Hospital Pty Ltd</t>
        </is>
      </c>
      <c r="J481" s="18" t="n">
        <v>3.26</v>
      </c>
      <c r="K481" s="17" t="inlineStr">
        <is>
          <t>3.26</t>
        </is>
      </c>
      <c r="L481" s="16" t="n">
        <v>45949</v>
      </c>
      <c r="M481" s="16" t="n">
        <v>45785</v>
      </c>
      <c r="N481" s="17" t="inlineStr"/>
      <c r="O481" s="17" t="inlineStr"/>
      <c r="P481" s="16" t="n"/>
    </row>
    <row r="482" ht="66" customHeight="1">
      <c r="A482" s="11" t="inlineStr">
        <is>
          <t>AU22562</t>
        </is>
      </c>
      <c r="B482" s="12" t="n">
        <v>44807</v>
      </c>
      <c r="C482" s="11" t="inlineStr">
        <is>
          <t>Enrolled Nurse</t>
        </is>
      </c>
      <c r="D482" s="11" t="inlineStr">
        <is>
          <t>NSW Nurse EA</t>
        </is>
      </c>
      <c r="E482" s="11" t="inlineStr">
        <is>
          <t>CA - Casual</t>
        </is>
      </c>
      <c r="F482" s="11" t="inlineStr">
        <is>
          <t>Day Hospitals</t>
        </is>
      </c>
      <c r="G482" s="11" t="inlineStr">
        <is>
          <t>New South Wales</t>
        </is>
      </c>
      <c r="H482" s="13" t="inlineStr"/>
      <c r="I482" s="11" t="inlineStr">
        <is>
          <t>Alexandria Specialist Day Hospital Pty Ltd</t>
        </is>
      </c>
      <c r="J482" s="14" t="n">
        <v>3.33</v>
      </c>
      <c r="K482" s="13" t="inlineStr">
        <is>
          <t>3.33</t>
        </is>
      </c>
      <c r="L482" s="12" t="n">
        <v>45921</v>
      </c>
      <c r="M482" s="12" t="n">
        <v>44807</v>
      </c>
      <c r="N482" s="13" t="inlineStr"/>
      <c r="O482" s="13" t="inlineStr"/>
      <c r="P482" s="12" t="n"/>
    </row>
    <row r="483" ht="79.2" customHeight="1">
      <c r="A483" s="15" t="inlineStr">
        <is>
          <t>AU23741</t>
        </is>
      </c>
      <c r="B483" s="16" t="n">
        <v>45860</v>
      </c>
      <c r="C483" s="15" t="inlineStr">
        <is>
          <t>Laboratory Administration Assistant</t>
        </is>
      </c>
      <c r="D483" s="15" t="inlineStr">
        <is>
          <t>Health Professionals and Support Services Award</t>
        </is>
      </c>
      <c r="E483" s="15" t="inlineStr">
        <is>
          <t>CA - Casual</t>
        </is>
      </c>
      <c r="F483" s="15" t="inlineStr">
        <is>
          <t>Queensland Fertility Group</t>
        </is>
      </c>
      <c r="G483" s="15" t="inlineStr">
        <is>
          <t>Queensland</t>
        </is>
      </c>
      <c r="H483" s="17" t="inlineStr"/>
      <c r="I483" s="15" t="inlineStr">
        <is>
          <t>Queensland Fertility Group Pty Ltd</t>
        </is>
      </c>
      <c r="J483" s="18" t="n">
        <v>3.39</v>
      </c>
      <c r="K483" s="17" t="inlineStr">
        <is>
          <t>3.39</t>
        </is>
      </c>
      <c r="L483" s="16" t="n">
        <v>45949</v>
      </c>
      <c r="M483" s="16" t="n">
        <v>45860</v>
      </c>
      <c r="N483" s="17" t="inlineStr"/>
      <c r="O483" s="17" t="inlineStr"/>
      <c r="P483" s="16" t="n"/>
    </row>
    <row r="484" ht="39.6" customHeight="1">
      <c r="A484" s="11" t="inlineStr">
        <is>
          <t>AU23810</t>
        </is>
      </c>
      <c r="B484" s="12" t="n">
        <v>45909</v>
      </c>
      <c r="C484" s="11" t="inlineStr">
        <is>
          <t>Nurse Unit Manager</t>
        </is>
      </c>
      <c r="D484" s="11" t="inlineStr">
        <is>
          <t>NSW Nurse EA</t>
        </is>
      </c>
      <c r="E484" s="11" t="inlineStr">
        <is>
          <t>FT - Full-time Waged</t>
        </is>
      </c>
      <c r="F484" s="11" t="inlineStr">
        <is>
          <t>IVFA</t>
        </is>
      </c>
      <c r="G484" s="11" t="inlineStr">
        <is>
          <t>New South Wales</t>
        </is>
      </c>
      <c r="H484" s="13" t="inlineStr">
        <is>
          <t>76.00</t>
        </is>
      </c>
      <c r="I484" s="11" t="inlineStr">
        <is>
          <t>IVF Australia Pty Ltd</t>
        </is>
      </c>
      <c r="J484" s="14" t="n">
        <v>3.4</v>
      </c>
      <c r="K484" s="13" t="inlineStr">
        <is>
          <t>3.40</t>
        </is>
      </c>
      <c r="L484" s="12" t="n">
        <v>45949</v>
      </c>
      <c r="M484" s="12" t="n">
        <v>45901</v>
      </c>
      <c r="N484" s="13" t="inlineStr"/>
      <c r="O484" s="13" t="inlineStr"/>
      <c r="P484" s="12" t="n"/>
    </row>
    <row r="485" ht="52.8" customHeight="1">
      <c r="A485" s="15" t="inlineStr">
        <is>
          <t>AU23815</t>
        </is>
      </c>
      <c r="B485" s="16" t="n">
        <v>45908</v>
      </c>
      <c r="C485" s="15" t="inlineStr">
        <is>
          <t>PMO Manager</t>
        </is>
      </c>
      <c r="D485" s="15" t="inlineStr">
        <is>
          <t>Common Law Employment Contract</t>
        </is>
      </c>
      <c r="E485" s="15" t="inlineStr">
        <is>
          <t>PT - Part-time Salary</t>
        </is>
      </c>
      <c r="F485" s="15" t="inlineStr">
        <is>
          <t>Corporate Services</t>
        </is>
      </c>
      <c r="G485" s="15" t="inlineStr">
        <is>
          <t>Victoria</t>
        </is>
      </c>
      <c r="H485" s="17" t="inlineStr">
        <is>
          <t>68.40</t>
        </is>
      </c>
      <c r="I485" s="15" t="inlineStr">
        <is>
          <t>IVF Australia Pty Ltd</t>
        </is>
      </c>
      <c r="J485" s="18" t="n">
        <v>3.42</v>
      </c>
      <c r="K485" s="17" t="inlineStr">
        <is>
          <t>3.42</t>
        </is>
      </c>
      <c r="L485" s="16" t="n">
        <v>45949</v>
      </c>
      <c r="M485" s="16" t="n">
        <v>45908</v>
      </c>
      <c r="N485" s="17" t="inlineStr"/>
      <c r="O485" s="17" t="inlineStr"/>
      <c r="P485" s="16" t="n"/>
    </row>
    <row r="486" ht="52.8" customHeight="1">
      <c r="A486" s="11" t="inlineStr">
        <is>
          <t>AU23681</t>
        </is>
      </c>
      <c r="B486" s="12" t="n">
        <v>45817</v>
      </c>
      <c r="C486" s="11" t="inlineStr">
        <is>
          <t>Registered Nurse</t>
        </is>
      </c>
      <c r="D486" s="11" t="inlineStr">
        <is>
          <t>QLD Nurse EA</t>
        </is>
      </c>
      <c r="E486" s="11" t="inlineStr">
        <is>
          <t>CA - Casual</t>
        </is>
      </c>
      <c r="F486" s="11" t="inlineStr">
        <is>
          <t>Day Hospitals</t>
        </is>
      </c>
      <c r="G486" s="11" t="inlineStr">
        <is>
          <t>Queensland</t>
        </is>
      </c>
      <c r="H486" s="13" t="inlineStr"/>
      <c r="I486" s="11" t="inlineStr">
        <is>
          <t>Spring Hill Specialist Day Hospital</t>
        </is>
      </c>
      <c r="J486" s="14" t="n">
        <v>3.44</v>
      </c>
      <c r="K486" s="13" t="inlineStr">
        <is>
          <t>3.44</t>
        </is>
      </c>
      <c r="L486" s="12" t="n">
        <v>45949</v>
      </c>
      <c r="M486" s="12" t="n">
        <v>45817</v>
      </c>
      <c r="N486" s="13" t="inlineStr"/>
      <c r="O486" s="13" t="inlineStr"/>
      <c r="P486" s="12" t="n"/>
    </row>
    <row r="487" ht="39.6" customHeight="1">
      <c r="A487" s="15" t="inlineStr">
        <is>
          <t>AU23742</t>
        </is>
      </c>
      <c r="B487" s="16" t="n">
        <v>45859</v>
      </c>
      <c r="C487" s="15" t="inlineStr">
        <is>
          <t>Administration Officer</t>
        </is>
      </c>
      <c r="D487" s="15" t="inlineStr">
        <is>
          <t>NSW Support Services EA</t>
        </is>
      </c>
      <c r="E487" s="15" t="inlineStr">
        <is>
          <t>CA - Casual</t>
        </is>
      </c>
      <c r="F487" s="15" t="inlineStr">
        <is>
          <t>IVFA</t>
        </is>
      </c>
      <c r="G487" s="15" t="inlineStr">
        <is>
          <t>Australian Capital Territory</t>
        </is>
      </c>
      <c r="H487" s="17" t="inlineStr"/>
      <c r="I487" s="15" t="inlineStr">
        <is>
          <t>IVF Australia Pty Ltd</t>
        </is>
      </c>
      <c r="J487" s="18" t="n">
        <v>3.45</v>
      </c>
      <c r="K487" s="17" t="inlineStr">
        <is>
          <t>3.45</t>
        </is>
      </c>
      <c r="L487" s="16" t="n">
        <v>45949</v>
      </c>
      <c r="M487" s="16" t="n">
        <v>45859</v>
      </c>
      <c r="N487" s="17" t="inlineStr"/>
      <c r="O487" s="17" t="inlineStr"/>
      <c r="P487" s="16" t="n"/>
    </row>
    <row r="488" ht="26.4" customHeight="1">
      <c r="A488" s="11" t="inlineStr">
        <is>
          <t>AU23632</t>
        </is>
      </c>
      <c r="B488" s="12" t="n">
        <v>45782</v>
      </c>
      <c r="C488" s="11" t="inlineStr">
        <is>
          <t>Assistant in Nursing</t>
        </is>
      </c>
      <c r="D488" s="11" t="inlineStr">
        <is>
          <t>NSW Nurse EA</t>
        </is>
      </c>
      <c r="E488" s="11" t="inlineStr">
        <is>
          <t>CA - Casual</t>
        </is>
      </c>
      <c r="F488" s="11" t="inlineStr">
        <is>
          <t>Day Hospitals</t>
        </is>
      </c>
      <c r="G488" s="11" t="inlineStr">
        <is>
          <t>New South Wales</t>
        </is>
      </c>
      <c r="H488" s="13" t="inlineStr"/>
      <c r="I488" s="11" t="inlineStr">
        <is>
          <t>City West Day Surgery</t>
        </is>
      </c>
      <c r="J488" s="14" t="n">
        <v>3.5</v>
      </c>
      <c r="K488" s="13" t="inlineStr">
        <is>
          <t>3.50</t>
        </is>
      </c>
      <c r="L488" s="12" t="n">
        <v>45949</v>
      </c>
      <c r="M488" s="12" t="n">
        <v>45782</v>
      </c>
      <c r="N488" s="13" t="inlineStr"/>
      <c r="O488" s="13" t="inlineStr"/>
      <c r="P488" s="12" t="n"/>
    </row>
    <row r="489" ht="79.2" customHeight="1">
      <c r="A489" s="15" t="inlineStr">
        <is>
          <t>AU23817</t>
        </is>
      </c>
      <c r="B489" s="16" t="n">
        <v>45908</v>
      </c>
      <c r="C489" s="15" t="inlineStr">
        <is>
          <t>Donor Administrator</t>
        </is>
      </c>
      <c r="D489" s="15" t="inlineStr">
        <is>
          <t>Health Professionals and Support Services Award</t>
        </is>
      </c>
      <c r="E489" s="15" t="inlineStr">
        <is>
          <t>CO - Contract</t>
        </is>
      </c>
      <c r="F489" s="15" t="inlineStr">
        <is>
          <t>Queensland Fertility Group</t>
        </is>
      </c>
      <c r="G489" s="15" t="inlineStr">
        <is>
          <t>Queensland</t>
        </is>
      </c>
      <c r="H489" s="17" t="inlineStr">
        <is>
          <t>76.00</t>
        </is>
      </c>
      <c r="I489" s="15" t="inlineStr">
        <is>
          <t>Queensland Fertility Group Pty Ltd</t>
        </is>
      </c>
      <c r="J489" s="18" t="n">
        <v>3.55</v>
      </c>
      <c r="K489" s="17" t="inlineStr">
        <is>
          <t>3.55</t>
        </is>
      </c>
      <c r="L489" s="16" t="n">
        <v>45949</v>
      </c>
      <c r="M489" s="16" t="n">
        <v>45908</v>
      </c>
      <c r="N489" s="17" t="inlineStr"/>
      <c r="O489" s="17" t="inlineStr"/>
      <c r="P489" s="16" t="n"/>
    </row>
    <row r="490" ht="39.6" customHeight="1">
      <c r="A490" s="11" t="inlineStr">
        <is>
          <t>AU23793</t>
        </is>
      </c>
      <c r="B490" s="12" t="n">
        <v>45901</v>
      </c>
      <c r="C490" s="11" t="inlineStr">
        <is>
          <t>Assistant in Nursing</t>
        </is>
      </c>
      <c r="D490" s="11" t="inlineStr">
        <is>
          <t>NSW Nurse EA</t>
        </is>
      </c>
      <c r="E490" s="11" t="inlineStr">
        <is>
          <t>FT - Full-time Waged</t>
        </is>
      </c>
      <c r="F490" s="11" t="inlineStr">
        <is>
          <t>IVFA</t>
        </is>
      </c>
      <c r="G490" s="11" t="inlineStr">
        <is>
          <t>New South Wales</t>
        </is>
      </c>
      <c r="H490" s="13" t="inlineStr">
        <is>
          <t>76.00</t>
        </is>
      </c>
      <c r="I490" s="11" t="inlineStr">
        <is>
          <t>IVF Australia Pty Ltd</t>
        </is>
      </c>
      <c r="J490" s="14" t="n">
        <v>3.66</v>
      </c>
      <c r="K490" s="13" t="inlineStr">
        <is>
          <t>3.66</t>
        </is>
      </c>
      <c r="L490" s="12" t="n">
        <v>45949</v>
      </c>
      <c r="M490" s="12" t="n">
        <v>45901</v>
      </c>
      <c r="N490" s="13" t="inlineStr"/>
      <c r="O490" s="13" t="inlineStr"/>
      <c r="P490" s="12" t="n"/>
    </row>
    <row r="491" ht="52.8" customHeight="1">
      <c r="A491" s="15" t="inlineStr">
        <is>
          <t>AU23807</t>
        </is>
      </c>
      <c r="B491" s="16" t="n">
        <v>45909</v>
      </c>
      <c r="C491" s="15" t="inlineStr">
        <is>
          <t>Facilities and Projects manager</t>
        </is>
      </c>
      <c r="D491" s="15" t="inlineStr">
        <is>
          <t>Common Law Employment Contract</t>
        </is>
      </c>
      <c r="E491" s="15" t="inlineStr">
        <is>
          <t>CO - Contract</t>
        </is>
      </c>
      <c r="F491" s="15" t="inlineStr">
        <is>
          <t>IVFA</t>
        </is>
      </c>
      <c r="G491" s="15" t="inlineStr">
        <is>
          <t>New South Wales</t>
        </is>
      </c>
      <c r="H491" s="17" t="inlineStr">
        <is>
          <t>76.00</t>
        </is>
      </c>
      <c r="I491" s="15" t="inlineStr">
        <is>
          <t>IVF Australia Pty Ltd</t>
        </is>
      </c>
      <c r="J491" s="18" t="n">
        <v>3.67</v>
      </c>
      <c r="K491" s="17" t="inlineStr">
        <is>
          <t>3.67</t>
        </is>
      </c>
      <c r="L491" s="16" t="n">
        <v>45949</v>
      </c>
      <c r="M491" s="16" t="n">
        <v>45909</v>
      </c>
      <c r="N491" s="17" t="inlineStr"/>
      <c r="O491" s="17" t="inlineStr"/>
      <c r="P491" s="16" t="n"/>
    </row>
    <row r="492" ht="66" customHeight="1">
      <c r="A492" s="11" t="n">
        <v>50208</v>
      </c>
      <c r="B492" s="12" t="n">
        <v>44613</v>
      </c>
      <c r="C492" s="11" t="inlineStr">
        <is>
          <t>Registered Nurse</t>
        </is>
      </c>
      <c r="D492" s="11" t="inlineStr">
        <is>
          <t>NSW Nurse EA</t>
        </is>
      </c>
      <c r="E492" s="11" t="inlineStr">
        <is>
          <t>CA - Casual</t>
        </is>
      </c>
      <c r="F492" s="11" t="inlineStr">
        <is>
          <t>Day Hospitals</t>
        </is>
      </c>
      <c r="G492" s="11" t="inlineStr">
        <is>
          <t>New South Wales</t>
        </is>
      </c>
      <c r="H492" s="13" t="inlineStr"/>
      <c r="I492" s="11" t="inlineStr">
        <is>
          <t>Alexandria Specialist Day Hospital Pty Ltd</t>
        </is>
      </c>
      <c r="J492" s="14" t="n">
        <v>3.79</v>
      </c>
      <c r="K492" s="13" t="inlineStr">
        <is>
          <t>3.79</t>
        </is>
      </c>
      <c r="L492" s="12" t="n">
        <v>45613</v>
      </c>
      <c r="M492" s="12" t="n">
        <v>44613</v>
      </c>
      <c r="N492" s="13" t="inlineStr"/>
      <c r="O492" s="13" t="inlineStr"/>
      <c r="P492" s="12" t="n"/>
    </row>
    <row r="493" ht="66" customHeight="1">
      <c r="A493" s="15" t="inlineStr">
        <is>
          <t>AU23776</t>
        </is>
      </c>
      <c r="B493" s="16" t="n">
        <v>45908</v>
      </c>
      <c r="C493" s="15" t="inlineStr">
        <is>
          <t xml:space="preserve">Group Financial Planning &amp; Analysis Manager </t>
        </is>
      </c>
      <c r="D493" s="15" t="inlineStr">
        <is>
          <t>Common Law Employment Contract</t>
        </is>
      </c>
      <c r="E493" s="15" t="inlineStr">
        <is>
          <t>FP - Full-time Salaried</t>
        </is>
      </c>
      <c r="F493" s="15" t="inlineStr">
        <is>
          <t>Corporate Services</t>
        </is>
      </c>
      <c r="G493" s="15" t="inlineStr">
        <is>
          <t>New South Wales</t>
        </is>
      </c>
      <c r="H493" s="17" t="inlineStr">
        <is>
          <t>76.00</t>
        </is>
      </c>
      <c r="I493" s="15" t="inlineStr">
        <is>
          <t>IVF Australia Pty Ltd</t>
        </is>
      </c>
      <c r="J493" s="18" t="n">
        <v>3.8</v>
      </c>
      <c r="K493" s="17" t="inlineStr">
        <is>
          <t>3.80</t>
        </is>
      </c>
      <c r="L493" s="16" t="n">
        <v>45949</v>
      </c>
      <c r="M493" s="16" t="n">
        <v>45908</v>
      </c>
      <c r="N493" s="17" t="inlineStr"/>
      <c r="O493" s="17" t="inlineStr"/>
      <c r="P493" s="16" t="n"/>
    </row>
    <row r="494" ht="52.8" customHeight="1">
      <c r="A494" s="11" t="inlineStr">
        <is>
          <t>AU23823</t>
        </is>
      </c>
      <c r="B494" s="12" t="n">
        <v>45908</v>
      </c>
      <c r="C494" s="11" t="inlineStr">
        <is>
          <t xml:space="preserve">Facilities Manager VIC/TAS </t>
        </is>
      </c>
      <c r="D494" s="11" t="inlineStr">
        <is>
          <t>Common Law Employment Contract</t>
        </is>
      </c>
      <c r="E494" s="11" t="inlineStr">
        <is>
          <t>FP - Full-time Salaried</t>
        </is>
      </c>
      <c r="F494" s="11" t="inlineStr">
        <is>
          <t>IVFA</t>
        </is>
      </c>
      <c r="G494" s="11" t="inlineStr">
        <is>
          <t>Victoria</t>
        </is>
      </c>
      <c r="H494" s="13" t="inlineStr">
        <is>
          <t>76.00</t>
        </is>
      </c>
      <c r="I494" s="11" t="inlineStr">
        <is>
          <t>IVF Australia Pty Ltd</t>
        </is>
      </c>
      <c r="J494" s="14" t="n">
        <v>3.81</v>
      </c>
      <c r="K494" s="13" t="inlineStr">
        <is>
          <t>3.81</t>
        </is>
      </c>
      <c r="L494" s="12" t="n">
        <v>45949</v>
      </c>
      <c r="M494" s="12" t="n">
        <v>45908</v>
      </c>
      <c r="N494" s="13" t="inlineStr"/>
      <c r="O494" s="13" t="inlineStr"/>
      <c r="P494" s="12" t="n"/>
    </row>
    <row r="495" ht="52.8" customHeight="1">
      <c r="A495" s="15" t="inlineStr">
        <is>
          <t>AU23844</t>
        </is>
      </c>
      <c r="B495" s="16" t="n">
        <v>45908</v>
      </c>
      <c r="C495" s="15" t="inlineStr">
        <is>
          <t>Technology Operations Engineer</t>
        </is>
      </c>
      <c r="D495" s="15" t="inlineStr">
        <is>
          <t>Common Law Employment Contract</t>
        </is>
      </c>
      <c r="E495" s="15" t="inlineStr">
        <is>
          <t>CO - Contract</t>
        </is>
      </c>
      <c r="F495" s="15" t="inlineStr">
        <is>
          <t>Corporate Services</t>
        </is>
      </c>
      <c r="G495" s="15" t="inlineStr">
        <is>
          <t>Victoria</t>
        </is>
      </c>
      <c r="H495" s="17" t="inlineStr">
        <is>
          <t>76.00</t>
        </is>
      </c>
      <c r="I495" s="15" t="inlineStr">
        <is>
          <t>IVF Australia Pty Ltd</t>
        </is>
      </c>
      <c r="J495" s="18" t="n">
        <v>3.81</v>
      </c>
      <c r="K495" s="17" t="inlineStr">
        <is>
          <t>3.81</t>
        </is>
      </c>
      <c r="L495" s="16" t="n">
        <v>45949</v>
      </c>
      <c r="M495" s="16" t="n">
        <v>45908</v>
      </c>
      <c r="N495" s="17" t="inlineStr"/>
      <c r="O495" s="17" t="inlineStr"/>
      <c r="P495" s="16" t="n"/>
    </row>
    <row r="496" ht="52.8" customHeight="1">
      <c r="A496" s="11" t="inlineStr">
        <is>
          <t>AU23573</t>
        </is>
      </c>
      <c r="B496" s="12" t="n">
        <v>45733</v>
      </c>
      <c r="C496" s="11" t="inlineStr">
        <is>
          <t>Registered Nurse</t>
        </is>
      </c>
      <c r="D496" s="11" t="inlineStr">
        <is>
          <t>QLD Nurse EA</t>
        </is>
      </c>
      <c r="E496" s="11" t="inlineStr">
        <is>
          <t>CA - Casual</t>
        </is>
      </c>
      <c r="F496" s="11" t="inlineStr">
        <is>
          <t>Day Hospitals</t>
        </is>
      </c>
      <c r="G496" s="11" t="inlineStr">
        <is>
          <t>Queensland</t>
        </is>
      </c>
      <c r="H496" s="13" t="inlineStr"/>
      <c r="I496" s="11" t="inlineStr">
        <is>
          <t>Spring Hill Specialist Day Hospital</t>
        </is>
      </c>
      <c r="J496" s="14" t="n">
        <v>3.87</v>
      </c>
      <c r="K496" s="13" t="inlineStr">
        <is>
          <t>3.87</t>
        </is>
      </c>
      <c r="L496" s="12" t="n">
        <v>45935</v>
      </c>
      <c r="M496" s="12" t="n">
        <v>45733</v>
      </c>
      <c r="N496" s="13" t="inlineStr"/>
      <c r="O496" s="13" t="inlineStr"/>
      <c r="P496" s="12" t="n"/>
    </row>
    <row r="497" ht="39.6" customHeight="1">
      <c r="A497" s="15" t="inlineStr">
        <is>
          <t>AU23802</t>
        </is>
      </c>
      <c r="B497" s="16" t="n">
        <v>45901</v>
      </c>
      <c r="C497" s="15" t="inlineStr">
        <is>
          <t>Administration Officer</t>
        </is>
      </c>
      <c r="D497" s="15" t="inlineStr">
        <is>
          <t>NSW Support Services EA</t>
        </is>
      </c>
      <c r="E497" s="15" t="inlineStr">
        <is>
          <t>FT - Full-time Waged</t>
        </is>
      </c>
      <c r="F497" s="15" t="inlineStr">
        <is>
          <t>IVFA</t>
        </is>
      </c>
      <c r="G497" s="15" t="inlineStr">
        <is>
          <t>New South Wales</t>
        </is>
      </c>
      <c r="H497" s="17" t="inlineStr">
        <is>
          <t>76.00</t>
        </is>
      </c>
      <c r="I497" s="15" t="inlineStr">
        <is>
          <t>IVF Australia Pty Ltd</t>
        </is>
      </c>
      <c r="J497" s="18" t="n">
        <v>3.89</v>
      </c>
      <c r="K497" s="17" t="inlineStr">
        <is>
          <t>3.89</t>
        </is>
      </c>
      <c r="L497" s="16" t="n">
        <v>45949</v>
      </c>
      <c r="M497" s="16" t="n">
        <v>45901</v>
      </c>
      <c r="N497" s="17" t="inlineStr"/>
      <c r="O497" s="17" t="inlineStr"/>
      <c r="P497" s="16" t="n"/>
    </row>
    <row r="498" ht="66" customHeight="1">
      <c r="A498" s="11" t="inlineStr">
        <is>
          <t>AU23431</t>
        </is>
      </c>
      <c r="B498" s="12" t="n">
        <v>45588</v>
      </c>
      <c r="C498" s="11" t="inlineStr">
        <is>
          <t>Registered Nurse</t>
        </is>
      </c>
      <c r="D498" s="11" t="inlineStr">
        <is>
          <t>NSW Nurse EA</t>
        </is>
      </c>
      <c r="E498" s="11" t="inlineStr">
        <is>
          <t>CA - Casual</t>
        </is>
      </c>
      <c r="F498" s="11" t="inlineStr">
        <is>
          <t>Day Hospitals</t>
        </is>
      </c>
      <c r="G498" s="11" t="inlineStr">
        <is>
          <t>New South Wales</t>
        </is>
      </c>
      <c r="H498" s="13" t="inlineStr"/>
      <c r="I498" s="11" t="inlineStr">
        <is>
          <t>Alexandria Specialist Day Hospital Pty Ltd</t>
        </is>
      </c>
      <c r="J498" s="14" t="n">
        <v>3.91</v>
      </c>
      <c r="K498" s="13" t="inlineStr">
        <is>
          <t>3.91</t>
        </is>
      </c>
      <c r="L498" s="12" t="n">
        <v>45949</v>
      </c>
      <c r="M498" s="12" t="n">
        <v>45588</v>
      </c>
      <c r="N498" s="13" t="inlineStr"/>
      <c r="O498" s="13" t="inlineStr"/>
      <c r="P498" s="12" t="n"/>
    </row>
    <row r="499" ht="52.8" customHeight="1">
      <c r="A499" s="15" t="n">
        <v>60050</v>
      </c>
      <c r="B499" s="16" t="n">
        <v>44670</v>
      </c>
      <c r="C499" s="15" t="inlineStr">
        <is>
          <t>Registered Nurse</t>
        </is>
      </c>
      <c r="D499" s="15" t="inlineStr">
        <is>
          <t>QLD Nurse EA</t>
        </is>
      </c>
      <c r="E499" s="15" t="inlineStr">
        <is>
          <t>CA - Casual</t>
        </is>
      </c>
      <c r="F499" s="15" t="inlineStr">
        <is>
          <t>Day Hospitals</t>
        </is>
      </c>
      <c r="G499" s="15" t="inlineStr">
        <is>
          <t>Queensland</t>
        </is>
      </c>
      <c r="H499" s="17" t="inlineStr"/>
      <c r="I499" s="15" t="inlineStr">
        <is>
          <t>MACKAY Specialist Day Hospital</t>
        </is>
      </c>
      <c r="J499" s="18" t="n">
        <v>4.05</v>
      </c>
      <c r="K499" s="17" t="inlineStr">
        <is>
          <t>4.05</t>
        </is>
      </c>
      <c r="L499" s="16" t="n">
        <v>45893</v>
      </c>
      <c r="M499" s="16" t="n">
        <v>44670</v>
      </c>
      <c r="N499" s="17" t="inlineStr"/>
      <c r="O499" s="17" t="inlineStr"/>
      <c r="P499" s="16" t="n"/>
    </row>
    <row r="500" ht="52.8" customHeight="1">
      <c r="A500" s="11" t="inlineStr">
        <is>
          <t>AU23701</t>
        </is>
      </c>
      <c r="B500" s="12" t="n">
        <v>45839</v>
      </c>
      <c r="C500" s="11" t="inlineStr">
        <is>
          <t>Donor Nurse Practitioner</t>
        </is>
      </c>
      <c r="D500" s="11" t="inlineStr">
        <is>
          <t>Common Law Employment Contract</t>
        </is>
      </c>
      <c r="E500" s="11" t="inlineStr">
        <is>
          <t>PT - Part-time Salary</t>
        </is>
      </c>
      <c r="F500" s="11" t="inlineStr">
        <is>
          <t>IVFA</t>
        </is>
      </c>
      <c r="G500" s="11" t="inlineStr">
        <is>
          <t>New South Wales</t>
        </is>
      </c>
      <c r="H500" s="13" t="inlineStr">
        <is>
          <t>30.40</t>
        </is>
      </c>
      <c r="I500" s="11" t="inlineStr">
        <is>
          <t>IVF Australia Pty Ltd</t>
        </is>
      </c>
      <c r="J500" s="14" t="n">
        <v>4.05</v>
      </c>
      <c r="K500" s="13" t="inlineStr">
        <is>
          <t>4.05</t>
        </is>
      </c>
      <c r="L500" s="12" t="n">
        <v>45949</v>
      </c>
      <c r="M500" s="12" t="n">
        <v>45839</v>
      </c>
      <c r="N500" s="13" t="inlineStr"/>
      <c r="O500" s="13" t="inlineStr"/>
      <c r="P500" s="12" t="n"/>
    </row>
    <row r="501" ht="66" customHeight="1">
      <c r="A501" s="15" t="n">
        <v>50003</v>
      </c>
      <c r="B501" s="16" t="n">
        <v>40400</v>
      </c>
      <c r="C501" s="15" t="inlineStr">
        <is>
          <t>Theatre Orderly</t>
        </is>
      </c>
      <c r="D501" s="15" t="inlineStr">
        <is>
          <t>NSW Support Services EA</t>
        </is>
      </c>
      <c r="E501" s="15" t="inlineStr">
        <is>
          <t>PP - Part-time Waged</t>
        </is>
      </c>
      <c r="F501" s="15" t="inlineStr">
        <is>
          <t>Day Hospitals</t>
        </is>
      </c>
      <c r="G501" s="15" t="inlineStr">
        <is>
          <t>New South Wales</t>
        </is>
      </c>
      <c r="H501" s="17" t="inlineStr">
        <is>
          <t>30.40</t>
        </is>
      </c>
      <c r="I501" s="15" t="inlineStr">
        <is>
          <t>Alexandria Specialist Day Hospital Pty Ltd</t>
        </is>
      </c>
      <c r="J501" s="18" t="n">
        <v>129.75</v>
      </c>
      <c r="K501" s="17" t="inlineStr">
        <is>
          <t>4.08</t>
        </is>
      </c>
      <c r="L501" s="16" t="n">
        <v>45949</v>
      </c>
      <c r="M501" s="16" t="n">
        <v>45879</v>
      </c>
      <c r="N501" s="17" t="inlineStr">
        <is>
          <t>125.67</t>
        </is>
      </c>
      <c r="O501" s="17" t="inlineStr"/>
      <c r="P501" s="16" t="n"/>
    </row>
    <row r="502" ht="39.6" customHeight="1">
      <c r="A502" s="11" t="inlineStr">
        <is>
          <t>AU23790</t>
        </is>
      </c>
      <c r="B502" s="12" t="n">
        <v>45894</v>
      </c>
      <c r="C502" s="11" t="inlineStr">
        <is>
          <t>Administration Officer</t>
        </is>
      </c>
      <c r="D502" s="11" t="inlineStr">
        <is>
          <t>NSW Support Services EA</t>
        </is>
      </c>
      <c r="E502" s="11" t="inlineStr">
        <is>
          <t>PP - Part-time Waged</t>
        </is>
      </c>
      <c r="F502" s="11" t="inlineStr">
        <is>
          <t>IVFA</t>
        </is>
      </c>
      <c r="G502" s="11" t="inlineStr">
        <is>
          <t>New South Wales</t>
        </is>
      </c>
      <c r="H502" s="13" t="inlineStr">
        <is>
          <t>27.00</t>
        </is>
      </c>
      <c r="I502" s="11" t="inlineStr">
        <is>
          <t>IVF Australia Pty Ltd</t>
        </is>
      </c>
      <c r="J502" s="14" t="n">
        <v>4.12</v>
      </c>
      <c r="K502" s="13" t="inlineStr">
        <is>
          <t>4.12</t>
        </is>
      </c>
      <c r="L502" s="12" t="n">
        <v>45949</v>
      </c>
      <c r="M502" s="12" t="n">
        <v>45894</v>
      </c>
      <c r="N502" s="13" t="inlineStr"/>
      <c r="O502" s="13" t="inlineStr"/>
      <c r="P502" s="12" t="n"/>
    </row>
    <row r="503" ht="66" customHeight="1">
      <c r="A503" s="15" t="inlineStr">
        <is>
          <t>AU23116</t>
        </is>
      </c>
      <c r="B503" s="16" t="n">
        <v>45355</v>
      </c>
      <c r="C503" s="15" t="inlineStr">
        <is>
          <t>Registered Nurse</t>
        </is>
      </c>
      <c r="D503" s="15" t="inlineStr">
        <is>
          <t>NSW Nurse EA</t>
        </is>
      </c>
      <c r="E503" s="15" t="inlineStr">
        <is>
          <t>CA - Casual</t>
        </is>
      </c>
      <c r="F503" s="15" t="inlineStr">
        <is>
          <t>Day Hospitals</t>
        </is>
      </c>
      <c r="G503" s="15" t="inlineStr">
        <is>
          <t>New South Wales</t>
        </is>
      </c>
      <c r="H503" s="17" t="inlineStr"/>
      <c r="I503" s="15" t="inlineStr">
        <is>
          <t>Alexandria Specialist Day Hospital Pty Ltd</t>
        </is>
      </c>
      <c r="J503" s="18" t="n">
        <v>4.14</v>
      </c>
      <c r="K503" s="17" t="inlineStr">
        <is>
          <t>4.14</t>
        </is>
      </c>
      <c r="L503" s="16" t="n">
        <v>45641</v>
      </c>
      <c r="M503" s="16" t="n">
        <v>45355</v>
      </c>
      <c r="N503" s="17" t="inlineStr"/>
      <c r="O503" s="17" t="inlineStr"/>
      <c r="P503" s="16" t="n"/>
    </row>
    <row r="504" ht="79.2" customHeight="1">
      <c r="A504" s="11" t="inlineStr">
        <is>
          <t>AU23775</t>
        </is>
      </c>
      <c r="B504" s="12" t="n">
        <v>45880</v>
      </c>
      <c r="C504" s="11" t="inlineStr">
        <is>
          <t>Administration Assistant</t>
        </is>
      </c>
      <c r="D504" s="11" t="inlineStr">
        <is>
          <t>Health Professionals and Support Services Award</t>
        </is>
      </c>
      <c r="E504" s="11" t="inlineStr">
        <is>
          <t>CA - Casual</t>
        </is>
      </c>
      <c r="F504" s="11" t="inlineStr">
        <is>
          <t>Day Hospitals</t>
        </is>
      </c>
      <c r="G504" s="11" t="inlineStr">
        <is>
          <t>Queensland</t>
        </is>
      </c>
      <c r="H504" s="13" t="inlineStr"/>
      <c r="I504" s="11" t="inlineStr">
        <is>
          <t>Spring Hill Specialist Day Hospital</t>
        </is>
      </c>
      <c r="J504" s="14" t="n">
        <v>4.17</v>
      </c>
      <c r="K504" s="13" t="inlineStr">
        <is>
          <t>4.17</t>
        </is>
      </c>
      <c r="L504" s="12" t="n">
        <v>45949</v>
      </c>
      <c r="M504" s="12" t="n">
        <v>45880</v>
      </c>
      <c r="N504" s="13" t="inlineStr"/>
      <c r="O504" s="13" t="inlineStr"/>
      <c r="P504" s="12" t="n"/>
    </row>
    <row r="505" ht="52.8" customHeight="1">
      <c r="A505" s="15" t="inlineStr">
        <is>
          <t>AU23772</t>
        </is>
      </c>
      <c r="B505" s="16" t="n">
        <v>45880</v>
      </c>
      <c r="C505" s="15" t="inlineStr">
        <is>
          <t>Assistant in Nursing</t>
        </is>
      </c>
      <c r="D505" s="15" t="inlineStr">
        <is>
          <t>QLD Nurse EA</t>
        </is>
      </c>
      <c r="E505" s="15" t="inlineStr">
        <is>
          <t>CA - Casual</t>
        </is>
      </c>
      <c r="F505" s="15" t="inlineStr">
        <is>
          <t>Day Hospitals</t>
        </is>
      </c>
      <c r="G505" s="15" t="inlineStr">
        <is>
          <t>Queensland</t>
        </is>
      </c>
      <c r="H505" s="17" t="inlineStr"/>
      <c r="I505" s="15" t="inlineStr">
        <is>
          <t>Spring Hill Specialist Day Hospital</t>
        </is>
      </c>
      <c r="J505" s="18" t="n">
        <v>4.2</v>
      </c>
      <c r="K505" s="17" t="inlineStr">
        <is>
          <t>4.20</t>
        </is>
      </c>
      <c r="L505" s="16" t="n">
        <v>45949</v>
      </c>
      <c r="M505" s="16" t="n">
        <v>45880</v>
      </c>
      <c r="N505" s="17" t="inlineStr"/>
      <c r="O505" s="17" t="inlineStr"/>
      <c r="P505" s="16" t="n"/>
    </row>
    <row r="506" ht="39.6" customHeight="1">
      <c r="A506" s="11" t="inlineStr">
        <is>
          <t>AU23771</t>
        </is>
      </c>
      <c r="B506" s="12" t="n">
        <v>45880</v>
      </c>
      <c r="C506" s="11" t="inlineStr">
        <is>
          <t>Nures Coordinator</t>
        </is>
      </c>
      <c r="D506" s="11" t="inlineStr">
        <is>
          <t>NSW Nurse EA</t>
        </is>
      </c>
      <c r="E506" s="11" t="inlineStr">
        <is>
          <t>PP - Part-time Waged</t>
        </is>
      </c>
      <c r="F506" s="11" t="inlineStr">
        <is>
          <t>IVFA</t>
        </is>
      </c>
      <c r="G506" s="11" t="inlineStr">
        <is>
          <t>New South Wales</t>
        </is>
      </c>
      <c r="H506" s="13" t="inlineStr">
        <is>
          <t>57.00</t>
        </is>
      </c>
      <c r="I506" s="11" t="inlineStr">
        <is>
          <t>IVF Australia Pty Ltd</t>
        </is>
      </c>
      <c r="J506" s="14" t="n">
        <v>4.28</v>
      </c>
      <c r="K506" s="13" t="inlineStr">
        <is>
          <t>4.28</t>
        </is>
      </c>
      <c r="L506" s="12" t="n">
        <v>45949</v>
      </c>
      <c r="M506" s="12" t="n">
        <v>45880</v>
      </c>
      <c r="N506" s="13" t="inlineStr"/>
      <c r="O506" s="13" t="inlineStr"/>
      <c r="P506" s="12" t="n"/>
    </row>
    <row r="507" ht="66" customHeight="1">
      <c r="A507" s="15" t="n">
        <v>50145</v>
      </c>
      <c r="B507" s="16" t="n">
        <v>43675</v>
      </c>
      <c r="C507" s="15" t="inlineStr">
        <is>
          <t>Registered Nurse</t>
        </is>
      </c>
      <c r="D507" s="15" t="inlineStr">
        <is>
          <t>NSW Nurse EA</t>
        </is>
      </c>
      <c r="E507" s="15" t="inlineStr">
        <is>
          <t>CA - Casual</t>
        </is>
      </c>
      <c r="F507" s="15" t="inlineStr">
        <is>
          <t>Day Hospitals</t>
        </is>
      </c>
      <c r="G507" s="15" t="inlineStr">
        <is>
          <t>New South Wales</t>
        </is>
      </c>
      <c r="H507" s="17" t="inlineStr"/>
      <c r="I507" s="15" t="inlineStr">
        <is>
          <t>Alexandria Specialist Day Hospital Pty Ltd</t>
        </is>
      </c>
      <c r="J507" s="18" t="n">
        <v>4.4</v>
      </c>
      <c r="K507" s="17" t="inlineStr">
        <is>
          <t>4.40</t>
        </is>
      </c>
      <c r="L507" s="16" t="n">
        <v>45235</v>
      </c>
      <c r="M507" s="16" t="n">
        <v>43675</v>
      </c>
      <c r="N507" s="17" t="inlineStr"/>
      <c r="O507" s="17" t="inlineStr"/>
      <c r="P507" s="16" t="n"/>
    </row>
    <row r="508" ht="39.6" customHeight="1">
      <c r="A508" s="11" t="inlineStr">
        <is>
          <t>AU23808</t>
        </is>
      </c>
      <c r="B508" s="12" t="n">
        <v>45894</v>
      </c>
      <c r="C508" s="11" t="inlineStr">
        <is>
          <t>Nurse Coordinator</t>
        </is>
      </c>
      <c r="D508" s="11" t="inlineStr">
        <is>
          <t>NSW Nurse EA</t>
        </is>
      </c>
      <c r="E508" s="11" t="inlineStr">
        <is>
          <t>FT - Full-time Waged</t>
        </is>
      </c>
      <c r="F508" s="11" t="inlineStr">
        <is>
          <t>IVFA</t>
        </is>
      </c>
      <c r="G508" s="11" t="inlineStr">
        <is>
          <t>New South Wales</t>
        </is>
      </c>
      <c r="H508" s="13" t="inlineStr">
        <is>
          <t>76.00</t>
        </is>
      </c>
      <c r="I508" s="11" t="inlineStr">
        <is>
          <t>IVF Australia Pty Ltd</t>
        </is>
      </c>
      <c r="J508" s="14" t="n">
        <v>4.46</v>
      </c>
      <c r="K508" s="13" t="inlineStr">
        <is>
          <t>4.46</t>
        </is>
      </c>
      <c r="L508" s="12" t="n">
        <v>45949</v>
      </c>
      <c r="M508" s="12" t="n">
        <v>45894</v>
      </c>
      <c r="N508" s="13" t="inlineStr"/>
      <c r="O508" s="13" t="inlineStr"/>
      <c r="P508" s="12" t="n"/>
    </row>
    <row r="509" ht="79.2" customHeight="1">
      <c r="A509" s="15" t="inlineStr">
        <is>
          <t>AU23770</t>
        </is>
      </c>
      <c r="B509" s="16" t="n">
        <v>45880</v>
      </c>
      <c r="C509" s="15" t="inlineStr">
        <is>
          <t>Courier</t>
        </is>
      </c>
      <c r="D509" s="15" t="inlineStr">
        <is>
          <t>Health Professionals and Support Services Award</t>
        </is>
      </c>
      <c r="E509" s="15" t="inlineStr">
        <is>
          <t>PP - Part-time Waged</t>
        </is>
      </c>
      <c r="F509" s="15" t="inlineStr">
        <is>
          <t>Diagnostics</t>
        </is>
      </c>
      <c r="G509" s="15" t="inlineStr">
        <is>
          <t>New South Wales</t>
        </is>
      </c>
      <c r="H509" s="17" t="inlineStr">
        <is>
          <t>50.00</t>
        </is>
      </c>
      <c r="I509" s="15" t="inlineStr">
        <is>
          <t>Virtus Health Specialist Diagnostics</t>
        </is>
      </c>
      <c r="J509" s="18" t="n">
        <v>4.53</v>
      </c>
      <c r="K509" s="17" t="inlineStr">
        <is>
          <t>4.53</t>
        </is>
      </c>
      <c r="L509" s="16" t="n">
        <v>45949</v>
      </c>
      <c r="M509" s="16" t="n">
        <v>45880</v>
      </c>
      <c r="N509" s="17" t="inlineStr"/>
      <c r="O509" s="17" t="inlineStr"/>
      <c r="P509" s="16" t="n"/>
    </row>
    <row r="510" ht="52.8" customHeight="1">
      <c r="A510" s="11" t="inlineStr">
        <is>
          <t>AU23783</t>
        </is>
      </c>
      <c r="B510" s="12" t="n">
        <v>45894</v>
      </c>
      <c r="C510" s="11" t="inlineStr">
        <is>
          <t>Registered Nurse</t>
        </is>
      </c>
      <c r="D510" s="11" t="inlineStr">
        <is>
          <t>QLD Nurse EA</t>
        </is>
      </c>
      <c r="E510" s="11" t="inlineStr">
        <is>
          <t>PP - Part-time Waged</t>
        </is>
      </c>
      <c r="F510" s="11" t="inlineStr">
        <is>
          <t>Day Hospitals</t>
        </is>
      </c>
      <c r="G510" s="11" t="inlineStr">
        <is>
          <t>Queensland</t>
        </is>
      </c>
      <c r="H510" s="13" t="inlineStr">
        <is>
          <t>48.00</t>
        </is>
      </c>
      <c r="I510" s="11" t="inlineStr">
        <is>
          <t>Spring Hill Specialist Day Hospital</t>
        </is>
      </c>
      <c r="J510" s="14" t="n">
        <v>4.59</v>
      </c>
      <c r="K510" s="13" t="inlineStr">
        <is>
          <t>4.59</t>
        </is>
      </c>
      <c r="L510" s="12" t="n">
        <v>45949</v>
      </c>
      <c r="M510" s="12" t="n">
        <v>45894</v>
      </c>
      <c r="N510" s="13" t="inlineStr"/>
      <c r="O510" s="13" t="inlineStr"/>
      <c r="P510" s="12" t="n"/>
    </row>
    <row r="511" ht="39.6" customHeight="1">
      <c r="A511" s="15" t="inlineStr">
        <is>
          <t>AU23716</t>
        </is>
      </c>
      <c r="B511" s="16" t="n">
        <v>45838</v>
      </c>
      <c r="C511" s="15" t="inlineStr">
        <is>
          <t>Assistant in Nursing</t>
        </is>
      </c>
      <c r="D511" s="15" t="inlineStr">
        <is>
          <t>NSW Nurse EA</t>
        </is>
      </c>
      <c r="E511" s="15" t="inlineStr">
        <is>
          <t>PP - Part-time Waged</t>
        </is>
      </c>
      <c r="F511" s="15" t="inlineStr">
        <is>
          <t>IVFA</t>
        </is>
      </c>
      <c r="G511" s="15" t="inlineStr">
        <is>
          <t>New South Wales</t>
        </is>
      </c>
      <c r="H511" s="17" t="inlineStr">
        <is>
          <t>48.00</t>
        </is>
      </c>
      <c r="I511" s="15" t="inlineStr">
        <is>
          <t>IVF Australia Pty Ltd</t>
        </is>
      </c>
      <c r="J511" s="18" t="n">
        <v>4.71</v>
      </c>
      <c r="K511" s="17" t="inlineStr">
        <is>
          <t>4.71</t>
        </is>
      </c>
      <c r="L511" s="16" t="n">
        <v>45949</v>
      </c>
      <c r="M511" s="16" t="n">
        <v>45838</v>
      </c>
      <c r="N511" s="17" t="inlineStr"/>
      <c r="O511" s="17" t="inlineStr"/>
      <c r="P511" s="16" t="n"/>
    </row>
    <row r="512" ht="52.8" customHeight="1">
      <c r="A512" s="11" t="inlineStr">
        <is>
          <t>AU23833</t>
        </is>
      </c>
      <c r="B512" s="12" t="n">
        <v>45915</v>
      </c>
      <c r="C512" s="11" t="inlineStr">
        <is>
          <t>Facilities and Projects manager</t>
        </is>
      </c>
      <c r="D512" s="11" t="inlineStr">
        <is>
          <t>Common Law Employment Contract</t>
        </is>
      </c>
      <c r="E512" s="11" t="inlineStr">
        <is>
          <t>FP - Full-time Salaried</t>
        </is>
      </c>
      <c r="F512" s="11" t="inlineStr">
        <is>
          <t>Corporate Services</t>
        </is>
      </c>
      <c r="G512" s="11" t="inlineStr">
        <is>
          <t>Queensland</t>
        </is>
      </c>
      <c r="H512" s="13" t="inlineStr">
        <is>
          <t>76.00</t>
        </is>
      </c>
      <c r="I512" s="11" t="inlineStr">
        <is>
          <t>IVF Australia Pty Ltd</t>
        </is>
      </c>
      <c r="J512" s="14" t="n">
        <v>4.75</v>
      </c>
      <c r="K512" s="13" t="inlineStr">
        <is>
          <t>4.75</t>
        </is>
      </c>
      <c r="L512" s="12" t="n">
        <v>45949</v>
      </c>
      <c r="M512" s="12" t="n">
        <v>45915</v>
      </c>
      <c r="N512" s="13" t="inlineStr"/>
      <c r="O512" s="13" t="inlineStr"/>
      <c r="P512" s="12" t="n"/>
    </row>
    <row r="513" ht="52.8" customHeight="1">
      <c r="A513" s="15" t="inlineStr">
        <is>
          <t>AU23800</t>
        </is>
      </c>
      <c r="B513" s="16" t="n">
        <v>45894</v>
      </c>
      <c r="C513" s="15" t="inlineStr">
        <is>
          <t>PMO Analyst</t>
        </is>
      </c>
      <c r="D513" s="15" t="inlineStr">
        <is>
          <t>Common Law Employment Contract</t>
        </is>
      </c>
      <c r="E513" s="15" t="inlineStr">
        <is>
          <t>CO - Contract</t>
        </is>
      </c>
      <c r="F513" s="15" t="inlineStr">
        <is>
          <t>Corporate Services</t>
        </is>
      </c>
      <c r="G513" s="15" t="inlineStr">
        <is>
          <t>Victoria</t>
        </is>
      </c>
      <c r="H513" s="17" t="inlineStr">
        <is>
          <t>76.00</t>
        </is>
      </c>
      <c r="I513" s="15" t="inlineStr">
        <is>
          <t>IVF Australia Pty Ltd</t>
        </is>
      </c>
      <c r="J513" s="18" t="n">
        <v>4.82</v>
      </c>
      <c r="K513" s="17" t="inlineStr">
        <is>
          <t>4.82</t>
        </is>
      </c>
      <c r="L513" s="16" t="n">
        <v>45949</v>
      </c>
      <c r="M513" s="16" t="n">
        <v>45894</v>
      </c>
      <c r="N513" s="17" t="inlineStr"/>
      <c r="O513" s="17" t="inlineStr"/>
      <c r="P513" s="16" t="n"/>
    </row>
    <row r="514" ht="66" customHeight="1">
      <c r="A514" s="11" t="inlineStr">
        <is>
          <t>AU23606</t>
        </is>
      </c>
      <c r="B514" s="12" t="n">
        <v>45761</v>
      </c>
      <c r="C514" s="11" t="inlineStr">
        <is>
          <t>Theatre Orderly</t>
        </is>
      </c>
      <c r="D514" s="11" t="inlineStr">
        <is>
          <t>NSW Support Services EA</t>
        </is>
      </c>
      <c r="E514" s="11" t="inlineStr">
        <is>
          <t>CA - Casual</t>
        </is>
      </c>
      <c r="F514" s="11" t="inlineStr">
        <is>
          <t>Day Hospitals</t>
        </is>
      </c>
      <c r="G514" s="11" t="inlineStr">
        <is>
          <t>New South Wales</t>
        </is>
      </c>
      <c r="H514" s="13" t="inlineStr"/>
      <c r="I514" s="11" t="inlineStr">
        <is>
          <t>Alexandria Specialist Day Hospital Pty Ltd</t>
        </is>
      </c>
      <c r="J514" s="14" t="n">
        <v>4.89</v>
      </c>
      <c r="K514" s="13" t="inlineStr">
        <is>
          <t>4.89</t>
        </is>
      </c>
      <c r="L514" s="12" t="n">
        <v>45949</v>
      </c>
      <c r="M514" s="12" t="n">
        <v>45761</v>
      </c>
      <c r="N514" s="13" t="inlineStr"/>
      <c r="O514" s="13" t="inlineStr"/>
      <c r="P514" s="12" t="n"/>
    </row>
    <row r="515" ht="52.8" customHeight="1">
      <c r="A515" s="15" t="n">
        <v>70009</v>
      </c>
      <c r="B515" s="16" t="n">
        <v>40385</v>
      </c>
      <c r="C515" s="15" t="inlineStr">
        <is>
          <t>Nurse Coordinator</t>
        </is>
      </c>
      <c r="D515" s="15" t="inlineStr">
        <is>
          <t>QLD Nurse EA</t>
        </is>
      </c>
      <c r="E515" s="15" t="inlineStr">
        <is>
          <t>PP - Part-time Waged</t>
        </is>
      </c>
      <c r="F515" s="15" t="inlineStr">
        <is>
          <t>Queensland Fertility Group</t>
        </is>
      </c>
      <c r="G515" s="15" t="inlineStr">
        <is>
          <t>Queensland</t>
        </is>
      </c>
      <c r="H515" s="17" t="inlineStr">
        <is>
          <t>30.40</t>
        </is>
      </c>
      <c r="I515" s="15" t="inlineStr">
        <is>
          <t>Queensland Fertility Group Pty Ltd</t>
        </is>
      </c>
      <c r="J515" s="18" t="n">
        <v>223.94</v>
      </c>
      <c r="K515" s="17" t="inlineStr">
        <is>
          <t>4.99</t>
        </is>
      </c>
      <c r="L515" s="16" t="n">
        <v>45949</v>
      </c>
      <c r="M515" s="16" t="n">
        <v>45864</v>
      </c>
      <c r="N515" s="17" t="inlineStr">
        <is>
          <t>218.95</t>
        </is>
      </c>
      <c r="O515" s="17" t="inlineStr"/>
      <c r="P515" s="16" t="n"/>
    </row>
    <row r="516" ht="66" customHeight="1">
      <c r="A516" s="11" t="inlineStr">
        <is>
          <t>AU23135</t>
        </is>
      </c>
      <c r="B516" s="12" t="n">
        <v>45362</v>
      </c>
      <c r="C516" s="11" t="inlineStr">
        <is>
          <t>Registered Nurse</t>
        </is>
      </c>
      <c r="D516" s="11" t="inlineStr">
        <is>
          <t>NSW Nurse EA</t>
        </is>
      </c>
      <c r="E516" s="11" t="inlineStr">
        <is>
          <t>CA - Casual</t>
        </is>
      </c>
      <c r="F516" s="11" t="inlineStr">
        <is>
          <t>Day Hospitals</t>
        </is>
      </c>
      <c r="G516" s="11" t="inlineStr">
        <is>
          <t>New South Wales</t>
        </is>
      </c>
      <c r="H516" s="13" t="inlineStr"/>
      <c r="I516" s="11" t="inlineStr">
        <is>
          <t>Alexandria Specialist Day Hospital Pty Ltd</t>
        </is>
      </c>
      <c r="J516" s="14" t="n">
        <v>5.02</v>
      </c>
      <c r="K516" s="13" t="inlineStr">
        <is>
          <t>5.02</t>
        </is>
      </c>
      <c r="L516" s="12" t="n">
        <v>45697</v>
      </c>
      <c r="M516" s="12" t="n">
        <v>45362</v>
      </c>
      <c r="N516" s="13" t="inlineStr"/>
      <c r="O516" s="13" t="inlineStr"/>
      <c r="P516" s="12" t="n"/>
    </row>
    <row r="517" ht="66" customHeight="1">
      <c r="A517" s="15" t="inlineStr">
        <is>
          <t>AU23377</t>
        </is>
      </c>
      <c r="B517" s="16" t="n">
        <v>45558</v>
      </c>
      <c r="C517" s="15" t="inlineStr">
        <is>
          <t>Registered Nurse</t>
        </is>
      </c>
      <c r="D517" s="15" t="inlineStr">
        <is>
          <t>NSW Nurse EA</t>
        </is>
      </c>
      <c r="E517" s="15" t="inlineStr">
        <is>
          <t>CA - Casual</t>
        </is>
      </c>
      <c r="F517" s="15" t="inlineStr">
        <is>
          <t>Day Hospitals</t>
        </is>
      </c>
      <c r="G517" s="15" t="inlineStr">
        <is>
          <t>New South Wales</t>
        </is>
      </c>
      <c r="H517" s="17" t="inlineStr"/>
      <c r="I517" s="15" t="inlineStr">
        <is>
          <t>North Shore Specialist Day Hospital Pty Ltd</t>
        </is>
      </c>
      <c r="J517" s="18" t="n">
        <v>5.03</v>
      </c>
      <c r="K517" s="17" t="inlineStr">
        <is>
          <t>5.03</t>
        </is>
      </c>
      <c r="L517" s="16" t="n">
        <v>45949</v>
      </c>
      <c r="M517" s="16" t="n">
        <v>45558</v>
      </c>
      <c r="N517" s="17" t="inlineStr"/>
      <c r="O517" s="17" t="inlineStr"/>
      <c r="P517" s="16" t="n"/>
    </row>
    <row r="518" ht="66" customHeight="1">
      <c r="A518" s="11" t="inlineStr">
        <is>
          <t>AU22995</t>
        </is>
      </c>
      <c r="B518" s="12" t="n">
        <v>45208</v>
      </c>
      <c r="C518" s="11" t="inlineStr">
        <is>
          <t>Registered Nurse</t>
        </is>
      </c>
      <c r="D518" s="11" t="inlineStr">
        <is>
          <t>NSW Nurse EA</t>
        </is>
      </c>
      <c r="E518" s="11" t="inlineStr">
        <is>
          <t>CA - Casual</t>
        </is>
      </c>
      <c r="F518" s="11" t="inlineStr">
        <is>
          <t>Day Hospitals</t>
        </is>
      </c>
      <c r="G518" s="11" t="inlineStr">
        <is>
          <t>New South Wales</t>
        </is>
      </c>
      <c r="H518" s="13" t="inlineStr"/>
      <c r="I518" s="11" t="inlineStr">
        <is>
          <t>Alexandria Specialist Day Hospital Pty Ltd</t>
        </is>
      </c>
      <c r="J518" s="14" t="n">
        <v>5.05</v>
      </c>
      <c r="K518" s="13" t="inlineStr">
        <is>
          <t>5.05</t>
        </is>
      </c>
      <c r="L518" s="12" t="n">
        <v>45907</v>
      </c>
      <c r="M518" s="12" t="n">
        <v>45208</v>
      </c>
      <c r="N518" s="13" t="inlineStr"/>
      <c r="O518" s="13" t="inlineStr"/>
      <c r="P518" s="12" t="n"/>
    </row>
    <row r="519" ht="39.6" customHeight="1">
      <c r="A519" s="15" t="n">
        <v>20467</v>
      </c>
      <c r="B519" s="16" t="n">
        <v>42247</v>
      </c>
      <c r="C519" s="15" t="inlineStr">
        <is>
          <t>Laboratory Supervisor</t>
        </is>
      </c>
      <c r="D519" s="15" t="inlineStr">
        <is>
          <t>Lab Supervisors Pay Policy</t>
        </is>
      </c>
      <c r="E519" s="15" t="inlineStr">
        <is>
          <t>FT - Full-time Waged</t>
        </is>
      </c>
      <c r="F519" s="15" t="inlineStr">
        <is>
          <t>IVFA</t>
        </is>
      </c>
      <c r="G519" s="15" t="inlineStr">
        <is>
          <t>New South Wales</t>
        </is>
      </c>
      <c r="H519" s="17" t="inlineStr">
        <is>
          <t>76.00</t>
        </is>
      </c>
      <c r="I519" s="15" t="inlineStr">
        <is>
          <t>IVF Australia Pty Ltd</t>
        </is>
      </c>
      <c r="J519" s="18" t="n">
        <v>279.9</v>
      </c>
      <c r="K519" s="17" t="inlineStr">
        <is>
          <t>5.07</t>
        </is>
      </c>
      <c r="L519" s="16" t="n">
        <v>45949</v>
      </c>
      <c r="M519" s="16" t="n">
        <v>45900</v>
      </c>
      <c r="N519" s="17" t="inlineStr">
        <is>
          <t>274.83</t>
        </is>
      </c>
      <c r="O519" s="17" t="inlineStr"/>
      <c r="P519" s="16" t="n"/>
    </row>
    <row r="520" ht="52.8" customHeight="1">
      <c r="A520" s="11" t="inlineStr">
        <is>
          <t>AU23748</t>
        </is>
      </c>
      <c r="B520" s="12" t="n">
        <v>45894</v>
      </c>
      <c r="C520" s="11" t="inlineStr">
        <is>
          <t>Senior Service Delivery Manager</t>
        </is>
      </c>
      <c r="D520" s="11" t="inlineStr">
        <is>
          <t>Common Law Employment Contract</t>
        </is>
      </c>
      <c r="E520" s="11" t="inlineStr">
        <is>
          <t>FP - Full-time Salaried</t>
        </is>
      </c>
      <c r="F520" s="11" t="inlineStr">
        <is>
          <t>Corporate Services</t>
        </is>
      </c>
      <c r="G520" s="11" t="inlineStr">
        <is>
          <t>Victoria</t>
        </is>
      </c>
      <c r="H520" s="13" t="inlineStr">
        <is>
          <t>76.00</t>
        </is>
      </c>
      <c r="I520" s="11" t="inlineStr">
        <is>
          <t>IVF Australia Pty Ltd</t>
        </is>
      </c>
      <c r="J520" s="14" t="n">
        <v>5.07</v>
      </c>
      <c r="K520" s="13" t="inlineStr">
        <is>
          <t>5.07</t>
        </is>
      </c>
      <c r="L520" s="12" t="n">
        <v>45949</v>
      </c>
      <c r="M520" s="12" t="n">
        <v>45894</v>
      </c>
      <c r="N520" s="13" t="inlineStr"/>
      <c r="O520" s="13" t="inlineStr"/>
      <c r="P520" s="12" t="n"/>
    </row>
    <row r="521" ht="79.2" customHeight="1">
      <c r="A521" s="15" t="inlineStr">
        <is>
          <t>AU23141</t>
        </is>
      </c>
      <c r="B521" s="16" t="n">
        <v>45376</v>
      </c>
      <c r="C521" s="15" t="inlineStr">
        <is>
          <t>Administration Assistant</t>
        </is>
      </c>
      <c r="D521" s="15" t="inlineStr">
        <is>
          <t>Health Professionals and Support Services Award</t>
        </is>
      </c>
      <c r="E521" s="15" t="inlineStr">
        <is>
          <t>CA - Casual</t>
        </is>
      </c>
      <c r="F521" s="15" t="inlineStr">
        <is>
          <t>Queensland Fertility Group</t>
        </is>
      </c>
      <c r="G521" s="15" t="inlineStr">
        <is>
          <t>Queensland</t>
        </is>
      </c>
      <c r="H521" s="17" t="inlineStr"/>
      <c r="I521" s="15" t="inlineStr">
        <is>
          <t>Queensland Fertility Group Pty Ltd</t>
        </is>
      </c>
      <c r="J521" s="18" t="n">
        <v>5.12</v>
      </c>
      <c r="K521" s="17" t="inlineStr">
        <is>
          <t>5.12</t>
        </is>
      </c>
      <c r="L521" s="16" t="n">
        <v>45949</v>
      </c>
      <c r="M521" s="16" t="n">
        <v>45376</v>
      </c>
      <c r="N521" s="17" t="inlineStr"/>
      <c r="O521" s="17" t="inlineStr"/>
      <c r="P521" s="16" t="n"/>
    </row>
    <row r="522" ht="52.8" customHeight="1">
      <c r="A522" s="11" t="inlineStr">
        <is>
          <t>AU23493</t>
        </is>
      </c>
      <c r="B522" s="12" t="n">
        <v>45670</v>
      </c>
      <c r="C522" s="11" t="inlineStr">
        <is>
          <t>Registered Nurse</t>
        </is>
      </c>
      <c r="D522" s="11" t="inlineStr">
        <is>
          <t>QLD Nurse EA</t>
        </is>
      </c>
      <c r="E522" s="11" t="inlineStr">
        <is>
          <t>CA - Casual</t>
        </is>
      </c>
      <c r="F522" s="11" t="inlineStr">
        <is>
          <t>Day Hospitals</t>
        </is>
      </c>
      <c r="G522" s="11" t="inlineStr">
        <is>
          <t>Queensland</t>
        </is>
      </c>
      <c r="H522" s="13" t="inlineStr"/>
      <c r="I522" s="11" t="inlineStr">
        <is>
          <t>Spring Hill Specialist Day Hospital</t>
        </is>
      </c>
      <c r="J522" s="14" t="n">
        <v>5.52</v>
      </c>
      <c r="K522" s="13" t="inlineStr">
        <is>
          <t>5.52</t>
        </is>
      </c>
      <c r="L522" s="12" t="n">
        <v>45949</v>
      </c>
      <c r="M522" s="12" t="n">
        <v>45005</v>
      </c>
      <c r="N522" s="13" t="inlineStr"/>
      <c r="O522" s="13" t="inlineStr"/>
      <c r="P522" s="12" t="n"/>
    </row>
    <row r="523" ht="52.8" customHeight="1">
      <c r="A523" s="15" t="inlineStr">
        <is>
          <t>AU23739</t>
        </is>
      </c>
      <c r="B523" s="16" t="n">
        <v>45873</v>
      </c>
      <c r="C523" s="15" t="inlineStr">
        <is>
          <t>Head of legal</t>
        </is>
      </c>
      <c r="D523" s="15" t="inlineStr">
        <is>
          <t>Common Law Employment Contract</t>
        </is>
      </c>
      <c r="E523" s="15" t="inlineStr">
        <is>
          <t>PT - Part-time Salary</t>
        </is>
      </c>
      <c r="F523" s="15" t="inlineStr">
        <is>
          <t>IVFA</t>
        </is>
      </c>
      <c r="G523" s="15" t="inlineStr">
        <is>
          <t>New South Wales</t>
        </is>
      </c>
      <c r="H523" s="17" t="inlineStr">
        <is>
          <t>60.80</t>
        </is>
      </c>
      <c r="I523" s="15" t="inlineStr">
        <is>
          <t>IVF Australia Pty Ltd</t>
        </is>
      </c>
      <c r="J523" s="18" t="n">
        <v>5.57</v>
      </c>
      <c r="K523" s="17" t="inlineStr">
        <is>
          <t>5.57</t>
        </is>
      </c>
      <c r="L523" s="16" t="n">
        <v>45949</v>
      </c>
      <c r="M523" s="16" t="n">
        <v>45873</v>
      </c>
      <c r="N523" s="17" t="inlineStr"/>
      <c r="O523" s="17" t="inlineStr"/>
      <c r="P523" s="16" t="n"/>
    </row>
    <row r="524" ht="66" customHeight="1">
      <c r="A524" s="11" t="inlineStr">
        <is>
          <t>AU23778</t>
        </is>
      </c>
      <c r="B524" s="12" t="n">
        <v>45888</v>
      </c>
      <c r="C524" s="11" t="inlineStr">
        <is>
          <t>HR &amp; Payroll Implementation Consultant</t>
        </is>
      </c>
      <c r="D524" s="11" t="inlineStr">
        <is>
          <t>Common Law Employment Contract</t>
        </is>
      </c>
      <c r="E524" s="11" t="inlineStr">
        <is>
          <t>CO - Contract</t>
        </is>
      </c>
      <c r="F524" s="11" t="inlineStr">
        <is>
          <t>Corporate Services</t>
        </is>
      </c>
      <c r="G524" s="11" t="inlineStr">
        <is>
          <t>New South Wales</t>
        </is>
      </c>
      <c r="H524" s="13" t="inlineStr">
        <is>
          <t>76.00</t>
        </is>
      </c>
      <c r="I524" s="11" t="inlineStr">
        <is>
          <t>IVF Australia Pty Ltd</t>
        </is>
      </c>
      <c r="J524" s="14" t="n">
        <v>5.57</v>
      </c>
      <c r="K524" s="13" t="inlineStr">
        <is>
          <t>5.57</t>
        </is>
      </c>
      <c r="L524" s="12" t="n">
        <v>45949</v>
      </c>
      <c r="M524" s="12" t="n">
        <v>45888</v>
      </c>
      <c r="N524" s="13" t="inlineStr"/>
      <c r="O524" s="13" t="inlineStr"/>
      <c r="P524" s="12" t="n"/>
    </row>
    <row r="525" ht="66" customHeight="1">
      <c r="A525" s="15" t="inlineStr">
        <is>
          <t>AU23096</t>
        </is>
      </c>
      <c r="B525" s="16" t="n">
        <v>45340</v>
      </c>
      <c r="C525" s="15" t="inlineStr">
        <is>
          <t>Assistant in Nursing</t>
        </is>
      </c>
      <c r="D525" s="15" t="inlineStr">
        <is>
          <t>NSW Nurse EA</t>
        </is>
      </c>
      <c r="E525" s="15" t="inlineStr">
        <is>
          <t>CA - Casual</t>
        </is>
      </c>
      <c r="F525" s="15" t="inlineStr">
        <is>
          <t>Day Hospitals</t>
        </is>
      </c>
      <c r="G525" s="15" t="inlineStr">
        <is>
          <t>New South Wales</t>
        </is>
      </c>
      <c r="H525" s="17" t="inlineStr"/>
      <c r="I525" s="15" t="inlineStr">
        <is>
          <t>Alexandria Specialist Day Hospital Pty Ltd</t>
        </is>
      </c>
      <c r="J525" s="18" t="n">
        <v>5.7</v>
      </c>
      <c r="K525" s="17" t="inlineStr">
        <is>
          <t>5.70</t>
        </is>
      </c>
      <c r="L525" s="16" t="n">
        <v>45767</v>
      </c>
      <c r="M525" s="16" t="n">
        <v>45340</v>
      </c>
      <c r="N525" s="17" t="inlineStr"/>
      <c r="O525" s="17" t="inlineStr"/>
      <c r="P525" s="16" t="n"/>
    </row>
    <row r="526" ht="52.8" customHeight="1">
      <c r="A526" s="11" t="inlineStr">
        <is>
          <t>AU23755</t>
        </is>
      </c>
      <c r="B526" s="12" t="n">
        <v>45887</v>
      </c>
      <c r="C526" s="11" t="inlineStr">
        <is>
          <t>Product Manager - Digital Experience</t>
        </is>
      </c>
      <c r="D526" s="11" t="inlineStr">
        <is>
          <t>Common Law Employment Contract</t>
        </is>
      </c>
      <c r="E526" s="11" t="inlineStr">
        <is>
          <t>FP - Full-time Salaried</t>
        </is>
      </c>
      <c r="F526" s="11" t="inlineStr">
        <is>
          <t>Corporate Services</t>
        </is>
      </c>
      <c r="G526" s="11" t="inlineStr">
        <is>
          <t>New South Wales</t>
        </is>
      </c>
      <c r="H526" s="13" t="inlineStr">
        <is>
          <t>76.00</t>
        </is>
      </c>
      <c r="I526" s="11" t="inlineStr">
        <is>
          <t>IVF Australia Pty Ltd</t>
        </is>
      </c>
      <c r="J526" s="14" t="n">
        <v>5.7</v>
      </c>
      <c r="K526" s="13" t="inlineStr">
        <is>
          <t>5.70</t>
        </is>
      </c>
      <c r="L526" s="12" t="n">
        <v>45949</v>
      </c>
      <c r="M526" s="12" t="n">
        <v>45887</v>
      </c>
      <c r="N526" s="13" t="inlineStr"/>
      <c r="O526" s="13" t="inlineStr"/>
      <c r="P526" s="12" t="n"/>
    </row>
    <row r="527" ht="52.8" customHeight="1">
      <c r="A527" s="15" t="n">
        <v>80024</v>
      </c>
      <c r="B527" s="16" t="n">
        <v>39678</v>
      </c>
      <c r="C527" s="15" t="inlineStr">
        <is>
          <t>Embryologist</t>
        </is>
      </c>
      <c r="D527" s="15" t="inlineStr">
        <is>
          <t>QLD Scientists EA</t>
        </is>
      </c>
      <c r="E527" s="15" t="inlineStr">
        <is>
          <t>PP - Part-time Waged</t>
        </is>
      </c>
      <c r="F527" s="15" t="inlineStr">
        <is>
          <t>Queensland Fertility Group</t>
        </is>
      </c>
      <c r="G527" s="15" t="inlineStr">
        <is>
          <t>Queensland</t>
        </is>
      </c>
      <c r="H527" s="17" t="inlineStr">
        <is>
          <t>45.60</t>
        </is>
      </c>
      <c r="I527" s="15" t="inlineStr">
        <is>
          <t>Queensland Fertility Group Pty Ltd</t>
        </is>
      </c>
      <c r="J527" s="18" t="n">
        <v>708.67</v>
      </c>
      <c r="K527" s="17" t="inlineStr">
        <is>
          <t>5.71</t>
        </is>
      </c>
      <c r="L527" s="16" t="n">
        <v>45949</v>
      </c>
      <c r="M527" s="16" t="n">
        <v>45887</v>
      </c>
      <c r="N527" s="17" t="inlineStr">
        <is>
          <t>702.96</t>
        </is>
      </c>
      <c r="O527" s="17" t="inlineStr"/>
      <c r="P527" s="16" t="n"/>
    </row>
    <row r="528" ht="66" customHeight="1">
      <c r="A528" s="11" t="n">
        <v>30101</v>
      </c>
      <c r="B528" s="12" t="n">
        <v>41122</v>
      </c>
      <c r="C528" s="11" t="inlineStr">
        <is>
          <t>Registered Nurse</t>
        </is>
      </c>
      <c r="D528" s="11" t="inlineStr">
        <is>
          <t>NSW Nurse EA</t>
        </is>
      </c>
      <c r="E528" s="11" t="inlineStr">
        <is>
          <t>CA - Casual</t>
        </is>
      </c>
      <c r="F528" s="11" t="inlineStr">
        <is>
          <t>Day Hospitals</t>
        </is>
      </c>
      <c r="G528" s="11" t="inlineStr">
        <is>
          <t>New South Wales</t>
        </is>
      </c>
      <c r="H528" s="13" t="inlineStr"/>
      <c r="I528" s="11" t="inlineStr">
        <is>
          <t>North Shore Specialist Day Hospital Pty Ltd</t>
        </is>
      </c>
      <c r="J528" s="14" t="n">
        <v>68.04000000000001</v>
      </c>
      <c r="K528" s="13" t="inlineStr">
        <is>
          <t>5.75</t>
        </is>
      </c>
      <c r="L528" s="12" t="n">
        <v>45907</v>
      </c>
      <c r="M528" s="12" t="n">
        <v>44774</v>
      </c>
      <c r="N528" s="13" t="inlineStr">
        <is>
          <t>62.29</t>
        </is>
      </c>
      <c r="O528" s="13" t="inlineStr"/>
      <c r="P528" s="12" t="n"/>
    </row>
    <row r="529" ht="52.8" customHeight="1">
      <c r="A529" s="15" t="inlineStr">
        <is>
          <t>AU23372</t>
        </is>
      </c>
      <c r="B529" s="16" t="n">
        <v>45558</v>
      </c>
      <c r="C529" s="15" t="inlineStr">
        <is>
          <t>Registered Nurse</t>
        </is>
      </c>
      <c r="D529" s="15" t="inlineStr">
        <is>
          <t>QLD Nurse EA</t>
        </is>
      </c>
      <c r="E529" s="15" t="inlineStr">
        <is>
          <t>CA - Casual</t>
        </is>
      </c>
      <c r="F529" s="15" t="inlineStr">
        <is>
          <t>Day Hospitals</t>
        </is>
      </c>
      <c r="G529" s="15" t="inlineStr">
        <is>
          <t>Queensland</t>
        </is>
      </c>
      <c r="H529" s="17" t="inlineStr"/>
      <c r="I529" s="15" t="inlineStr">
        <is>
          <t>Spring Hill Specialist Day Hospital</t>
        </is>
      </c>
      <c r="J529" s="18" t="n">
        <v>5.82</v>
      </c>
      <c r="K529" s="17" t="inlineStr">
        <is>
          <t>5.82</t>
        </is>
      </c>
      <c r="L529" s="16" t="n">
        <v>45949</v>
      </c>
      <c r="M529" s="16" t="n">
        <v>45558</v>
      </c>
      <c r="N529" s="17" t="inlineStr"/>
      <c r="O529" s="17" t="inlineStr"/>
      <c r="P529" s="16" t="n"/>
    </row>
    <row r="530" ht="66" customHeight="1">
      <c r="A530" s="11" t="inlineStr">
        <is>
          <t>AU23715</t>
        </is>
      </c>
      <c r="B530" s="12" t="n">
        <v>45842</v>
      </c>
      <c r="C530" s="11" t="inlineStr">
        <is>
          <t>Registered Nurse</t>
        </is>
      </c>
      <c r="D530" s="11" t="inlineStr">
        <is>
          <t>NSW Nurse EA</t>
        </is>
      </c>
      <c r="E530" s="11" t="inlineStr">
        <is>
          <t>PP - Part-time Waged</t>
        </is>
      </c>
      <c r="F530" s="11" t="inlineStr">
        <is>
          <t>Day Hospitals</t>
        </is>
      </c>
      <c r="G530" s="11" t="inlineStr">
        <is>
          <t>New South Wales</t>
        </is>
      </c>
      <c r="H530" s="13" t="inlineStr">
        <is>
          <t>48.00</t>
        </is>
      </c>
      <c r="I530" s="11" t="inlineStr">
        <is>
          <t>North Shore Specialist Day Hospital Pty Ltd</t>
        </is>
      </c>
      <c r="J530" s="14" t="n">
        <v>5.84</v>
      </c>
      <c r="K530" s="13" t="inlineStr">
        <is>
          <t>5.84</t>
        </is>
      </c>
      <c r="L530" s="12" t="n">
        <v>45949</v>
      </c>
      <c r="M530" s="12" t="n">
        <v>45842</v>
      </c>
      <c r="N530" s="13" t="inlineStr"/>
      <c r="O530" s="13" t="inlineStr"/>
      <c r="P530" s="12" t="n"/>
    </row>
    <row r="531" ht="66" customHeight="1">
      <c r="A531" s="15" t="inlineStr">
        <is>
          <t>AU22905</t>
        </is>
      </c>
      <c r="B531" s="16" t="n">
        <v>45117</v>
      </c>
      <c r="C531" s="15" t="inlineStr">
        <is>
          <t>Registered Nurse</t>
        </is>
      </c>
      <c r="D531" s="15" t="inlineStr">
        <is>
          <t>NSW Nurse EA</t>
        </is>
      </c>
      <c r="E531" s="15" t="inlineStr">
        <is>
          <t>CA - Casual</t>
        </is>
      </c>
      <c r="F531" s="15" t="inlineStr">
        <is>
          <t>Day Hospitals</t>
        </is>
      </c>
      <c r="G531" s="15" t="inlineStr">
        <is>
          <t>New South Wales</t>
        </is>
      </c>
      <c r="H531" s="17" t="inlineStr"/>
      <c r="I531" s="15" t="inlineStr">
        <is>
          <t>Alexandria Specialist Day Hospital Pty Ltd</t>
        </is>
      </c>
      <c r="J531" s="18" t="n">
        <v>6.05</v>
      </c>
      <c r="K531" s="17" t="inlineStr">
        <is>
          <t>6.05</t>
        </is>
      </c>
      <c r="L531" s="16" t="n">
        <v>45767</v>
      </c>
      <c r="M531" s="16" t="n">
        <v>45117</v>
      </c>
      <c r="N531" s="17" t="inlineStr"/>
      <c r="O531" s="17" t="inlineStr"/>
      <c r="P531" s="16" t="n"/>
    </row>
    <row r="532" ht="52.8" customHeight="1">
      <c r="A532" s="11" t="inlineStr">
        <is>
          <t>AU23398</t>
        </is>
      </c>
      <c r="B532" s="12" t="n">
        <v>45614</v>
      </c>
      <c r="C532" s="11" t="inlineStr">
        <is>
          <t>Pathologist - Immunology &amp; Genetics</t>
        </is>
      </c>
      <c r="D532" s="11" t="inlineStr">
        <is>
          <t>Common Law Employment Contract</t>
        </is>
      </c>
      <c r="E532" s="11" t="inlineStr">
        <is>
          <t>PT - Part-time Salary</t>
        </is>
      </c>
      <c r="F532" s="11" t="inlineStr">
        <is>
          <t>Diagnostics</t>
        </is>
      </c>
      <c r="G532" s="11" t="inlineStr">
        <is>
          <t>New South Wales</t>
        </is>
      </c>
      <c r="H532" s="13" t="inlineStr">
        <is>
          <t>15.20</t>
        </is>
      </c>
      <c r="I532" s="11" t="inlineStr">
        <is>
          <t>Virtus Health Specialist Diagnostics</t>
        </is>
      </c>
      <c r="J532" s="14" t="n">
        <v>6.08</v>
      </c>
      <c r="K532" s="13" t="inlineStr">
        <is>
          <t>6.08</t>
        </is>
      </c>
      <c r="L532" s="12" t="n">
        <v>45949</v>
      </c>
      <c r="M532" s="12" t="n">
        <v>45614</v>
      </c>
      <c r="N532" s="13" t="inlineStr"/>
      <c r="O532" s="13" t="inlineStr"/>
      <c r="P532" s="12" t="n"/>
    </row>
    <row r="533" ht="52.8" customHeight="1">
      <c r="A533" s="15" t="inlineStr">
        <is>
          <t>AU23694</t>
        </is>
      </c>
      <c r="B533" s="16" t="n">
        <v>45839</v>
      </c>
      <c r="C533" s="15" t="inlineStr">
        <is>
          <t>Internal Communication Manager</t>
        </is>
      </c>
      <c r="D533" s="15" t="inlineStr">
        <is>
          <t>Common Law Employment Contract</t>
        </is>
      </c>
      <c r="E533" s="15" t="inlineStr">
        <is>
          <t>PT - Part-time Salary</t>
        </is>
      </c>
      <c r="F533" s="15" t="inlineStr">
        <is>
          <t>Corporate Services</t>
        </is>
      </c>
      <c r="G533" s="15" t="inlineStr">
        <is>
          <t>Victoria</t>
        </is>
      </c>
      <c r="H533" s="17" t="inlineStr">
        <is>
          <t>45.60</t>
        </is>
      </c>
      <c r="I533" s="15" t="inlineStr">
        <is>
          <t>IVF Australia Pty Ltd</t>
        </is>
      </c>
      <c r="J533" s="18" t="n">
        <v>6.08</v>
      </c>
      <c r="K533" s="17" t="inlineStr">
        <is>
          <t>6.08</t>
        </is>
      </c>
      <c r="L533" s="16" t="n">
        <v>45949</v>
      </c>
      <c r="M533" s="16" t="n">
        <v>45839</v>
      </c>
      <c r="N533" s="17" t="inlineStr"/>
      <c r="O533" s="17" t="inlineStr"/>
      <c r="P533" s="16" t="n"/>
    </row>
    <row r="534" ht="39.6" customHeight="1">
      <c r="A534" s="11" t="inlineStr">
        <is>
          <t>AU23153</t>
        </is>
      </c>
      <c r="B534" s="12" t="n">
        <v>45386</v>
      </c>
      <c r="C534" s="11" t="inlineStr">
        <is>
          <t>CSSD Tech</t>
        </is>
      </c>
      <c r="D534" s="11" t="inlineStr">
        <is>
          <t>NSW Support Services EA</t>
        </is>
      </c>
      <c r="E534" s="11" t="inlineStr">
        <is>
          <t>CA - Casual</t>
        </is>
      </c>
      <c r="F534" s="11" t="inlineStr">
        <is>
          <t>Day Hospitals</t>
        </is>
      </c>
      <c r="G534" s="11" t="inlineStr">
        <is>
          <t>New South Wales</t>
        </is>
      </c>
      <c r="H534" s="13" t="inlineStr"/>
      <c r="I534" s="11" t="inlineStr">
        <is>
          <t>City West Day Surgery</t>
        </is>
      </c>
      <c r="J534" s="14" t="n">
        <v>6.1</v>
      </c>
      <c r="K534" s="13" t="inlineStr">
        <is>
          <t>6.10</t>
        </is>
      </c>
      <c r="L534" s="12" t="n">
        <v>45655</v>
      </c>
      <c r="M534" s="12" t="n">
        <v>45386</v>
      </c>
      <c r="N534" s="13" t="inlineStr"/>
      <c r="O534" s="13" t="inlineStr"/>
      <c r="P534" s="12" t="n"/>
    </row>
    <row r="535" ht="52.8" customHeight="1">
      <c r="A535" s="15" t="n">
        <v>70011</v>
      </c>
      <c r="B535" s="16" t="n">
        <v>39629</v>
      </c>
      <c r="C535" s="15" t="inlineStr">
        <is>
          <t>Embryologist</t>
        </is>
      </c>
      <c r="D535" s="15" t="inlineStr">
        <is>
          <t>QLD Scientists EA</t>
        </is>
      </c>
      <c r="E535" s="15" t="inlineStr">
        <is>
          <t>PP - Part-time Waged</t>
        </is>
      </c>
      <c r="F535" s="15" t="inlineStr">
        <is>
          <t>Queensland Fertility Group</t>
        </is>
      </c>
      <c r="G535" s="15" t="inlineStr">
        <is>
          <t>Queensland</t>
        </is>
      </c>
      <c r="H535" s="17" t="inlineStr">
        <is>
          <t>30.40</t>
        </is>
      </c>
      <c r="I535" s="15" t="inlineStr">
        <is>
          <t>Queensland Fertility Group Pty Ltd</t>
        </is>
      </c>
      <c r="J535" s="18" t="n">
        <v>79.61</v>
      </c>
      <c r="K535" s="17" t="inlineStr">
        <is>
          <t>6.22</t>
        </is>
      </c>
      <c r="L535" s="16" t="n">
        <v>45949</v>
      </c>
      <c r="M535" s="16" t="n">
        <v>45838</v>
      </c>
      <c r="N535" s="17" t="inlineStr">
        <is>
          <t>73.39</t>
        </is>
      </c>
      <c r="O535" s="17" t="inlineStr"/>
      <c r="P535" s="16" t="n"/>
    </row>
    <row r="536" ht="39.6" customHeight="1">
      <c r="A536" s="11" t="n">
        <v>40079</v>
      </c>
      <c r="B536" s="12" t="n">
        <v>42227</v>
      </c>
      <c r="C536" s="11" t="inlineStr">
        <is>
          <t>CSSD Tech</t>
        </is>
      </c>
      <c r="D536" s="11" t="inlineStr">
        <is>
          <t>NSW Support Services EA</t>
        </is>
      </c>
      <c r="E536" s="11" t="inlineStr">
        <is>
          <t>FT - Full-time Waged</t>
        </is>
      </c>
      <c r="F536" s="11" t="inlineStr">
        <is>
          <t>Day Hospitals</t>
        </is>
      </c>
      <c r="G536" s="11" t="inlineStr">
        <is>
          <t>New South Wales</t>
        </is>
      </c>
      <c r="H536" s="13" t="inlineStr">
        <is>
          <t>76.00</t>
        </is>
      </c>
      <c r="I536" s="11" t="inlineStr">
        <is>
          <t>City West Day Surgery</t>
        </is>
      </c>
      <c r="J536" s="14" t="n">
        <v>306.59</v>
      </c>
      <c r="K536" s="13" t="inlineStr">
        <is>
          <t>6.33</t>
        </is>
      </c>
      <c r="L536" s="12" t="n">
        <v>45949</v>
      </c>
      <c r="M536" s="12" t="n">
        <v>45880</v>
      </c>
      <c r="N536" s="13" t="inlineStr">
        <is>
          <t>300.26</t>
        </is>
      </c>
      <c r="O536" s="13" t="inlineStr"/>
      <c r="P536" s="12" t="n"/>
    </row>
    <row r="537" ht="52.8" customHeight="1">
      <c r="A537" s="15" t="inlineStr">
        <is>
          <t>AU23766</t>
        </is>
      </c>
      <c r="B537" s="16" t="n">
        <v>45880</v>
      </c>
      <c r="C537" s="15" t="inlineStr">
        <is>
          <t>Head of Commercial Finance</t>
        </is>
      </c>
      <c r="D537" s="15" t="inlineStr">
        <is>
          <t>Common Law Employment Contract</t>
        </is>
      </c>
      <c r="E537" s="15" t="inlineStr">
        <is>
          <t>CO - Contract</t>
        </is>
      </c>
      <c r="F537" s="15" t="inlineStr">
        <is>
          <t>Corporate Services</t>
        </is>
      </c>
      <c r="G537" s="15" t="inlineStr">
        <is>
          <t>New South Wales</t>
        </is>
      </c>
      <c r="H537" s="17" t="inlineStr">
        <is>
          <t>76.00</t>
        </is>
      </c>
      <c r="I537" s="15" t="inlineStr">
        <is>
          <t>IVF Australia Pty Ltd</t>
        </is>
      </c>
      <c r="J537" s="18" t="n">
        <v>6.33</v>
      </c>
      <c r="K537" s="17" t="inlineStr">
        <is>
          <t>6.33</t>
        </is>
      </c>
      <c r="L537" s="16" t="n">
        <v>45949</v>
      </c>
      <c r="M537" s="16" t="n">
        <v>45880</v>
      </c>
      <c r="N537" s="17" t="inlineStr"/>
      <c r="O537" s="17" t="inlineStr"/>
      <c r="P537" s="16" t="n"/>
    </row>
    <row r="538" ht="52.8" customHeight="1">
      <c r="A538" s="11" t="inlineStr">
        <is>
          <t>AU23768</t>
        </is>
      </c>
      <c r="B538" s="12" t="n">
        <v>45880</v>
      </c>
      <c r="C538" s="11" t="inlineStr">
        <is>
          <t>Head of Finance- QFG, VHSD</t>
        </is>
      </c>
      <c r="D538" s="11" t="inlineStr">
        <is>
          <t>Common Law Employment Contract</t>
        </is>
      </c>
      <c r="E538" s="11" t="inlineStr">
        <is>
          <t>CO - Contract</t>
        </is>
      </c>
      <c r="F538" s="11" t="inlineStr">
        <is>
          <t>Queensland Fertility Group</t>
        </is>
      </c>
      <c r="G538" s="11" t="inlineStr">
        <is>
          <t>Queensland</t>
        </is>
      </c>
      <c r="H538" s="13" t="inlineStr">
        <is>
          <t>76.00</t>
        </is>
      </c>
      <c r="I538" s="11" t="inlineStr">
        <is>
          <t>Queensland Fertility Group Pty Ltd</t>
        </is>
      </c>
      <c r="J538" s="14" t="n">
        <v>6.33</v>
      </c>
      <c r="K538" s="13" t="inlineStr">
        <is>
          <t>6.33</t>
        </is>
      </c>
      <c r="L538" s="12" t="n">
        <v>45949</v>
      </c>
      <c r="M538" s="12" t="n">
        <v>45880</v>
      </c>
      <c r="N538" s="13" t="inlineStr"/>
      <c r="O538" s="13" t="inlineStr"/>
      <c r="P538" s="12" t="n"/>
    </row>
    <row r="539" ht="52.8" customHeight="1">
      <c r="A539" s="15" t="inlineStr">
        <is>
          <t>AU23764</t>
        </is>
      </c>
      <c r="B539" s="16" t="n">
        <v>45880</v>
      </c>
      <c r="C539" s="15" t="inlineStr">
        <is>
          <t>Chief People Officer</t>
        </is>
      </c>
      <c r="D539" s="15" t="inlineStr">
        <is>
          <t>Common Law Employment Contract</t>
        </is>
      </c>
      <c r="E539" s="15" t="inlineStr">
        <is>
          <t>CO - Contract</t>
        </is>
      </c>
      <c r="F539" s="15" t="inlineStr">
        <is>
          <t>Corporate Services</t>
        </is>
      </c>
      <c r="G539" s="15" t="inlineStr">
        <is>
          <t>Victoria</t>
        </is>
      </c>
      <c r="H539" s="17" t="inlineStr">
        <is>
          <t>76.00</t>
        </is>
      </c>
      <c r="I539" s="15" t="inlineStr">
        <is>
          <t>IVF Australia Pty Ltd</t>
        </is>
      </c>
      <c r="J539" s="18" t="n">
        <v>6.35</v>
      </c>
      <c r="K539" s="17" t="inlineStr">
        <is>
          <t>6.35</t>
        </is>
      </c>
      <c r="L539" s="16" t="n">
        <v>45949</v>
      </c>
      <c r="M539" s="16" t="n">
        <v>45880</v>
      </c>
      <c r="N539" s="17" t="inlineStr"/>
      <c r="O539" s="17" t="inlineStr"/>
      <c r="P539" s="16" t="n"/>
    </row>
    <row r="540" ht="39.6" customHeight="1">
      <c r="A540" s="11" t="n">
        <v>20176</v>
      </c>
      <c r="B540" s="12" t="n">
        <v>40028</v>
      </c>
      <c r="C540" s="11" t="inlineStr">
        <is>
          <t>Registered Nurse</t>
        </is>
      </c>
      <c r="D540" s="11" t="inlineStr">
        <is>
          <t>NSW Nurse EA</t>
        </is>
      </c>
      <c r="E540" s="11" t="inlineStr">
        <is>
          <t>PP - Part-time Waged</t>
        </is>
      </c>
      <c r="F540" s="11" t="inlineStr">
        <is>
          <t>IVFA</t>
        </is>
      </c>
      <c r="G540" s="11" t="inlineStr">
        <is>
          <t>Queensland</t>
        </is>
      </c>
      <c r="H540" s="13" t="inlineStr">
        <is>
          <t>64.00</t>
        </is>
      </c>
      <c r="I540" s="11" t="inlineStr">
        <is>
          <t>IVF Australia Pty Ltd</t>
        </is>
      </c>
      <c r="J540" s="14" t="n">
        <v>180.4</v>
      </c>
      <c r="K540" s="13" t="inlineStr">
        <is>
          <t>6.40</t>
        </is>
      </c>
      <c r="L540" s="12" t="n">
        <v>45949</v>
      </c>
      <c r="M540" s="12" t="n">
        <v>45872</v>
      </c>
      <c r="N540" s="13" t="inlineStr">
        <is>
          <t>174.00</t>
        </is>
      </c>
      <c r="O540" s="13" t="inlineStr"/>
      <c r="P540" s="12" t="n"/>
    </row>
    <row r="541" ht="39.6" customHeight="1">
      <c r="A541" s="15" t="n">
        <v>100029</v>
      </c>
      <c r="B541" s="16" t="n">
        <v>43235</v>
      </c>
      <c r="C541" s="15" t="inlineStr">
        <is>
          <t>Counsellor</t>
        </is>
      </c>
      <c r="D541" s="15" t="inlineStr">
        <is>
          <t>NSW Counsellor EA</t>
        </is>
      </c>
      <c r="E541" s="15" t="inlineStr">
        <is>
          <t>PP - Part-time Waged</t>
        </is>
      </c>
      <c r="F541" s="15" t="inlineStr">
        <is>
          <t>IVFA</t>
        </is>
      </c>
      <c r="G541" s="15" t="inlineStr">
        <is>
          <t>Australian Capital Territory</t>
        </is>
      </c>
      <c r="H541" s="17" t="inlineStr">
        <is>
          <t>32.00</t>
        </is>
      </c>
      <c r="I541" s="15" t="inlineStr">
        <is>
          <t>IVF Australia Pty Ltd</t>
        </is>
      </c>
      <c r="J541" s="18" t="n">
        <v>80.59999999999999</v>
      </c>
      <c r="K541" s="17" t="inlineStr">
        <is>
          <t>6.41</t>
        </is>
      </c>
      <c r="L541" s="16" t="n">
        <v>45949</v>
      </c>
      <c r="M541" s="16" t="n">
        <v>45792</v>
      </c>
      <c r="N541" s="17" t="inlineStr">
        <is>
          <t>74.19</t>
        </is>
      </c>
      <c r="O541" s="17" t="inlineStr"/>
      <c r="P541" s="16" t="n"/>
    </row>
    <row r="542" ht="66" customHeight="1">
      <c r="A542" s="11" t="inlineStr">
        <is>
          <t>AU22950</t>
        </is>
      </c>
      <c r="B542" s="12" t="n">
        <v>45142</v>
      </c>
      <c r="C542" s="11" t="inlineStr">
        <is>
          <t>Registered Nurse</t>
        </is>
      </c>
      <c r="D542" s="11" t="inlineStr">
        <is>
          <t>NSW Nurse EA</t>
        </is>
      </c>
      <c r="E542" s="11" t="inlineStr">
        <is>
          <t>CA - Casual</t>
        </is>
      </c>
      <c r="F542" s="11" t="inlineStr">
        <is>
          <t>Day Hospitals</t>
        </is>
      </c>
      <c r="G542" s="11" t="inlineStr">
        <is>
          <t>New South Wales</t>
        </is>
      </c>
      <c r="H542" s="13" t="inlineStr"/>
      <c r="I542" s="11" t="inlineStr">
        <is>
          <t>Alexandria Specialist Day Hospital Pty Ltd</t>
        </is>
      </c>
      <c r="J542" s="14" t="n">
        <v>6.63</v>
      </c>
      <c r="K542" s="13" t="inlineStr">
        <is>
          <t>6.63</t>
        </is>
      </c>
      <c r="L542" s="12" t="n">
        <v>45935</v>
      </c>
      <c r="M542" s="12" t="n">
        <v>45142</v>
      </c>
      <c r="N542" s="13" t="inlineStr"/>
      <c r="O542" s="13" t="inlineStr"/>
      <c r="P542" s="12" t="n"/>
    </row>
    <row r="543" ht="66" customHeight="1">
      <c r="A543" s="15" t="inlineStr">
        <is>
          <t>AU23548</t>
        </is>
      </c>
      <c r="B543" s="16" t="n">
        <v>45719</v>
      </c>
      <c r="C543" s="15" t="inlineStr">
        <is>
          <t>Administration Assistant</t>
        </is>
      </c>
      <c r="D543" s="15" t="inlineStr">
        <is>
          <t>NSW Support Services EA</t>
        </is>
      </c>
      <c r="E543" s="15" t="inlineStr">
        <is>
          <t>CA - Casual</t>
        </is>
      </c>
      <c r="F543" s="15" t="inlineStr">
        <is>
          <t>Day Hospitals</t>
        </is>
      </c>
      <c r="G543" s="15" t="inlineStr">
        <is>
          <t>New South Wales</t>
        </is>
      </c>
      <c r="H543" s="17" t="inlineStr"/>
      <c r="I543" s="15" t="inlineStr">
        <is>
          <t>Alexandria Specialist Day Hospital Pty Ltd</t>
        </is>
      </c>
      <c r="J543" s="18" t="n">
        <v>6.68</v>
      </c>
      <c r="K543" s="17" t="inlineStr">
        <is>
          <t>6.68</t>
        </is>
      </c>
      <c r="L543" s="16" t="n">
        <v>45949</v>
      </c>
      <c r="M543" s="16" t="n">
        <v>45719</v>
      </c>
      <c r="N543" s="17" t="inlineStr"/>
      <c r="O543" s="17" t="inlineStr"/>
      <c r="P543" s="16" t="n"/>
    </row>
    <row r="544" ht="79.2" customHeight="1">
      <c r="A544" s="11" t="inlineStr">
        <is>
          <t>AU23512</t>
        </is>
      </c>
      <c r="B544" s="12" t="n">
        <v>45705</v>
      </c>
      <c r="C544" s="11" t="inlineStr">
        <is>
          <t>Phlebotomist</t>
        </is>
      </c>
      <c r="D544" s="11" t="inlineStr">
        <is>
          <t>Health Professionals and Support Services Award</t>
        </is>
      </c>
      <c r="E544" s="11" t="inlineStr">
        <is>
          <t>CA - Casual</t>
        </is>
      </c>
      <c r="F544" s="11" t="inlineStr">
        <is>
          <t>Queensland Fertility Group</t>
        </is>
      </c>
      <c r="G544" s="11" t="inlineStr">
        <is>
          <t>Queensland</t>
        </is>
      </c>
      <c r="H544" s="13" t="inlineStr"/>
      <c r="I544" s="11" t="inlineStr">
        <is>
          <t>Queensland Fertility Group Pty Ltd</t>
        </is>
      </c>
      <c r="J544" s="14" t="n">
        <v>6.73</v>
      </c>
      <c r="K544" s="13" t="inlineStr">
        <is>
          <t>6.73</t>
        </is>
      </c>
      <c r="L544" s="12" t="n">
        <v>45949</v>
      </c>
      <c r="M544" s="12" t="n">
        <v>45705</v>
      </c>
      <c r="N544" s="13" t="inlineStr"/>
      <c r="O544" s="13" t="inlineStr"/>
      <c r="P544" s="12" t="n"/>
    </row>
    <row r="545" ht="66" customHeight="1">
      <c r="A545" s="15" t="inlineStr">
        <is>
          <t>AU22730</t>
        </is>
      </c>
      <c r="B545" s="16" t="n">
        <v>44946</v>
      </c>
      <c r="C545" s="15" t="inlineStr">
        <is>
          <t>Registered Nurse</t>
        </is>
      </c>
      <c r="D545" s="15" t="inlineStr">
        <is>
          <t>NSW Nurse EA</t>
        </is>
      </c>
      <c r="E545" s="15" t="inlineStr">
        <is>
          <t>CA - Casual</t>
        </is>
      </c>
      <c r="F545" s="15" t="inlineStr">
        <is>
          <t>Day Hospitals</t>
        </is>
      </c>
      <c r="G545" s="15" t="inlineStr">
        <is>
          <t>New South Wales</t>
        </is>
      </c>
      <c r="H545" s="17" t="inlineStr"/>
      <c r="I545" s="15" t="inlineStr">
        <is>
          <t>Alexandria Specialist Day Hospital Pty Ltd</t>
        </is>
      </c>
      <c r="J545" s="18" t="n">
        <v>6.75</v>
      </c>
      <c r="K545" s="17" t="inlineStr">
        <is>
          <t>6.75</t>
        </is>
      </c>
      <c r="L545" s="16" t="n">
        <v>45543</v>
      </c>
      <c r="M545" s="16" t="n">
        <v>44946</v>
      </c>
      <c r="N545" s="17" t="inlineStr"/>
      <c r="O545" s="17" t="inlineStr"/>
      <c r="P545" s="16" t="n"/>
    </row>
    <row r="546" ht="79.2" customHeight="1">
      <c r="A546" s="11" t="inlineStr">
        <is>
          <t>AU23592</t>
        </is>
      </c>
      <c r="B546" s="12" t="n">
        <v>45754</v>
      </c>
      <c r="C546" s="11" t="inlineStr">
        <is>
          <t>Theatre Orderly</t>
        </is>
      </c>
      <c r="D546" s="11" t="inlineStr">
        <is>
          <t>Health Professionals and Support Services Award</t>
        </is>
      </c>
      <c r="E546" s="11" t="inlineStr">
        <is>
          <t>CA - Casual</t>
        </is>
      </c>
      <c r="F546" s="11" t="inlineStr">
        <is>
          <t>Day Hospitals</t>
        </is>
      </c>
      <c r="G546" s="11" t="inlineStr">
        <is>
          <t>Queensland</t>
        </is>
      </c>
      <c r="H546" s="13" t="inlineStr"/>
      <c r="I546" s="11" t="inlineStr">
        <is>
          <t>Spring Hill Specialist Day Hospital</t>
        </is>
      </c>
      <c r="J546" s="14" t="n">
        <v>6.78</v>
      </c>
      <c r="K546" s="13" t="inlineStr">
        <is>
          <t>6.78</t>
        </is>
      </c>
      <c r="L546" s="12" t="n">
        <v>45949</v>
      </c>
      <c r="M546" s="12" t="n">
        <v>45754</v>
      </c>
      <c r="N546" s="13" t="inlineStr"/>
      <c r="O546" s="13" t="inlineStr"/>
      <c r="P546" s="12" t="n"/>
    </row>
    <row r="547" ht="39.6" customHeight="1">
      <c r="A547" s="15" t="inlineStr">
        <is>
          <t>AU23636</t>
        </is>
      </c>
      <c r="B547" s="16" t="n">
        <v>45796</v>
      </c>
      <c r="C547" s="15" t="inlineStr">
        <is>
          <t>Medical Secretary</t>
        </is>
      </c>
      <c r="D547" s="15" t="inlineStr">
        <is>
          <t>NSW Support Services EA</t>
        </is>
      </c>
      <c r="E547" s="15" t="inlineStr">
        <is>
          <t>CO - Contract</t>
        </is>
      </c>
      <c r="F547" s="15" t="inlineStr">
        <is>
          <t>IVFA</t>
        </is>
      </c>
      <c r="G547" s="15" t="inlineStr">
        <is>
          <t>New South Wales</t>
        </is>
      </c>
      <c r="H547" s="17" t="inlineStr">
        <is>
          <t>30.00</t>
        </is>
      </c>
      <c r="I547" s="15" t="inlineStr">
        <is>
          <t>IVF Australia Pty Ltd</t>
        </is>
      </c>
      <c r="J547" s="18" t="n">
        <v>6.83</v>
      </c>
      <c r="K547" s="17" t="inlineStr">
        <is>
          <t>6.83</t>
        </is>
      </c>
      <c r="L547" s="16" t="n">
        <v>45949</v>
      </c>
      <c r="M547" s="16" t="n">
        <v>45796</v>
      </c>
      <c r="N547" s="17" t="inlineStr"/>
      <c r="O547" s="17" t="inlineStr"/>
      <c r="P547" s="16" t="n"/>
    </row>
    <row r="548" ht="52.8" customHeight="1">
      <c r="A548" s="11" t="inlineStr">
        <is>
          <t>AU23471</t>
        </is>
      </c>
      <c r="B548" s="12" t="n">
        <v>45663</v>
      </c>
      <c r="C548" s="11" t="inlineStr">
        <is>
          <t>Registered Nurse</t>
        </is>
      </c>
      <c r="D548" s="11" t="inlineStr">
        <is>
          <t>QLD Nurse EA</t>
        </is>
      </c>
      <c r="E548" s="11" t="inlineStr">
        <is>
          <t>CA - Casual</t>
        </is>
      </c>
      <c r="F548" s="11" t="inlineStr">
        <is>
          <t>Day Hospitals</t>
        </is>
      </c>
      <c r="G548" s="11" t="inlineStr">
        <is>
          <t>Queensland</t>
        </is>
      </c>
      <c r="H548" s="13" t="inlineStr"/>
      <c r="I548" s="11" t="inlineStr">
        <is>
          <t>Spring Hill Specialist Day Hospital</t>
        </is>
      </c>
      <c r="J548" s="14" t="n">
        <v>6.84</v>
      </c>
      <c r="K548" s="13" t="inlineStr">
        <is>
          <t>6.84</t>
        </is>
      </c>
      <c r="L548" s="12" t="n">
        <v>45949</v>
      </c>
      <c r="M548" s="12" t="n">
        <v>45663</v>
      </c>
      <c r="N548" s="13" t="inlineStr"/>
      <c r="O548" s="13" t="inlineStr"/>
      <c r="P548" s="12" t="n"/>
    </row>
    <row r="549" ht="79.2" customHeight="1">
      <c r="A549" s="15" t="inlineStr">
        <is>
          <t>AU23468</t>
        </is>
      </c>
      <c r="B549" s="16" t="n">
        <v>45707</v>
      </c>
      <c r="C549" s="15" t="inlineStr">
        <is>
          <t>Theatre Orderly</t>
        </is>
      </c>
      <c r="D549" s="15" t="inlineStr">
        <is>
          <t>Health Professionals and Support Services Award</t>
        </is>
      </c>
      <c r="E549" s="15" t="inlineStr">
        <is>
          <t>CA - Casual</t>
        </is>
      </c>
      <c r="F549" s="15" t="inlineStr">
        <is>
          <t>Day Hospitals</t>
        </is>
      </c>
      <c r="G549" s="15" t="inlineStr">
        <is>
          <t>Queensland</t>
        </is>
      </c>
      <c r="H549" s="17" t="inlineStr"/>
      <c r="I549" s="15" t="inlineStr">
        <is>
          <t>Spring Hill Specialist Day Hospital</t>
        </is>
      </c>
      <c r="J549" s="18" t="n">
        <v>6.86</v>
      </c>
      <c r="K549" s="17" t="inlineStr">
        <is>
          <t>6.86</t>
        </is>
      </c>
      <c r="L549" s="16" t="n">
        <v>45949</v>
      </c>
      <c r="M549" s="16" t="n">
        <v>45707</v>
      </c>
      <c r="N549" s="17" t="inlineStr"/>
      <c r="O549" s="17" t="inlineStr"/>
      <c r="P549" s="16" t="n"/>
    </row>
    <row r="550" ht="52.8" customHeight="1">
      <c r="A550" s="11" t="inlineStr">
        <is>
          <t>AU23738</t>
        </is>
      </c>
      <c r="B550" s="12" t="n">
        <v>45873</v>
      </c>
      <c r="C550" s="11" t="inlineStr">
        <is>
          <t>Technology Support Engineer</t>
        </is>
      </c>
      <c r="D550" s="11" t="inlineStr">
        <is>
          <t>Common Law Employment Contract</t>
        </is>
      </c>
      <c r="E550" s="11" t="inlineStr">
        <is>
          <t>FP - Full-time Salaried</t>
        </is>
      </c>
      <c r="F550" s="11" t="inlineStr">
        <is>
          <t>Corporate Services</t>
        </is>
      </c>
      <c r="G550" s="11" t="inlineStr">
        <is>
          <t>New South Wales</t>
        </is>
      </c>
      <c r="H550" s="13" t="inlineStr">
        <is>
          <t>76.00</t>
        </is>
      </c>
      <c r="I550" s="11" t="inlineStr">
        <is>
          <t>IVF Australia Pty Ltd</t>
        </is>
      </c>
      <c r="J550" s="14" t="n">
        <v>6.97</v>
      </c>
      <c r="K550" s="13" t="inlineStr">
        <is>
          <t>6.97</t>
        </is>
      </c>
      <c r="L550" s="12" t="n">
        <v>45949</v>
      </c>
      <c r="M550" s="12" t="n">
        <v>45873</v>
      </c>
      <c r="N550" s="13" t="inlineStr"/>
      <c r="O550" s="13" t="inlineStr"/>
      <c r="P550" s="12" t="n"/>
    </row>
    <row r="551" ht="39.6" customHeight="1">
      <c r="A551" s="15" t="inlineStr">
        <is>
          <t>AU23449</t>
        </is>
      </c>
      <c r="B551" s="16" t="n">
        <v>45600</v>
      </c>
      <c r="C551" s="15" t="inlineStr">
        <is>
          <t>Administration Clerk</t>
        </is>
      </c>
      <c r="D551" s="15" t="inlineStr">
        <is>
          <t>NSW Support Services EA</t>
        </is>
      </c>
      <c r="E551" s="15" t="inlineStr">
        <is>
          <t>CA - Casual</t>
        </is>
      </c>
      <c r="F551" s="15" t="inlineStr">
        <is>
          <t>Day Hospitals</t>
        </is>
      </c>
      <c r="G551" s="15" t="inlineStr">
        <is>
          <t>New South Wales</t>
        </is>
      </c>
      <c r="H551" s="17" t="inlineStr"/>
      <c r="I551" s="15" t="inlineStr">
        <is>
          <t>City West Day Surgery</t>
        </is>
      </c>
      <c r="J551" s="18" t="n">
        <v>58.83</v>
      </c>
      <c r="K551" s="17" t="inlineStr">
        <is>
          <t>7.04</t>
        </is>
      </c>
      <c r="L551" s="16" t="n">
        <v>45949</v>
      </c>
      <c r="M551" s="16" t="n">
        <v>44182</v>
      </c>
      <c r="N551" s="17" t="inlineStr">
        <is>
          <t>51.79</t>
        </is>
      </c>
      <c r="O551" s="17" t="inlineStr"/>
      <c r="P551" s="16" t="n"/>
    </row>
    <row r="552" ht="39.6" customHeight="1">
      <c r="A552" s="11" t="n">
        <v>20038</v>
      </c>
      <c r="B552" s="12" t="n">
        <v>38154</v>
      </c>
      <c r="C552" s="11" t="inlineStr">
        <is>
          <t>Patient Support Officer</t>
        </is>
      </c>
      <c r="D552" s="11" t="inlineStr">
        <is>
          <t>NSW Support Services EA</t>
        </is>
      </c>
      <c r="E552" s="11" t="inlineStr">
        <is>
          <t>PP - Part-time Waged</t>
        </is>
      </c>
      <c r="F552" s="11" t="inlineStr">
        <is>
          <t>IVFA</t>
        </is>
      </c>
      <c r="G552" s="11" t="inlineStr">
        <is>
          <t>New South Wales</t>
        </is>
      </c>
      <c r="H552" s="13" t="inlineStr">
        <is>
          <t>47.00</t>
        </is>
      </c>
      <c r="I552" s="11" t="inlineStr">
        <is>
          <t>IVF Australia Pty Ltd</t>
        </is>
      </c>
      <c r="J552" s="14" t="n">
        <v>375.06</v>
      </c>
      <c r="K552" s="13" t="inlineStr">
        <is>
          <t>7.06</t>
        </is>
      </c>
      <c r="L552" s="12" t="n">
        <v>45949</v>
      </c>
      <c r="M552" s="12" t="n">
        <v>45824</v>
      </c>
      <c r="N552" s="13" t="inlineStr">
        <is>
          <t>368.00</t>
        </is>
      </c>
      <c r="O552" s="13" t="inlineStr"/>
      <c r="P552" s="12" t="n"/>
    </row>
    <row r="553" ht="52.8" customHeight="1">
      <c r="A553" s="15" t="inlineStr">
        <is>
          <t>AU23498</t>
        </is>
      </c>
      <c r="B553" s="16" t="n">
        <v>45684</v>
      </c>
      <c r="C553" s="15" t="inlineStr">
        <is>
          <t>Laboratory Assistant</t>
        </is>
      </c>
      <c r="D553" s="15" t="inlineStr">
        <is>
          <t>QLD Scientists EA</t>
        </is>
      </c>
      <c r="E553" s="15" t="inlineStr">
        <is>
          <t>CO - Contract</t>
        </is>
      </c>
      <c r="F553" s="15" t="inlineStr">
        <is>
          <t>Queensland Fertility Group</t>
        </is>
      </c>
      <c r="G553" s="15" t="inlineStr">
        <is>
          <t>Queensland</t>
        </is>
      </c>
      <c r="H553" s="17" t="inlineStr">
        <is>
          <t>16.00</t>
        </is>
      </c>
      <c r="I553" s="15" t="inlineStr">
        <is>
          <t>Queensland Fertility Group Pty Ltd</t>
        </is>
      </c>
      <c r="J553" s="18" t="n">
        <v>7.1</v>
      </c>
      <c r="K553" s="17" t="inlineStr">
        <is>
          <t>7.10</t>
        </is>
      </c>
      <c r="L553" s="16" t="n">
        <v>45949</v>
      </c>
      <c r="M553" s="16" t="n">
        <v>45684</v>
      </c>
      <c r="N553" s="17" t="inlineStr"/>
      <c r="O553" s="17" t="inlineStr"/>
      <c r="P553" s="16" t="n"/>
    </row>
    <row r="554" ht="39.6" customHeight="1">
      <c r="A554" s="11" t="n">
        <v>19808</v>
      </c>
      <c r="B554" s="12" t="n">
        <v>38096</v>
      </c>
      <c r="C554" s="11" t="inlineStr">
        <is>
          <t>Counsellor</t>
        </is>
      </c>
      <c r="D554" s="11" t="inlineStr">
        <is>
          <t>NSW Counsellor EA</t>
        </is>
      </c>
      <c r="E554" s="11" t="inlineStr">
        <is>
          <t>PP - Part-time Waged</t>
        </is>
      </c>
      <c r="F554" s="11" t="inlineStr">
        <is>
          <t>IVFA</t>
        </is>
      </c>
      <c r="G554" s="11" t="inlineStr">
        <is>
          <t>New South Wales</t>
        </is>
      </c>
      <c r="H554" s="13" t="inlineStr">
        <is>
          <t>32.00</t>
        </is>
      </c>
      <c r="I554" s="11" t="inlineStr">
        <is>
          <t>IVF Australia Pty Ltd</t>
        </is>
      </c>
      <c r="J554" s="14" t="n">
        <v>53.91</v>
      </c>
      <c r="K554" s="13" t="inlineStr">
        <is>
          <t>7.13</t>
        </is>
      </c>
      <c r="L554" s="12" t="n">
        <v>45949</v>
      </c>
      <c r="M554" s="12" t="n">
        <v>45766</v>
      </c>
      <c r="N554" s="13" t="inlineStr">
        <is>
          <t>46.78</t>
        </is>
      </c>
      <c r="O554" s="13" t="inlineStr"/>
      <c r="P554" s="12" t="n"/>
    </row>
    <row r="555" ht="79.2" customHeight="1">
      <c r="A555" s="15" t="inlineStr">
        <is>
          <t>AU23604</t>
        </is>
      </c>
      <c r="B555" s="16" t="n">
        <v>45758</v>
      </c>
      <c r="C555" s="15" t="inlineStr">
        <is>
          <t>CSSD Tech</t>
        </is>
      </c>
      <c r="D555" s="15" t="inlineStr">
        <is>
          <t>Health Professionals and Support Services Award</t>
        </is>
      </c>
      <c r="E555" s="15" t="inlineStr">
        <is>
          <t>PP - Part-time Waged</t>
        </is>
      </c>
      <c r="F555" s="15" t="inlineStr">
        <is>
          <t>Day Hospitals</t>
        </is>
      </c>
      <c r="G555" s="15" t="inlineStr">
        <is>
          <t>Queensland</t>
        </is>
      </c>
      <c r="H555" s="17" t="inlineStr">
        <is>
          <t>32.00</t>
        </is>
      </c>
      <c r="I555" s="15" t="inlineStr">
        <is>
          <t>Spring Hill Specialist Day Hospital</t>
        </is>
      </c>
      <c r="J555" s="18" t="n">
        <v>7.18</v>
      </c>
      <c r="K555" s="17" t="inlineStr">
        <is>
          <t>7.18</t>
        </is>
      </c>
      <c r="L555" s="16" t="n">
        <v>45949</v>
      </c>
      <c r="M555" s="16" t="n">
        <v>45758</v>
      </c>
      <c r="N555" s="17" t="inlineStr"/>
      <c r="O555" s="17" t="inlineStr"/>
      <c r="P555" s="16" t="n"/>
    </row>
    <row r="556" ht="66" customHeight="1">
      <c r="A556" s="11" t="inlineStr">
        <is>
          <t>AU23840</t>
        </is>
      </c>
      <c r="B556" s="12" t="n">
        <v>45922</v>
      </c>
      <c r="C556" s="11" t="inlineStr">
        <is>
          <t>Assistant in Nursing</t>
        </is>
      </c>
      <c r="D556" s="11" t="inlineStr">
        <is>
          <t>NSW Nurse EA</t>
        </is>
      </c>
      <c r="E556" s="11" t="inlineStr">
        <is>
          <t>PP - Part-time Waged</t>
        </is>
      </c>
      <c r="F556" s="11" t="inlineStr">
        <is>
          <t>Day Hospitals</t>
        </is>
      </c>
      <c r="G556" s="11" t="inlineStr">
        <is>
          <t>New South Wales</t>
        </is>
      </c>
      <c r="H556" s="13" t="inlineStr">
        <is>
          <t>14.00</t>
        </is>
      </c>
      <c r="I556" s="11" t="inlineStr">
        <is>
          <t>Alexandria Specialist Day Hospital Pty Ltd</t>
        </is>
      </c>
      <c r="J556" s="14" t="n">
        <v>7.19</v>
      </c>
      <c r="K556" s="13" t="inlineStr">
        <is>
          <t>7.19</t>
        </is>
      </c>
      <c r="L556" s="12" t="n">
        <v>45949</v>
      </c>
      <c r="M556" s="12" t="n">
        <v>45782</v>
      </c>
      <c r="N556" s="13" t="inlineStr"/>
      <c r="O556" s="13" t="inlineStr"/>
      <c r="P556" s="12" t="n"/>
    </row>
    <row r="557" ht="79.2" customHeight="1">
      <c r="A557" s="15" t="inlineStr">
        <is>
          <t>AU23497</t>
        </is>
      </c>
      <c r="B557" s="16" t="n">
        <v>45691</v>
      </c>
      <c r="C557" s="15" t="inlineStr">
        <is>
          <t>Administration</t>
        </is>
      </c>
      <c r="D557" s="15" t="inlineStr">
        <is>
          <t>Health Professionals and Support Services Award</t>
        </is>
      </c>
      <c r="E557" s="15" t="inlineStr">
        <is>
          <t>CA - Casual</t>
        </is>
      </c>
      <c r="F557" s="15" t="inlineStr">
        <is>
          <t>Queensland Fertility Group</t>
        </is>
      </c>
      <c r="G557" s="15" t="inlineStr">
        <is>
          <t>Queensland</t>
        </is>
      </c>
      <c r="H557" s="17" t="inlineStr"/>
      <c r="I557" s="15" t="inlineStr">
        <is>
          <t>Queensland Fertility Group Pty Ltd</t>
        </is>
      </c>
      <c r="J557" s="18" t="n">
        <v>7.25</v>
      </c>
      <c r="K557" s="17" t="inlineStr">
        <is>
          <t>7.25</t>
        </is>
      </c>
      <c r="L557" s="16" t="n">
        <v>45949</v>
      </c>
      <c r="M557" s="16" t="n">
        <v>45691</v>
      </c>
      <c r="N557" s="17" t="inlineStr"/>
      <c r="O557" s="17" t="inlineStr"/>
      <c r="P557" s="16" t="n"/>
    </row>
    <row r="558" ht="52.8" customHeight="1">
      <c r="A558" s="11" t="n">
        <v>20752</v>
      </c>
      <c r="B558" s="12" t="n">
        <v>40087</v>
      </c>
      <c r="C558" s="11" t="inlineStr">
        <is>
          <t>Director Medical Affairs</t>
        </is>
      </c>
      <c r="D558" s="11" t="inlineStr">
        <is>
          <t>Common Law Employment Contract</t>
        </is>
      </c>
      <c r="E558" s="11" t="inlineStr">
        <is>
          <t>CO - Contract</t>
        </is>
      </c>
      <c r="F558" s="11" t="inlineStr">
        <is>
          <t>Corporate Services</t>
        </is>
      </c>
      <c r="G558" s="11" t="inlineStr">
        <is>
          <t>Queensland</t>
        </is>
      </c>
      <c r="H558" s="13" t="inlineStr">
        <is>
          <t>16.00</t>
        </is>
      </c>
      <c r="I558" s="11" t="inlineStr">
        <is>
          <t>IVF Australia Pty Ltd</t>
        </is>
      </c>
      <c r="J558" s="14" t="n">
        <v>36.94</v>
      </c>
      <c r="K558" s="13" t="inlineStr">
        <is>
          <t>7.47</t>
        </is>
      </c>
      <c r="L558" s="12" t="n">
        <v>45949</v>
      </c>
      <c r="M558" s="12" t="n">
        <v>45566</v>
      </c>
      <c r="N558" s="13" t="inlineStr">
        <is>
          <t>29.47</t>
        </is>
      </c>
      <c r="O558" s="13" t="inlineStr"/>
      <c r="P558" s="12" t="n"/>
    </row>
    <row r="559" ht="52.8" customHeight="1">
      <c r="A559" s="15" t="inlineStr">
        <is>
          <t>AU23731</t>
        </is>
      </c>
      <c r="B559" s="16" t="n">
        <v>45866</v>
      </c>
      <c r="C559" s="15" t="inlineStr">
        <is>
          <t>Trainee Embryologist</t>
        </is>
      </c>
      <c r="D559" s="15" t="inlineStr">
        <is>
          <t>QLD Scientists EA</t>
        </is>
      </c>
      <c r="E559" s="15" t="inlineStr">
        <is>
          <t>CO - Contract</t>
        </is>
      </c>
      <c r="F559" s="15" t="inlineStr">
        <is>
          <t>Diagnostics</t>
        </is>
      </c>
      <c r="G559" s="15" t="inlineStr">
        <is>
          <t>New South Wales</t>
        </is>
      </c>
      <c r="H559" s="17" t="inlineStr">
        <is>
          <t>76.00</t>
        </is>
      </c>
      <c r="I559" s="15" t="inlineStr">
        <is>
          <t>Queensland Fertility Group Pty Ltd</t>
        </is>
      </c>
      <c r="J559" s="18" t="n">
        <v>7.47</v>
      </c>
      <c r="K559" s="17" t="inlineStr">
        <is>
          <t>7.47</t>
        </is>
      </c>
      <c r="L559" s="16" t="n">
        <v>45949</v>
      </c>
      <c r="M559" s="16" t="n">
        <v>45866</v>
      </c>
      <c r="N559" s="17" t="inlineStr"/>
      <c r="O559" s="17" t="inlineStr"/>
      <c r="P559" s="16" t="n"/>
    </row>
    <row r="560" ht="52.8" customHeight="1">
      <c r="A560" s="11" t="n">
        <v>80098</v>
      </c>
      <c r="B560" s="12" t="n">
        <v>37130</v>
      </c>
      <c r="C560" s="11" t="inlineStr">
        <is>
          <t>Pathology Supervising Scientist</t>
        </is>
      </c>
      <c r="D560" s="11" t="inlineStr">
        <is>
          <t>QLD Scientists EA</t>
        </is>
      </c>
      <c r="E560" s="11" t="inlineStr">
        <is>
          <t>FT - Full-time Waged</t>
        </is>
      </c>
      <c r="F560" s="11" t="inlineStr">
        <is>
          <t>Diagnostics</t>
        </is>
      </c>
      <c r="G560" s="11" t="inlineStr">
        <is>
          <t>Queensland</t>
        </is>
      </c>
      <c r="H560" s="13" t="inlineStr">
        <is>
          <t>76.00</t>
        </is>
      </c>
      <c r="I560" s="11" t="inlineStr">
        <is>
          <t>Queensland Fertility Group Pty Ltd</t>
        </is>
      </c>
      <c r="J560" s="14" t="n">
        <v>944.62</v>
      </c>
      <c r="K560" s="13" t="inlineStr">
        <is>
          <t>7.49</t>
        </is>
      </c>
      <c r="L560" s="12" t="n">
        <v>45949</v>
      </c>
      <c r="M560" s="12" t="n">
        <v>45896</v>
      </c>
      <c r="N560" s="13" t="inlineStr">
        <is>
          <t>937.13</t>
        </is>
      </c>
      <c r="O560" s="13" t="inlineStr"/>
      <c r="P560" s="12" t="n"/>
    </row>
    <row r="561" ht="39.6" customHeight="1">
      <c r="A561" s="15" t="n">
        <v>20123</v>
      </c>
      <c r="B561" s="16" t="n">
        <v>39142</v>
      </c>
      <c r="C561" s="15" t="inlineStr">
        <is>
          <t>Administration</t>
        </is>
      </c>
      <c r="D561" s="15" t="inlineStr">
        <is>
          <t>NSW Support Services EA</t>
        </is>
      </c>
      <c r="E561" s="15" t="inlineStr">
        <is>
          <t>PP - Part-time Waged</t>
        </is>
      </c>
      <c r="F561" s="15" t="inlineStr">
        <is>
          <t>IVFA</t>
        </is>
      </c>
      <c r="G561" s="15" t="inlineStr">
        <is>
          <t>New South Wales</t>
        </is>
      </c>
      <c r="H561" s="17" t="inlineStr">
        <is>
          <t>6.00</t>
        </is>
      </c>
      <c r="I561" s="15" t="inlineStr">
        <is>
          <t>IVF Australia Pty Ltd</t>
        </is>
      </c>
      <c r="J561" s="18" t="n">
        <v>369.42</v>
      </c>
      <c r="K561" s="17" t="inlineStr">
        <is>
          <t>7.50</t>
        </is>
      </c>
      <c r="L561" s="16" t="n">
        <v>45949</v>
      </c>
      <c r="M561" s="16" t="n">
        <v>44986</v>
      </c>
      <c r="N561" s="17" t="inlineStr">
        <is>
          <t>361.92</t>
        </is>
      </c>
      <c r="O561" s="17" t="inlineStr"/>
      <c r="P561" s="16" t="n"/>
    </row>
    <row r="562" ht="66" customHeight="1">
      <c r="A562" s="11" t="inlineStr">
        <is>
          <t>AU22892</t>
        </is>
      </c>
      <c r="B562" s="12" t="n">
        <v>41506</v>
      </c>
      <c r="C562" s="11" t="inlineStr">
        <is>
          <t>Registered Nurse</t>
        </is>
      </c>
      <c r="D562" s="11" t="inlineStr">
        <is>
          <t>NSW Nurse EA</t>
        </is>
      </c>
      <c r="E562" s="11" t="inlineStr">
        <is>
          <t>CA - Casual</t>
        </is>
      </c>
      <c r="F562" s="11" t="inlineStr">
        <is>
          <t>Day Hospitals</t>
        </is>
      </c>
      <c r="G562" s="11" t="inlineStr">
        <is>
          <t>New South Wales</t>
        </is>
      </c>
      <c r="H562" s="13" t="inlineStr">
        <is>
          <t>32.00</t>
        </is>
      </c>
      <c r="I562" s="11" t="inlineStr">
        <is>
          <t>North Shore Specialist Day Hospital Pty Ltd</t>
        </is>
      </c>
      <c r="J562" s="14" t="n">
        <v>20.78</v>
      </c>
      <c r="K562" s="13" t="inlineStr">
        <is>
          <t>7.55</t>
        </is>
      </c>
      <c r="L562" s="12" t="n">
        <v>45949</v>
      </c>
      <c r="M562" s="12" t="n">
        <v>45158</v>
      </c>
      <c r="N562" s="13" t="inlineStr">
        <is>
          <t>151.23</t>
        </is>
      </c>
      <c r="O562" s="13" t="inlineStr">
        <is>
          <t>138.00</t>
        </is>
      </c>
      <c r="P562" s="12" t="n"/>
    </row>
    <row r="563" ht="66" customHeight="1">
      <c r="A563" s="15" t="n">
        <v>50009</v>
      </c>
      <c r="B563" s="16" t="n">
        <v>40028</v>
      </c>
      <c r="C563" s="15" t="inlineStr">
        <is>
          <t>Patient Accounts Team Leader</t>
        </is>
      </c>
      <c r="D563" s="15" t="inlineStr">
        <is>
          <t>NSW Support Services EA</t>
        </is>
      </c>
      <c r="E563" s="15" t="inlineStr">
        <is>
          <t>FT - Full-time Waged</t>
        </is>
      </c>
      <c r="F563" s="15" t="inlineStr">
        <is>
          <t>Day Hospitals</t>
        </is>
      </c>
      <c r="G563" s="15" t="inlineStr">
        <is>
          <t>New South Wales</t>
        </is>
      </c>
      <c r="H563" s="17" t="inlineStr">
        <is>
          <t>76.00</t>
        </is>
      </c>
      <c r="I563" s="15" t="inlineStr">
        <is>
          <t>Alexandria Specialist Day Hospital Pty Ltd</t>
        </is>
      </c>
      <c r="J563" s="18" t="n">
        <v>328.99</v>
      </c>
      <c r="K563" s="17" t="inlineStr">
        <is>
          <t>7.60</t>
        </is>
      </c>
      <c r="L563" s="16" t="n">
        <v>45949</v>
      </c>
      <c r="M563" s="16" t="n">
        <v>45872</v>
      </c>
      <c r="N563" s="17" t="inlineStr">
        <is>
          <t>321.39</t>
        </is>
      </c>
      <c r="O563" s="17" t="inlineStr"/>
      <c r="P563" s="16" t="n"/>
    </row>
    <row r="564" ht="52.8" customHeight="1">
      <c r="A564" s="11" t="inlineStr">
        <is>
          <t>AU23727</t>
        </is>
      </c>
      <c r="B564" s="12" t="n">
        <v>45852</v>
      </c>
      <c r="C564" s="11" t="inlineStr">
        <is>
          <t>Head of Property &amp;Facilities</t>
        </is>
      </c>
      <c r="D564" s="11" t="inlineStr">
        <is>
          <t>Common Law Employment Contract</t>
        </is>
      </c>
      <c r="E564" s="11" t="inlineStr">
        <is>
          <t>FP - Full-time Salaried</t>
        </is>
      </c>
      <c r="F564" s="11" t="inlineStr">
        <is>
          <t>Corporate Services</t>
        </is>
      </c>
      <c r="G564" s="11" t="inlineStr">
        <is>
          <t>Victoria</t>
        </is>
      </c>
      <c r="H564" s="13" t="inlineStr">
        <is>
          <t>76.00</t>
        </is>
      </c>
      <c r="I564" s="11" t="inlineStr">
        <is>
          <t>IVF Australia Pty Ltd</t>
        </is>
      </c>
      <c r="J564" s="14" t="n">
        <v>7.62</v>
      </c>
      <c r="K564" s="13" t="inlineStr">
        <is>
          <t>7.62</t>
        </is>
      </c>
      <c r="L564" s="12" t="n">
        <v>45949</v>
      </c>
      <c r="M564" s="12" t="n">
        <v>45852</v>
      </c>
      <c r="N564" s="13" t="inlineStr"/>
      <c r="O564" s="13" t="inlineStr"/>
      <c r="P564" s="12" t="n"/>
    </row>
    <row r="565" ht="39.6" customHeight="1">
      <c r="A565" s="15" t="inlineStr">
        <is>
          <t>AU23758</t>
        </is>
      </c>
      <c r="B565" s="16" t="n">
        <v>45866</v>
      </c>
      <c r="C565" s="15" t="inlineStr">
        <is>
          <t>Medical Secretary</t>
        </is>
      </c>
      <c r="D565" s="15" t="inlineStr">
        <is>
          <t>NSW Support Services EA</t>
        </is>
      </c>
      <c r="E565" s="15" t="inlineStr">
        <is>
          <t>FT - Full-time Waged</t>
        </is>
      </c>
      <c r="F565" s="15" t="inlineStr">
        <is>
          <t>IVFA</t>
        </is>
      </c>
      <c r="G565" s="15" t="inlineStr">
        <is>
          <t>New South Wales</t>
        </is>
      </c>
      <c r="H565" s="17" t="inlineStr">
        <is>
          <t>76.00</t>
        </is>
      </c>
      <c r="I565" s="15" t="inlineStr">
        <is>
          <t>IVF Australia Pty Ltd</t>
        </is>
      </c>
      <c r="J565" s="18" t="n">
        <v>7.68</v>
      </c>
      <c r="K565" s="17" t="inlineStr">
        <is>
          <t>7.68</t>
        </is>
      </c>
      <c r="L565" s="16" t="n">
        <v>45949</v>
      </c>
      <c r="M565" s="16" t="n">
        <v>45866</v>
      </c>
      <c r="N565" s="17" t="inlineStr"/>
      <c r="O565" s="17" t="inlineStr"/>
      <c r="P565" s="16" t="n"/>
    </row>
    <row r="566" ht="39.6" customHeight="1">
      <c r="A566" s="11" t="inlineStr">
        <is>
          <t>AU23749</t>
        </is>
      </c>
      <c r="B566" s="12" t="n">
        <v>45866</v>
      </c>
      <c r="C566" s="11" t="inlineStr">
        <is>
          <t>Nurse Coordinator</t>
        </is>
      </c>
      <c r="D566" s="11" t="inlineStr">
        <is>
          <t>NSW Nurse EA</t>
        </is>
      </c>
      <c r="E566" s="11" t="inlineStr">
        <is>
          <t>FT - Full-time Waged</t>
        </is>
      </c>
      <c r="F566" s="11" t="inlineStr">
        <is>
          <t>IVFA</t>
        </is>
      </c>
      <c r="G566" s="11" t="inlineStr">
        <is>
          <t>New South Wales</t>
        </is>
      </c>
      <c r="H566" s="13" t="inlineStr">
        <is>
          <t>76.00</t>
        </is>
      </c>
      <c r="I566" s="11" t="inlineStr">
        <is>
          <t>IVF Australia Pty Ltd</t>
        </is>
      </c>
      <c r="J566" s="14" t="n">
        <v>7.76</v>
      </c>
      <c r="K566" s="13" t="inlineStr">
        <is>
          <t>7.76</t>
        </is>
      </c>
      <c r="L566" s="12" t="n">
        <v>45949</v>
      </c>
      <c r="M566" s="12" t="n">
        <v>45866</v>
      </c>
      <c r="N566" s="13" t="inlineStr"/>
      <c r="O566" s="13" t="inlineStr"/>
      <c r="P566" s="12" t="n"/>
    </row>
    <row r="567" ht="66" customHeight="1">
      <c r="A567" s="15" t="inlineStr">
        <is>
          <t>AU23843</t>
        </is>
      </c>
      <c r="B567" s="16" t="n">
        <v>45908</v>
      </c>
      <c r="C567" s="15" t="inlineStr">
        <is>
          <t>Registered Nurse</t>
        </is>
      </c>
      <c r="D567" s="15" t="inlineStr">
        <is>
          <t>NSW Nurse EA</t>
        </is>
      </c>
      <c r="E567" s="15" t="inlineStr">
        <is>
          <t>FT - Full-time Waged</t>
        </is>
      </c>
      <c r="F567" s="15" t="inlineStr">
        <is>
          <t>Day Hospitals</t>
        </is>
      </c>
      <c r="G567" s="15" t="inlineStr">
        <is>
          <t>New South Wales</t>
        </is>
      </c>
      <c r="H567" s="17" t="inlineStr">
        <is>
          <t>76.00</t>
        </is>
      </c>
      <c r="I567" s="15" t="inlineStr">
        <is>
          <t>North Shore Specialist Day Hospital Pty Ltd</t>
        </is>
      </c>
      <c r="J567" s="18" t="n">
        <v>7.79</v>
      </c>
      <c r="K567" s="17" t="inlineStr">
        <is>
          <t>7.79</t>
        </is>
      </c>
      <c r="L567" s="16" t="n">
        <v>45949</v>
      </c>
      <c r="M567" s="16" t="n">
        <v>45835</v>
      </c>
      <c r="N567" s="17" t="inlineStr"/>
      <c r="O567" s="17" t="inlineStr"/>
      <c r="P567" s="16" t="n"/>
    </row>
    <row r="568" ht="52.8" customHeight="1">
      <c r="A568" s="11" t="inlineStr">
        <is>
          <t>AU23639</t>
        </is>
      </c>
      <c r="B568" s="12" t="n">
        <v>45804</v>
      </c>
      <c r="C568" s="11" t="inlineStr">
        <is>
          <t>Registered Nurse</t>
        </is>
      </c>
      <c r="D568" s="11" t="inlineStr">
        <is>
          <t>QLD Nurse EA</t>
        </is>
      </c>
      <c r="E568" s="11" t="inlineStr">
        <is>
          <t>PP - Part-time Waged</t>
        </is>
      </c>
      <c r="F568" s="11" t="inlineStr">
        <is>
          <t>Day Hospitals</t>
        </is>
      </c>
      <c r="G568" s="11" t="inlineStr">
        <is>
          <t>Queensland</t>
        </is>
      </c>
      <c r="H568" s="13" t="inlineStr">
        <is>
          <t>32.00</t>
        </is>
      </c>
      <c r="I568" s="11" t="inlineStr">
        <is>
          <t>Spring Hill Specialist Day Hospital</t>
        </is>
      </c>
      <c r="J568" s="14" t="n">
        <v>7.89</v>
      </c>
      <c r="K568" s="13" t="inlineStr">
        <is>
          <t>7.89</t>
        </is>
      </c>
      <c r="L568" s="12" t="n">
        <v>45949</v>
      </c>
      <c r="M568" s="12" t="n">
        <v>45804</v>
      </c>
      <c r="N568" s="13" t="inlineStr"/>
      <c r="O568" s="13" t="inlineStr"/>
      <c r="P568" s="12" t="n"/>
    </row>
    <row r="569" ht="39.6" customHeight="1">
      <c r="A569" s="15" t="inlineStr">
        <is>
          <t>AU23708</t>
        </is>
      </c>
      <c r="B569" s="16" t="n">
        <v>45852</v>
      </c>
      <c r="C569" s="15" t="inlineStr">
        <is>
          <t>Assistant in Nursing</t>
        </is>
      </c>
      <c r="D569" s="15" t="inlineStr">
        <is>
          <t>NSW Nurse EA</t>
        </is>
      </c>
      <c r="E569" s="15" t="inlineStr">
        <is>
          <t>PP - Part-time Waged</t>
        </is>
      </c>
      <c r="F569" s="15" t="inlineStr">
        <is>
          <t>The Fertility Centre</t>
        </is>
      </c>
      <c r="G569" s="15" t="inlineStr">
        <is>
          <t>New South Wales</t>
        </is>
      </c>
      <c r="H569" s="17" t="inlineStr">
        <is>
          <t>70.00</t>
        </is>
      </c>
      <c r="I569" s="15" t="inlineStr">
        <is>
          <t>IVF Australia Pty Ltd</t>
        </is>
      </c>
      <c r="J569" s="18" t="n">
        <v>7.93</v>
      </c>
      <c r="K569" s="17" t="inlineStr">
        <is>
          <t>7.93</t>
        </is>
      </c>
      <c r="L569" s="16" t="n">
        <v>45949</v>
      </c>
      <c r="M569" s="16" t="n">
        <v>45852</v>
      </c>
      <c r="N569" s="17" t="inlineStr"/>
      <c r="O569" s="17" t="inlineStr"/>
      <c r="P569" s="16" t="n"/>
    </row>
    <row r="570" ht="26.4" customHeight="1">
      <c r="A570" s="11" t="inlineStr">
        <is>
          <t>AU23250</t>
        </is>
      </c>
      <c r="B570" s="12" t="n">
        <v>45439</v>
      </c>
      <c r="C570" s="11" t="inlineStr">
        <is>
          <t>Registered Nurse</t>
        </is>
      </c>
      <c r="D570" s="11" t="inlineStr">
        <is>
          <t>NSW Nurse EA</t>
        </is>
      </c>
      <c r="E570" s="11" t="inlineStr">
        <is>
          <t>CA - Casual</t>
        </is>
      </c>
      <c r="F570" s="11" t="inlineStr">
        <is>
          <t>Day Hospitals</t>
        </is>
      </c>
      <c r="G570" s="11" t="inlineStr">
        <is>
          <t>New South Wales</t>
        </is>
      </c>
      <c r="H570" s="13" t="inlineStr"/>
      <c r="I570" s="11" t="inlineStr">
        <is>
          <t>City West Day Surgery</t>
        </is>
      </c>
      <c r="J570" s="14" t="n">
        <v>8.050000000000001</v>
      </c>
      <c r="K570" s="13" t="inlineStr">
        <is>
          <t>8.05</t>
        </is>
      </c>
      <c r="L570" s="12" t="n">
        <v>45949</v>
      </c>
      <c r="M570" s="12" t="n">
        <v>45439</v>
      </c>
      <c r="N570" s="13" t="inlineStr"/>
      <c r="O570" s="13" t="inlineStr"/>
      <c r="P570" s="12" t="n"/>
    </row>
    <row r="571" ht="39.6" customHeight="1">
      <c r="A571" s="15" t="inlineStr">
        <is>
          <t>AU23205</t>
        </is>
      </c>
      <c r="B571" s="16" t="n">
        <v>45413</v>
      </c>
      <c r="C571" s="15" t="inlineStr">
        <is>
          <t>Clinical Nurse Specialist</t>
        </is>
      </c>
      <c r="D571" s="15" t="inlineStr">
        <is>
          <t>NSW Nurse EA</t>
        </is>
      </c>
      <c r="E571" s="15" t="inlineStr">
        <is>
          <t>CA - Casual</t>
        </is>
      </c>
      <c r="F571" s="15" t="inlineStr">
        <is>
          <t>IVFA</t>
        </is>
      </c>
      <c r="G571" s="15" t="inlineStr">
        <is>
          <t>New South Wales</t>
        </is>
      </c>
      <c r="H571" s="17" t="inlineStr"/>
      <c r="I571" s="15" t="inlineStr">
        <is>
          <t>IVF Australia Pty Ltd</t>
        </is>
      </c>
      <c r="J571" s="18" t="n">
        <v>8.1</v>
      </c>
      <c r="K571" s="17" t="inlineStr">
        <is>
          <t>8.10</t>
        </is>
      </c>
      <c r="L571" s="16" t="n">
        <v>45949</v>
      </c>
      <c r="M571" s="16" t="n">
        <v>45413</v>
      </c>
      <c r="N571" s="17" t="inlineStr"/>
      <c r="O571" s="17" t="inlineStr"/>
      <c r="P571" s="16" t="n"/>
    </row>
    <row r="572" ht="52.8" customHeight="1">
      <c r="A572" s="11" t="inlineStr">
        <is>
          <t>AU23740</t>
        </is>
      </c>
      <c r="B572" s="12" t="n">
        <v>45860</v>
      </c>
      <c r="C572" s="11" t="inlineStr">
        <is>
          <t>EVENTS COORDINATOR</t>
        </is>
      </c>
      <c r="D572" s="11" t="inlineStr">
        <is>
          <t>Common Law Employment Contract</t>
        </is>
      </c>
      <c r="E572" s="11" t="inlineStr">
        <is>
          <t>FP - Full-time Salaried</t>
        </is>
      </c>
      <c r="F572" s="11" t="inlineStr">
        <is>
          <t>Corporate Services</t>
        </is>
      </c>
      <c r="G572" s="11" t="inlineStr">
        <is>
          <t>New South Wales</t>
        </is>
      </c>
      <c r="H572" s="13" t="inlineStr">
        <is>
          <t>76.00</t>
        </is>
      </c>
      <c r="I572" s="11" t="inlineStr">
        <is>
          <t>IVF Australia Pty Ltd</t>
        </is>
      </c>
      <c r="J572" s="14" t="n">
        <v>8.109999999999999</v>
      </c>
      <c r="K572" s="13" t="inlineStr">
        <is>
          <t>8.11</t>
        </is>
      </c>
      <c r="L572" s="12" t="n">
        <v>45949</v>
      </c>
      <c r="M572" s="12" t="n">
        <v>45860</v>
      </c>
      <c r="N572" s="13" t="inlineStr"/>
      <c r="O572" s="13" t="inlineStr"/>
      <c r="P572" s="12" t="n"/>
    </row>
    <row r="573" ht="52.8" customHeight="1">
      <c r="A573" s="15" t="inlineStr">
        <is>
          <t>AU23722</t>
        </is>
      </c>
      <c r="B573" s="16" t="n">
        <v>45859</v>
      </c>
      <c r="C573" s="15" t="inlineStr">
        <is>
          <t>Technonogy Operations Engineer</t>
        </is>
      </c>
      <c r="D573" s="15" t="inlineStr">
        <is>
          <t>Common Law Employment Contract</t>
        </is>
      </c>
      <c r="E573" s="15" t="inlineStr">
        <is>
          <t>FP - Full-time Salaried</t>
        </is>
      </c>
      <c r="F573" s="15" t="inlineStr">
        <is>
          <t>Corporate Services</t>
        </is>
      </c>
      <c r="G573" s="15" t="inlineStr">
        <is>
          <t>New South Wales</t>
        </is>
      </c>
      <c r="H573" s="17" t="inlineStr">
        <is>
          <t>76.00</t>
        </is>
      </c>
      <c r="I573" s="15" t="inlineStr">
        <is>
          <t>IVF Australia Pty Ltd</t>
        </is>
      </c>
      <c r="J573" s="18" t="n">
        <v>8.23</v>
      </c>
      <c r="K573" s="17" t="inlineStr">
        <is>
          <t>8.23</t>
        </is>
      </c>
      <c r="L573" s="16" t="n">
        <v>45949</v>
      </c>
      <c r="M573" s="16" t="n">
        <v>45859</v>
      </c>
      <c r="N573" s="17" t="inlineStr"/>
      <c r="O573" s="17" t="inlineStr"/>
      <c r="P573" s="16" t="n"/>
    </row>
    <row r="574" ht="52.8" customHeight="1">
      <c r="A574" s="11" t="inlineStr">
        <is>
          <t>AU23448</t>
        </is>
      </c>
      <c r="B574" s="12" t="n">
        <v>45628</v>
      </c>
      <c r="C574" s="11" t="inlineStr">
        <is>
          <t>Enrolled Nurse</t>
        </is>
      </c>
      <c r="D574" s="11" t="inlineStr">
        <is>
          <t>QLD Nurse EA</t>
        </is>
      </c>
      <c r="E574" s="11" t="inlineStr">
        <is>
          <t>CA - Casual</t>
        </is>
      </c>
      <c r="F574" s="11" t="inlineStr">
        <is>
          <t>Queensland Fertility Group</t>
        </is>
      </c>
      <c r="G574" s="11" t="inlineStr">
        <is>
          <t>Queensland</t>
        </is>
      </c>
      <c r="H574" s="13" t="inlineStr"/>
      <c r="I574" s="11" t="inlineStr">
        <is>
          <t>Queensland Fertility Group Pty Ltd</t>
        </is>
      </c>
      <c r="J574" s="14" t="n">
        <v>8.300000000000001</v>
      </c>
      <c r="K574" s="13" t="inlineStr">
        <is>
          <t>8.30</t>
        </is>
      </c>
      <c r="L574" s="12" t="n">
        <v>45949</v>
      </c>
      <c r="M574" s="12" t="n">
        <v>45628</v>
      </c>
      <c r="N574" s="13" t="inlineStr"/>
      <c r="O574" s="13" t="inlineStr"/>
      <c r="P574" s="12" t="n"/>
    </row>
    <row r="575" ht="52.8" customHeight="1">
      <c r="A575" s="15" t="n">
        <v>80131</v>
      </c>
      <c r="B575" s="16" t="n">
        <v>39293</v>
      </c>
      <c r="C575" s="15" t="inlineStr">
        <is>
          <t>Donor Coordinator</t>
        </is>
      </c>
      <c r="D575" s="15" t="inlineStr">
        <is>
          <t>QLD Nurse EA</t>
        </is>
      </c>
      <c r="E575" s="15" t="inlineStr">
        <is>
          <t>Part Time</t>
        </is>
      </c>
      <c r="F575" s="15" t="inlineStr">
        <is>
          <t>Queensland Fertility Group</t>
        </is>
      </c>
      <c r="G575" s="15" t="inlineStr">
        <is>
          <t>Queensland</t>
        </is>
      </c>
      <c r="H575" s="17" t="inlineStr">
        <is>
          <t>57.00</t>
        </is>
      </c>
      <c r="I575" s="15" t="inlineStr">
        <is>
          <t>Queensland Fertility Group Pty Ltd</t>
        </is>
      </c>
      <c r="J575" s="18" t="n">
        <v>885.97</v>
      </c>
      <c r="K575" s="17" t="inlineStr">
        <is>
          <t>8.55</t>
        </is>
      </c>
      <c r="L575" s="16" t="n">
        <v>45949</v>
      </c>
      <c r="M575" s="16" t="n">
        <v>45868</v>
      </c>
      <c r="N575" s="17" t="inlineStr">
        <is>
          <t>877.42</t>
        </is>
      </c>
      <c r="O575" s="17" t="inlineStr"/>
      <c r="P575" s="16" t="n"/>
    </row>
    <row r="576" ht="52.8" customHeight="1">
      <c r="A576" s="11" t="inlineStr">
        <is>
          <t>AU23699</t>
        </is>
      </c>
      <c r="B576" s="12" t="n">
        <v>45831</v>
      </c>
      <c r="C576" s="11" t="inlineStr">
        <is>
          <t>Laboratory Assistant</t>
        </is>
      </c>
      <c r="D576" s="11" t="inlineStr">
        <is>
          <t>QLD Scientists EA</t>
        </is>
      </c>
      <c r="E576" s="11" t="inlineStr">
        <is>
          <t>CO - Contract</t>
        </is>
      </c>
      <c r="F576" s="11" t="inlineStr">
        <is>
          <t>Diagnostics</t>
        </is>
      </c>
      <c r="G576" s="11" t="inlineStr">
        <is>
          <t>Queensland</t>
        </is>
      </c>
      <c r="H576" s="13" t="inlineStr">
        <is>
          <t>60.80</t>
        </is>
      </c>
      <c r="I576" s="11" t="inlineStr">
        <is>
          <t>Queensland Fertility Group Pty Ltd</t>
        </is>
      </c>
      <c r="J576" s="14" t="n">
        <v>8.710000000000001</v>
      </c>
      <c r="K576" s="13" t="inlineStr">
        <is>
          <t>8.71</t>
        </is>
      </c>
      <c r="L576" s="12" t="n">
        <v>45949</v>
      </c>
      <c r="M576" s="12" t="n">
        <v>45831</v>
      </c>
      <c r="N576" s="13" t="inlineStr"/>
      <c r="O576" s="13" t="inlineStr"/>
      <c r="P576" s="12" t="n"/>
    </row>
    <row r="577" ht="66" customHeight="1">
      <c r="A577" s="15" t="n">
        <v>30024</v>
      </c>
      <c r="B577" s="16" t="n">
        <v>39615</v>
      </c>
      <c r="C577" s="15" t="inlineStr">
        <is>
          <t>Registered Nurse</t>
        </is>
      </c>
      <c r="D577" s="15" t="inlineStr">
        <is>
          <t>NSW Nurse EA</t>
        </is>
      </c>
      <c r="E577" s="15" t="inlineStr">
        <is>
          <t>PP - Part-time Waged</t>
        </is>
      </c>
      <c r="F577" s="15" t="inlineStr">
        <is>
          <t>Day Hospitals</t>
        </is>
      </c>
      <c r="G577" s="15" t="inlineStr">
        <is>
          <t>New South Wales</t>
        </is>
      </c>
      <c r="H577" s="17" t="inlineStr">
        <is>
          <t>24.00</t>
        </is>
      </c>
      <c r="I577" s="15" t="inlineStr">
        <is>
          <t>North Shore Specialist Day Hospital Pty Ltd</t>
        </is>
      </c>
      <c r="J577" s="18" t="n">
        <v>98.26000000000001</v>
      </c>
      <c r="K577" s="17" t="inlineStr">
        <is>
          <t>8.79</t>
        </is>
      </c>
      <c r="L577" s="16" t="n">
        <v>45949</v>
      </c>
      <c r="M577" s="16" t="n">
        <v>45459</v>
      </c>
      <c r="N577" s="17" t="inlineStr">
        <is>
          <t>137.47</t>
        </is>
      </c>
      <c r="O577" s="17" t="inlineStr">
        <is>
          <t>48.00</t>
        </is>
      </c>
      <c r="P577" s="16" t="n"/>
    </row>
    <row r="578" ht="52.8" customHeight="1">
      <c r="A578" s="11" t="inlineStr">
        <is>
          <t>AU23597</t>
        </is>
      </c>
      <c r="B578" s="12" t="n">
        <v>45754</v>
      </c>
      <c r="C578" s="11" t="inlineStr">
        <is>
          <t>Genetic Scientist</t>
        </is>
      </c>
      <c r="D578" s="11" t="inlineStr">
        <is>
          <t>QLD Scientists EA</t>
        </is>
      </c>
      <c r="E578" s="11" t="inlineStr">
        <is>
          <t>CA - Casual</t>
        </is>
      </c>
      <c r="F578" s="11" t="inlineStr">
        <is>
          <t>Diagnostics</t>
        </is>
      </c>
      <c r="G578" s="11" t="inlineStr">
        <is>
          <t>Queensland</t>
        </is>
      </c>
      <c r="H578" s="13" t="inlineStr"/>
      <c r="I578" s="11" t="inlineStr">
        <is>
          <t>Queensland Fertility Group Pty Ltd</t>
        </is>
      </c>
      <c r="J578" s="14" t="n">
        <v>8.869999999999999</v>
      </c>
      <c r="K578" s="13" t="inlineStr">
        <is>
          <t>8.87</t>
        </is>
      </c>
      <c r="L578" s="12" t="n">
        <v>45949</v>
      </c>
      <c r="M578" s="12" t="n">
        <v>45754</v>
      </c>
      <c r="N578" s="13" t="inlineStr"/>
      <c r="O578" s="13" t="inlineStr"/>
      <c r="P578" s="12" t="n"/>
    </row>
    <row r="579" ht="26.4" customHeight="1">
      <c r="A579" s="15" t="inlineStr">
        <is>
          <t>AU23296</t>
        </is>
      </c>
      <c r="B579" s="16" t="n">
        <v>45490</v>
      </c>
      <c r="C579" s="15" t="inlineStr">
        <is>
          <t>Registered Nurse</t>
        </is>
      </c>
      <c r="D579" s="15" t="inlineStr">
        <is>
          <t>NSW Nurse EA</t>
        </is>
      </c>
      <c r="E579" s="15" t="inlineStr">
        <is>
          <t>CA - Casual</t>
        </is>
      </c>
      <c r="F579" s="15" t="inlineStr">
        <is>
          <t>Day Hospitals</t>
        </is>
      </c>
      <c r="G579" s="15" t="inlineStr">
        <is>
          <t>New South Wales</t>
        </is>
      </c>
      <c r="H579" s="17" t="inlineStr"/>
      <c r="I579" s="15" t="inlineStr">
        <is>
          <t>City West Day Surgery</t>
        </is>
      </c>
      <c r="J579" s="18" t="n">
        <v>8.880000000000001</v>
      </c>
      <c r="K579" s="17" t="inlineStr">
        <is>
          <t>8.88</t>
        </is>
      </c>
      <c r="L579" s="16" t="n">
        <v>45949</v>
      </c>
      <c r="M579" s="16" t="n">
        <v>45490</v>
      </c>
      <c r="N579" s="17" t="inlineStr"/>
      <c r="O579" s="17" t="inlineStr"/>
      <c r="P579" s="16" t="n"/>
    </row>
    <row r="580" ht="26.4" customHeight="1">
      <c r="A580" s="11" t="inlineStr">
        <is>
          <t>AU22993</t>
        </is>
      </c>
      <c r="B580" s="12" t="n">
        <v>45204</v>
      </c>
      <c r="C580" s="11" t="inlineStr">
        <is>
          <t>Registered Nurse</t>
        </is>
      </c>
      <c r="D580" s="11" t="inlineStr">
        <is>
          <t>NSW Nurse EA</t>
        </is>
      </c>
      <c r="E580" s="11" t="inlineStr">
        <is>
          <t>CA - Casual</t>
        </is>
      </c>
      <c r="F580" s="11" t="inlineStr">
        <is>
          <t>Day Hospitals</t>
        </is>
      </c>
      <c r="G580" s="11" t="inlineStr">
        <is>
          <t>New South Wales</t>
        </is>
      </c>
      <c r="H580" s="13" t="inlineStr"/>
      <c r="I580" s="11" t="inlineStr">
        <is>
          <t>City West Day Surgery</t>
        </is>
      </c>
      <c r="J580" s="14" t="n">
        <v>8.93</v>
      </c>
      <c r="K580" s="13" t="inlineStr">
        <is>
          <t>8.93</t>
        </is>
      </c>
      <c r="L580" s="12" t="n">
        <v>45949</v>
      </c>
      <c r="M580" s="12" t="n">
        <v>45204</v>
      </c>
      <c r="N580" s="13" t="inlineStr"/>
      <c r="O580" s="13" t="inlineStr"/>
      <c r="P580" s="12" t="n"/>
    </row>
    <row r="581" ht="52.8" customHeight="1">
      <c r="A581" s="15" t="inlineStr">
        <is>
          <t>AU23678</t>
        </is>
      </c>
      <c r="B581" s="16" t="n">
        <v>45819</v>
      </c>
      <c r="C581" s="15" t="inlineStr">
        <is>
          <t>Andrologist</t>
        </is>
      </c>
      <c r="D581" s="15" t="inlineStr">
        <is>
          <t>QLD Scientists EA</t>
        </is>
      </c>
      <c r="E581" s="15" t="inlineStr">
        <is>
          <t>CA - Casual</t>
        </is>
      </c>
      <c r="F581" s="15" t="inlineStr">
        <is>
          <t>Queensland Fertility Group</t>
        </is>
      </c>
      <c r="G581" s="15" t="inlineStr">
        <is>
          <t>Queensland</t>
        </is>
      </c>
      <c r="H581" s="17" t="inlineStr"/>
      <c r="I581" s="15" t="inlineStr">
        <is>
          <t>Queensland Fertility Group Pty Ltd</t>
        </is>
      </c>
      <c r="J581" s="18" t="n">
        <v>8.99</v>
      </c>
      <c r="K581" s="17" t="inlineStr">
        <is>
          <t>8.99</t>
        </is>
      </c>
      <c r="L581" s="16" t="n">
        <v>45949</v>
      </c>
      <c r="M581" s="16" t="n">
        <v>45819</v>
      </c>
      <c r="N581" s="17" t="inlineStr"/>
      <c r="O581" s="17" t="inlineStr"/>
      <c r="P581" s="16" t="n"/>
    </row>
    <row r="582" ht="52.8" customHeight="1">
      <c r="A582" s="11" t="n">
        <v>60020</v>
      </c>
      <c r="B582" s="12" t="n">
        <v>39617</v>
      </c>
      <c r="C582" s="11" t="inlineStr">
        <is>
          <t>Assistant in Nursing</t>
        </is>
      </c>
      <c r="D582" s="11" t="inlineStr">
        <is>
          <t>QLD Nurse EA</t>
        </is>
      </c>
      <c r="E582" s="11" t="inlineStr">
        <is>
          <t>CA - Casual</t>
        </is>
      </c>
      <c r="F582" s="11" t="inlineStr">
        <is>
          <t>Day Hospitals</t>
        </is>
      </c>
      <c r="G582" s="11" t="inlineStr">
        <is>
          <t>Queensland</t>
        </is>
      </c>
      <c r="H582" s="13" t="inlineStr"/>
      <c r="I582" s="11" t="inlineStr">
        <is>
          <t>MACKAY Specialist Day Hospital</t>
        </is>
      </c>
      <c r="J582" s="14" t="n">
        <v>58.76</v>
      </c>
      <c r="K582" s="13" t="inlineStr">
        <is>
          <t>9.06</t>
        </is>
      </c>
      <c r="L582" s="12" t="n">
        <v>45949</v>
      </c>
      <c r="M582" s="12" t="n">
        <v>45827</v>
      </c>
      <c r="N582" s="13" t="inlineStr">
        <is>
          <t>49.70</t>
        </is>
      </c>
      <c r="O582" s="13" t="inlineStr"/>
      <c r="P582" s="12" t="n"/>
    </row>
    <row r="583" ht="52.8" customHeight="1">
      <c r="A583" s="15" t="inlineStr">
        <is>
          <t>AU22815</t>
        </is>
      </c>
      <c r="B583" s="16" t="n">
        <v>45026</v>
      </c>
      <c r="C583" s="15" t="inlineStr">
        <is>
          <t>Registered Nurse</t>
        </is>
      </c>
      <c r="D583" s="15" t="inlineStr">
        <is>
          <t>QLD Nurse EA</t>
        </is>
      </c>
      <c r="E583" s="15" t="inlineStr">
        <is>
          <t>CA - Casual</t>
        </is>
      </c>
      <c r="F583" s="15" t="inlineStr">
        <is>
          <t>Day Hospitals</t>
        </is>
      </c>
      <c r="G583" s="15" t="inlineStr">
        <is>
          <t>Queensland</t>
        </is>
      </c>
      <c r="H583" s="17" t="inlineStr"/>
      <c r="I583" s="15" t="inlineStr">
        <is>
          <t>Spring Hill Specialist Day Hospital</t>
        </is>
      </c>
      <c r="J583" s="18" t="n">
        <v>9.09</v>
      </c>
      <c r="K583" s="17" t="inlineStr">
        <is>
          <t>9.09</t>
        </is>
      </c>
      <c r="L583" s="16" t="n">
        <v>45893</v>
      </c>
      <c r="M583" s="16" t="n">
        <v>45026</v>
      </c>
      <c r="N583" s="17" t="inlineStr"/>
      <c r="O583" s="17" t="inlineStr"/>
      <c r="P583" s="16" t="n"/>
    </row>
    <row r="584" ht="39.6" customHeight="1">
      <c r="A584" s="11" t="inlineStr">
        <is>
          <t>AU23657</t>
        </is>
      </c>
      <c r="B584" s="12" t="n">
        <v>45803</v>
      </c>
      <c r="C584" s="11" t="inlineStr">
        <is>
          <t>Assistant in Nursing</t>
        </is>
      </c>
      <c r="D584" s="11" t="inlineStr">
        <is>
          <t>NSW Nurse EA</t>
        </is>
      </c>
      <c r="E584" s="11" t="inlineStr">
        <is>
          <t>PP - Part-time Waged</t>
        </is>
      </c>
      <c r="F584" s="11" t="inlineStr">
        <is>
          <t>IVFA</t>
        </is>
      </c>
      <c r="G584" s="11" t="inlineStr">
        <is>
          <t>New South Wales</t>
        </is>
      </c>
      <c r="H584" s="13" t="inlineStr">
        <is>
          <t>57.00</t>
        </is>
      </c>
      <c r="I584" s="11" t="inlineStr">
        <is>
          <t>IVF Australia Pty Ltd</t>
        </is>
      </c>
      <c r="J584" s="14" t="n">
        <v>9.09</v>
      </c>
      <c r="K584" s="13" t="inlineStr">
        <is>
          <t>9.09</t>
        </is>
      </c>
      <c r="L584" s="12" t="n">
        <v>45949</v>
      </c>
      <c r="M584" s="12" t="n">
        <v>45803</v>
      </c>
      <c r="N584" s="13" t="inlineStr"/>
      <c r="O584" s="13" t="inlineStr"/>
      <c r="P584" s="12" t="n"/>
    </row>
    <row r="585" ht="66" customHeight="1">
      <c r="A585" s="15" t="inlineStr">
        <is>
          <t>AU23393</t>
        </is>
      </c>
      <c r="B585" s="16" t="n">
        <v>45565</v>
      </c>
      <c r="C585" s="15" t="inlineStr">
        <is>
          <t>Registered Nurse</t>
        </is>
      </c>
      <c r="D585" s="15" t="inlineStr">
        <is>
          <t>NSW Nurse EA</t>
        </is>
      </c>
      <c r="E585" s="15" t="inlineStr">
        <is>
          <t>CA - Casual</t>
        </is>
      </c>
      <c r="F585" s="15" t="inlineStr">
        <is>
          <t>Day Hospitals</t>
        </is>
      </c>
      <c r="G585" s="15" t="inlineStr">
        <is>
          <t>New South Wales</t>
        </is>
      </c>
      <c r="H585" s="17" t="inlineStr"/>
      <c r="I585" s="15" t="inlineStr">
        <is>
          <t>North Shore Specialist Day Hospital Pty Ltd</t>
        </is>
      </c>
      <c r="J585" s="18" t="n">
        <v>9.109999999999999</v>
      </c>
      <c r="K585" s="17" t="inlineStr">
        <is>
          <t>9.11</t>
        </is>
      </c>
      <c r="L585" s="16" t="n">
        <v>45949</v>
      </c>
      <c r="M585" s="16" t="n">
        <v>45565</v>
      </c>
      <c r="N585" s="17" t="inlineStr"/>
      <c r="O585" s="17" t="inlineStr"/>
      <c r="P585" s="16" t="n"/>
    </row>
    <row r="586" ht="39.6" customHeight="1">
      <c r="A586" s="11" t="inlineStr">
        <is>
          <t>AU23598</t>
        </is>
      </c>
      <c r="B586" s="12" t="n">
        <v>45789</v>
      </c>
      <c r="C586" s="11" t="inlineStr">
        <is>
          <t>Andrologist</t>
        </is>
      </c>
      <c r="D586" s="11" t="inlineStr">
        <is>
          <t>IVFA Scientists EA</t>
        </is>
      </c>
      <c r="E586" s="11" t="inlineStr">
        <is>
          <t>FT - Full-time Waged</t>
        </is>
      </c>
      <c r="F586" s="11" t="inlineStr">
        <is>
          <t>IVFA</t>
        </is>
      </c>
      <c r="G586" s="11" t="inlineStr">
        <is>
          <t>New South Wales</t>
        </is>
      </c>
      <c r="H586" s="13" t="inlineStr">
        <is>
          <t>76.00</t>
        </is>
      </c>
      <c r="I586" s="11" t="inlineStr">
        <is>
          <t>IVF Australia Pty Ltd</t>
        </is>
      </c>
      <c r="J586" s="14" t="n">
        <v>9.109999999999999</v>
      </c>
      <c r="K586" s="13" t="inlineStr">
        <is>
          <t>9.11</t>
        </is>
      </c>
      <c r="L586" s="12" t="n">
        <v>45949</v>
      </c>
      <c r="M586" s="12" t="n">
        <v>45789</v>
      </c>
      <c r="N586" s="13" t="inlineStr"/>
      <c r="O586" s="13" t="inlineStr"/>
      <c r="P586" s="12" t="n"/>
    </row>
    <row r="587" ht="52.8" customHeight="1">
      <c r="A587" s="15" t="n">
        <v>80110</v>
      </c>
      <c r="B587" s="16" t="n">
        <v>40371</v>
      </c>
      <c r="C587" s="15" t="inlineStr">
        <is>
          <t>Embryologist</t>
        </is>
      </c>
      <c r="D587" s="15" t="inlineStr">
        <is>
          <t>QLD Scientists EA</t>
        </is>
      </c>
      <c r="E587" s="15" t="inlineStr">
        <is>
          <t>PP - Part-time Waged</t>
        </is>
      </c>
      <c r="F587" s="15" t="inlineStr">
        <is>
          <t>Queensland Fertility Group</t>
        </is>
      </c>
      <c r="G587" s="15" t="inlineStr">
        <is>
          <t>Queensland</t>
        </is>
      </c>
      <c r="H587" s="17" t="inlineStr">
        <is>
          <t>45.60</t>
        </is>
      </c>
      <c r="I587" s="15" t="inlineStr">
        <is>
          <t>Queensland Fertility Group Pty Ltd</t>
        </is>
      </c>
      <c r="J587" s="18" t="n">
        <v>393.97</v>
      </c>
      <c r="K587" s="17" t="inlineStr">
        <is>
          <t>9.12</t>
        </is>
      </c>
      <c r="L587" s="16" t="n">
        <v>45949</v>
      </c>
      <c r="M587" s="16" t="n">
        <v>45850</v>
      </c>
      <c r="N587" s="17" t="inlineStr">
        <is>
          <t>384.85</t>
        </is>
      </c>
      <c r="O587" s="17" t="inlineStr"/>
      <c r="P587" s="16" t="n"/>
    </row>
    <row r="588" ht="52.8" customHeight="1">
      <c r="A588" s="11" t="n">
        <v>80167</v>
      </c>
      <c r="B588" s="12" t="n">
        <v>42058</v>
      </c>
      <c r="C588" s="11" t="inlineStr">
        <is>
          <t>Genetic Scientist</t>
        </is>
      </c>
      <c r="D588" s="11" t="inlineStr">
        <is>
          <t>QLD Scientists EA</t>
        </is>
      </c>
      <c r="E588" s="11" t="inlineStr">
        <is>
          <t>PP - Part-time Waged</t>
        </is>
      </c>
      <c r="F588" s="11" t="inlineStr">
        <is>
          <t>Diagnostics</t>
        </is>
      </c>
      <c r="G588" s="11" t="inlineStr">
        <is>
          <t>Queensland</t>
        </is>
      </c>
      <c r="H588" s="13" t="inlineStr">
        <is>
          <t>30.40</t>
        </is>
      </c>
      <c r="I588" s="11" t="inlineStr">
        <is>
          <t>Queensland Fertility Group Pty Ltd</t>
        </is>
      </c>
      <c r="J588" s="14" t="n">
        <v>264.76</v>
      </c>
      <c r="K588" s="13" t="inlineStr">
        <is>
          <t>9.12</t>
        </is>
      </c>
      <c r="L588" s="12" t="n">
        <v>45949</v>
      </c>
      <c r="M588" s="12" t="n">
        <v>45711</v>
      </c>
      <c r="N588" s="13" t="inlineStr">
        <is>
          <t>255.64</t>
        </is>
      </c>
      <c r="O588" s="13" t="inlineStr"/>
      <c r="P588" s="12" t="n"/>
    </row>
    <row r="589" ht="39.6" customHeight="1">
      <c r="A589" s="15" t="n">
        <v>20430</v>
      </c>
      <c r="B589" s="16" t="n">
        <v>42080</v>
      </c>
      <c r="C589" s="15" t="inlineStr">
        <is>
          <t>Administration</t>
        </is>
      </c>
      <c r="D589" s="15" t="inlineStr">
        <is>
          <t>NSW Support Services EA</t>
        </is>
      </c>
      <c r="E589" s="15" t="inlineStr">
        <is>
          <t>PP - Part-time Waged</t>
        </is>
      </c>
      <c r="F589" s="15" t="inlineStr">
        <is>
          <t>IVFA</t>
        </is>
      </c>
      <c r="G589" s="15" t="inlineStr">
        <is>
          <t>New South Wales</t>
        </is>
      </c>
      <c r="H589" s="17" t="inlineStr">
        <is>
          <t>52.00</t>
        </is>
      </c>
      <c r="I589" s="15" t="inlineStr">
        <is>
          <t>IVF Australia Pty Ltd</t>
        </is>
      </c>
      <c r="J589" s="18" t="n">
        <v>242.17</v>
      </c>
      <c r="K589" s="17" t="inlineStr">
        <is>
          <t>9.12</t>
        </is>
      </c>
      <c r="L589" s="16" t="n">
        <v>45949</v>
      </c>
      <c r="M589" s="16" t="n">
        <v>45733</v>
      </c>
      <c r="N589" s="17" t="inlineStr">
        <is>
          <t>233.05</t>
        </is>
      </c>
      <c r="O589" s="17" t="inlineStr"/>
      <c r="P589" s="16" t="n"/>
    </row>
    <row r="590" ht="39.6" customHeight="1">
      <c r="A590" s="11" t="inlineStr">
        <is>
          <t>AU23714</t>
        </is>
      </c>
      <c r="B590" s="12" t="n">
        <v>45838</v>
      </c>
      <c r="C590" s="11" t="inlineStr">
        <is>
          <t>Assistant in Nursing</t>
        </is>
      </c>
      <c r="D590" s="11" t="inlineStr">
        <is>
          <t>NSW Nurse EA</t>
        </is>
      </c>
      <c r="E590" s="11" t="inlineStr">
        <is>
          <t>CO - Contract</t>
        </is>
      </c>
      <c r="F590" s="11" t="inlineStr">
        <is>
          <t>IVFA</t>
        </is>
      </c>
      <c r="G590" s="11" t="inlineStr">
        <is>
          <t>New South Wales</t>
        </is>
      </c>
      <c r="H590" s="13" t="inlineStr">
        <is>
          <t>76.00</t>
        </is>
      </c>
      <c r="I590" s="11" t="inlineStr">
        <is>
          <t>IVF Australia Pty Ltd</t>
        </is>
      </c>
      <c r="J590" s="14" t="n">
        <v>9.130000000000001</v>
      </c>
      <c r="K590" s="13" t="inlineStr">
        <is>
          <t>9.13</t>
        </is>
      </c>
      <c r="L590" s="12" t="n">
        <v>45949</v>
      </c>
      <c r="M590" s="12" t="n">
        <v>45838</v>
      </c>
      <c r="N590" s="13" t="inlineStr"/>
      <c r="O590" s="13" t="inlineStr"/>
      <c r="P590" s="12" t="n"/>
    </row>
    <row r="591" ht="66" customHeight="1">
      <c r="A591" s="15" t="inlineStr">
        <is>
          <t>AU23696</t>
        </is>
      </c>
      <c r="B591" s="16" t="n">
        <v>45831</v>
      </c>
      <c r="C591" s="15" t="inlineStr">
        <is>
          <t>Registered Nurse</t>
        </is>
      </c>
      <c r="D591" s="15" t="inlineStr">
        <is>
          <t>NSW Nurse EA</t>
        </is>
      </c>
      <c r="E591" s="15" t="inlineStr">
        <is>
          <t>PP - Part-time Waged</t>
        </is>
      </c>
      <c r="F591" s="15" t="inlineStr">
        <is>
          <t>Day Hospitals</t>
        </is>
      </c>
      <c r="G591" s="15" t="inlineStr">
        <is>
          <t>New South Wales</t>
        </is>
      </c>
      <c r="H591" s="17" t="inlineStr">
        <is>
          <t>48.00</t>
        </is>
      </c>
      <c r="I591" s="15" t="inlineStr">
        <is>
          <t>North Shore Specialist Day Hospital Pty Ltd</t>
        </is>
      </c>
      <c r="J591" s="18" t="n">
        <v>9.210000000000001</v>
      </c>
      <c r="K591" s="17" t="inlineStr">
        <is>
          <t>9.21</t>
        </is>
      </c>
      <c r="L591" s="16" t="n">
        <v>45949</v>
      </c>
      <c r="M591" s="16" t="n">
        <v>45831</v>
      </c>
      <c r="N591" s="17" t="inlineStr"/>
      <c r="O591" s="17" t="inlineStr"/>
      <c r="P591" s="16" t="n"/>
    </row>
    <row r="592" ht="39.6" customHeight="1">
      <c r="A592" s="11" t="inlineStr">
        <is>
          <t>AU23660</t>
        </is>
      </c>
      <c r="B592" s="12" t="n">
        <v>45824</v>
      </c>
      <c r="C592" s="11" t="inlineStr">
        <is>
          <t>Nures Coordinator</t>
        </is>
      </c>
      <c r="D592" s="11" t="inlineStr">
        <is>
          <t>NSW Nurse EA</t>
        </is>
      </c>
      <c r="E592" s="11" t="inlineStr">
        <is>
          <t>CO - Contract</t>
        </is>
      </c>
      <c r="F592" s="11" t="inlineStr">
        <is>
          <t>IVFA</t>
        </is>
      </c>
      <c r="G592" s="11" t="inlineStr">
        <is>
          <t>New South Wales</t>
        </is>
      </c>
      <c r="H592" s="13" t="inlineStr">
        <is>
          <t>76.00</t>
        </is>
      </c>
      <c r="I592" s="11" t="inlineStr">
        <is>
          <t>IVF Australia Pty Ltd</t>
        </is>
      </c>
      <c r="J592" s="14" t="n">
        <v>9.5</v>
      </c>
      <c r="K592" s="13" t="inlineStr">
        <is>
          <t>9.50</t>
        </is>
      </c>
      <c r="L592" s="12" t="n">
        <v>45949</v>
      </c>
      <c r="M592" s="12" t="n">
        <v>45824</v>
      </c>
      <c r="N592" s="13" t="inlineStr"/>
      <c r="O592" s="13" t="inlineStr"/>
      <c r="P592" s="12" t="n"/>
    </row>
    <row r="593" ht="39.6" customHeight="1">
      <c r="A593" s="15" t="inlineStr">
        <is>
          <t>AU23703</t>
        </is>
      </c>
      <c r="B593" s="16" t="n">
        <v>45845</v>
      </c>
      <c r="C593" s="15" t="inlineStr">
        <is>
          <t>Laboratory Support Assistant</t>
        </is>
      </c>
      <c r="D593" s="15" t="inlineStr">
        <is>
          <t>IVFA Scientists EA</t>
        </is>
      </c>
      <c r="E593" s="15" t="inlineStr">
        <is>
          <t>FT - Full-time Waged</t>
        </is>
      </c>
      <c r="F593" s="15" t="inlineStr">
        <is>
          <t>IVFA</t>
        </is>
      </c>
      <c r="G593" s="15" t="inlineStr">
        <is>
          <t>New South Wales</t>
        </is>
      </c>
      <c r="H593" s="17" t="inlineStr">
        <is>
          <t>76.00</t>
        </is>
      </c>
      <c r="I593" s="15" t="inlineStr">
        <is>
          <t>IVF Australia Pty Ltd</t>
        </is>
      </c>
      <c r="J593" s="18" t="n">
        <v>9.5</v>
      </c>
      <c r="K593" s="17" t="inlineStr">
        <is>
          <t>9.50</t>
        </is>
      </c>
      <c r="L593" s="16" t="n">
        <v>45949</v>
      </c>
      <c r="M593" s="16" t="n">
        <v>45845</v>
      </c>
      <c r="N593" s="17" t="inlineStr"/>
      <c r="O593" s="17" t="inlineStr"/>
      <c r="P593" s="16" t="n"/>
    </row>
    <row r="594" ht="52.8" customHeight="1">
      <c r="A594" s="11" t="inlineStr">
        <is>
          <t>AU23726</t>
        </is>
      </c>
      <c r="B594" s="12" t="n">
        <v>45845</v>
      </c>
      <c r="C594" s="11" t="inlineStr">
        <is>
          <t>Social media Coordinator</t>
        </is>
      </c>
      <c r="D594" s="11" t="inlineStr">
        <is>
          <t>Common Law Employment Contract</t>
        </is>
      </c>
      <c r="E594" s="11" t="inlineStr">
        <is>
          <t>FP - Full-time Salaried</t>
        </is>
      </c>
      <c r="F594" s="11" t="inlineStr">
        <is>
          <t>Corporate Services</t>
        </is>
      </c>
      <c r="G594" s="11" t="inlineStr">
        <is>
          <t>New South Wales</t>
        </is>
      </c>
      <c r="H594" s="13" t="inlineStr">
        <is>
          <t>76.00</t>
        </is>
      </c>
      <c r="I594" s="11" t="inlineStr">
        <is>
          <t>IVF Australia Pty Ltd</t>
        </is>
      </c>
      <c r="J594" s="14" t="n">
        <v>9.5</v>
      </c>
      <c r="K594" s="13" t="inlineStr">
        <is>
          <t>9.50</t>
        </is>
      </c>
      <c r="L594" s="12" t="n">
        <v>45949</v>
      </c>
      <c r="M594" s="12" t="n">
        <v>45845</v>
      </c>
      <c r="N594" s="13" t="inlineStr"/>
      <c r="O594" s="13" t="inlineStr"/>
      <c r="P594" s="12" t="n"/>
    </row>
    <row r="595" ht="39.6" customHeight="1">
      <c r="A595" s="15" t="inlineStr">
        <is>
          <t>AU23575</t>
        </is>
      </c>
      <c r="B595" s="16" t="n">
        <v>45727</v>
      </c>
      <c r="C595" s="15" t="inlineStr">
        <is>
          <t>Nurse Coordinator</t>
        </is>
      </c>
      <c r="D595" s="15" t="inlineStr">
        <is>
          <t>NSW Nurse EA</t>
        </is>
      </c>
      <c r="E595" s="15" t="inlineStr">
        <is>
          <t>FT - Full-time Waged</t>
        </is>
      </c>
      <c r="F595" s="15" t="inlineStr">
        <is>
          <t>IVFA</t>
        </is>
      </c>
      <c r="G595" s="15" t="inlineStr">
        <is>
          <t>New South Wales</t>
        </is>
      </c>
      <c r="H595" s="17" t="inlineStr">
        <is>
          <t>76.00</t>
        </is>
      </c>
      <c r="I595" s="15" t="inlineStr">
        <is>
          <t>IVF Australia Pty Ltd</t>
        </is>
      </c>
      <c r="J595" s="18" t="n">
        <v>9.539999999999999</v>
      </c>
      <c r="K595" s="17" t="inlineStr">
        <is>
          <t>9.54</t>
        </is>
      </c>
      <c r="L595" s="16" t="n">
        <v>45837</v>
      </c>
      <c r="M595" s="16" t="n">
        <v>45727</v>
      </c>
      <c r="N595" s="17" t="inlineStr"/>
      <c r="O595" s="17" t="inlineStr"/>
      <c r="P595" s="16" t="n"/>
    </row>
    <row r="596" ht="26.4" customHeight="1">
      <c r="A596" s="11" t="inlineStr">
        <is>
          <t>AU23561</t>
        </is>
      </c>
      <c r="B596" s="12" t="n">
        <v>45733</v>
      </c>
      <c r="C596" s="11" t="inlineStr">
        <is>
          <t>Registered Nurse</t>
        </is>
      </c>
      <c r="D596" s="11" t="inlineStr">
        <is>
          <t>NSW Nurse EA</t>
        </is>
      </c>
      <c r="E596" s="11" t="inlineStr">
        <is>
          <t>CA - Casual</t>
        </is>
      </c>
      <c r="F596" s="11" t="inlineStr">
        <is>
          <t>Day Hospitals</t>
        </is>
      </c>
      <c r="G596" s="11" t="inlineStr">
        <is>
          <t>New South Wales</t>
        </is>
      </c>
      <c r="H596" s="13" t="inlineStr"/>
      <c r="I596" s="11" t="inlineStr">
        <is>
          <t>City West Day Surgery</t>
        </is>
      </c>
      <c r="J596" s="14" t="n">
        <v>9.630000000000001</v>
      </c>
      <c r="K596" s="13" t="inlineStr">
        <is>
          <t>9.63</t>
        </is>
      </c>
      <c r="L596" s="12" t="n">
        <v>45949</v>
      </c>
      <c r="M596" s="12" t="n">
        <v>45733</v>
      </c>
      <c r="N596" s="13" t="inlineStr"/>
      <c r="O596" s="13" t="inlineStr"/>
      <c r="P596" s="12" t="n"/>
    </row>
    <row r="597" ht="52.8" customHeight="1">
      <c r="A597" s="15" t="inlineStr">
        <is>
          <t>AU23623</t>
        </is>
      </c>
      <c r="B597" s="16" t="n">
        <v>45789</v>
      </c>
      <c r="C597" s="15" t="inlineStr">
        <is>
          <t>Associate Security Analyst</t>
        </is>
      </c>
      <c r="D597" s="15" t="inlineStr">
        <is>
          <t>Common Law Employment Contract</t>
        </is>
      </c>
      <c r="E597" s="15" t="inlineStr">
        <is>
          <t>FP - Full-time Salaried</t>
        </is>
      </c>
      <c r="F597" s="15" t="inlineStr">
        <is>
          <t>IVFA</t>
        </is>
      </c>
      <c r="G597" s="15" t="inlineStr">
        <is>
          <t>Victoria</t>
        </is>
      </c>
      <c r="H597" s="17" t="inlineStr">
        <is>
          <t>76.00</t>
        </is>
      </c>
      <c r="I597" s="15" t="inlineStr">
        <is>
          <t>IVF Australia Pty Ltd</t>
        </is>
      </c>
      <c r="J597" s="18" t="n">
        <v>9.77</v>
      </c>
      <c r="K597" s="17" t="inlineStr">
        <is>
          <t>9.77</t>
        </is>
      </c>
      <c r="L597" s="16" t="n">
        <v>45949</v>
      </c>
      <c r="M597" s="16" t="n">
        <v>45789</v>
      </c>
      <c r="N597" s="17" t="inlineStr"/>
      <c r="O597" s="17" t="inlineStr"/>
      <c r="P597" s="16" t="n"/>
    </row>
    <row r="598" ht="39.6" customHeight="1">
      <c r="A598" s="11" t="inlineStr">
        <is>
          <t>AU23718</t>
        </is>
      </c>
      <c r="B598" s="12" t="n">
        <v>45824</v>
      </c>
      <c r="C598" s="11" t="inlineStr">
        <is>
          <t>Registered Nurse</t>
        </is>
      </c>
      <c r="D598" s="11" t="inlineStr">
        <is>
          <t>NSW Nurse EA</t>
        </is>
      </c>
      <c r="E598" s="11" t="inlineStr">
        <is>
          <t>PP - Part-time Waged</t>
        </is>
      </c>
      <c r="F598" s="11" t="inlineStr">
        <is>
          <t>Day Hospitals</t>
        </is>
      </c>
      <c r="G598" s="11" t="inlineStr">
        <is>
          <t>New South Wales</t>
        </is>
      </c>
      <c r="H598" s="13" t="inlineStr">
        <is>
          <t>32.00</t>
        </is>
      </c>
      <c r="I598" s="11" t="inlineStr">
        <is>
          <t>City West Day Surgery</t>
        </is>
      </c>
      <c r="J598" s="14" t="n">
        <v>9.789999999999999</v>
      </c>
      <c r="K598" s="13" t="inlineStr">
        <is>
          <t>9.79</t>
        </is>
      </c>
      <c r="L598" s="12" t="n">
        <v>45949</v>
      </c>
      <c r="M598" s="12" t="n">
        <v>45677</v>
      </c>
      <c r="N598" s="13" t="inlineStr"/>
      <c r="O598" s="13" t="inlineStr"/>
      <c r="P598" s="12" t="n"/>
    </row>
    <row r="599" ht="79.2" customHeight="1">
      <c r="A599" s="15" t="inlineStr">
        <is>
          <t>AU23732</t>
        </is>
      </c>
      <c r="B599" s="16" t="n">
        <v>45866</v>
      </c>
      <c r="C599" s="15" t="inlineStr">
        <is>
          <t>Phlebotomist</t>
        </is>
      </c>
      <c r="D599" s="15" t="inlineStr">
        <is>
          <t>Health Professionals and Support Services Award</t>
        </is>
      </c>
      <c r="E599" s="15" t="inlineStr">
        <is>
          <t>PP - Part-time Waged</t>
        </is>
      </c>
      <c r="F599" s="15" t="inlineStr">
        <is>
          <t>Queensland Fertility Group</t>
        </is>
      </c>
      <c r="G599" s="15" t="inlineStr">
        <is>
          <t>Queensland</t>
        </is>
      </c>
      <c r="H599" s="17" t="inlineStr">
        <is>
          <t>38.00</t>
        </is>
      </c>
      <c r="I599" s="15" t="inlineStr">
        <is>
          <t>Queensland Fertility Group Pty Ltd</t>
        </is>
      </c>
      <c r="J599" s="18" t="n">
        <v>9.85</v>
      </c>
      <c r="K599" s="17" t="inlineStr">
        <is>
          <t>9.85</t>
        </is>
      </c>
      <c r="L599" s="16" t="n">
        <v>45949</v>
      </c>
      <c r="M599" s="16" t="n">
        <v>45699</v>
      </c>
      <c r="N599" s="17" t="inlineStr"/>
      <c r="O599" s="17" t="inlineStr"/>
      <c r="P599" s="16" t="n"/>
    </row>
    <row r="600" ht="79.2" customHeight="1">
      <c r="A600" s="11" t="inlineStr">
        <is>
          <t>AU23158</t>
        </is>
      </c>
      <c r="B600" s="12" t="n">
        <v>45398</v>
      </c>
      <c r="C600" s="11" t="inlineStr">
        <is>
          <t>Phlebotomist</t>
        </is>
      </c>
      <c r="D600" s="11" t="inlineStr">
        <is>
          <t>Health Professionals and Support Services Award</t>
        </is>
      </c>
      <c r="E600" s="11" t="inlineStr">
        <is>
          <t>CA - Casual</t>
        </is>
      </c>
      <c r="F600" s="11" t="inlineStr">
        <is>
          <t>Queensland Fertility Group</t>
        </is>
      </c>
      <c r="G600" s="11" t="inlineStr">
        <is>
          <t>Queensland</t>
        </is>
      </c>
      <c r="H600" s="13" t="inlineStr"/>
      <c r="I600" s="11" t="inlineStr">
        <is>
          <t>Queensland Fertility Group Pty Ltd</t>
        </is>
      </c>
      <c r="J600" s="14" t="n">
        <v>10</v>
      </c>
      <c r="K600" s="13" t="inlineStr">
        <is>
          <t>10.00</t>
        </is>
      </c>
      <c r="L600" s="12" t="n">
        <v>45907</v>
      </c>
      <c r="M600" s="12" t="n">
        <v>45398</v>
      </c>
      <c r="N600" s="13" t="inlineStr"/>
      <c r="O600" s="13" t="inlineStr"/>
      <c r="P600" s="12" t="n"/>
    </row>
    <row r="601" ht="26.4" customHeight="1">
      <c r="A601" s="15" t="inlineStr">
        <is>
          <t>AU23229</t>
        </is>
      </c>
      <c r="B601" s="16" t="n">
        <v>45439</v>
      </c>
      <c r="C601" s="15" t="inlineStr">
        <is>
          <t>Assistant in Nursing</t>
        </is>
      </c>
      <c r="D601" s="15" t="inlineStr">
        <is>
          <t>NSW Nurse EA</t>
        </is>
      </c>
      <c r="E601" s="15" t="inlineStr">
        <is>
          <t>CA - Casual</t>
        </is>
      </c>
      <c r="F601" s="15" t="inlineStr">
        <is>
          <t>Day Hospitals</t>
        </is>
      </c>
      <c r="G601" s="15" t="inlineStr">
        <is>
          <t>New South Wales</t>
        </is>
      </c>
      <c r="H601" s="17" t="inlineStr"/>
      <c r="I601" s="15" t="inlineStr">
        <is>
          <t>City West Day Surgery</t>
        </is>
      </c>
      <c r="J601" s="18" t="n">
        <v>10.05</v>
      </c>
      <c r="K601" s="17" t="inlineStr">
        <is>
          <t>10.05</t>
        </is>
      </c>
      <c r="L601" s="16" t="n">
        <v>45949</v>
      </c>
      <c r="M601" s="16" t="n">
        <v>45439</v>
      </c>
      <c r="N601" s="17" t="inlineStr"/>
      <c r="O601" s="17" t="inlineStr"/>
      <c r="P601" s="16" t="n"/>
    </row>
    <row r="602" ht="52.8" customHeight="1">
      <c r="A602" s="11" t="n">
        <v>60112</v>
      </c>
      <c r="B602" s="12" t="n">
        <v>38631</v>
      </c>
      <c r="C602" s="11" t="inlineStr">
        <is>
          <t>Registered Nurse</t>
        </is>
      </c>
      <c r="D602" s="11" t="inlineStr">
        <is>
          <t>QLD Nurse EA</t>
        </is>
      </c>
      <c r="E602" s="11" t="inlineStr">
        <is>
          <t>CA - Casual</t>
        </is>
      </c>
      <c r="F602" s="11" t="inlineStr">
        <is>
          <t>Day Hospitals</t>
        </is>
      </c>
      <c r="G602" s="11" t="inlineStr">
        <is>
          <t>Queensland</t>
        </is>
      </c>
      <c r="H602" s="13" t="inlineStr"/>
      <c r="I602" s="11" t="inlineStr">
        <is>
          <t>Spring Hill Specialist Day Hospital</t>
        </is>
      </c>
      <c r="J602" s="14" t="n">
        <v>54.86</v>
      </c>
      <c r="K602" s="13" t="inlineStr">
        <is>
          <t>10.12</t>
        </is>
      </c>
      <c r="L602" s="12" t="n">
        <v>45949</v>
      </c>
      <c r="M602" s="12" t="n">
        <v>45818</v>
      </c>
      <c r="N602" s="13" t="inlineStr">
        <is>
          <t>44.74</t>
        </is>
      </c>
      <c r="O602" s="13" t="inlineStr"/>
      <c r="P602" s="12" t="n"/>
    </row>
    <row r="603" ht="66" customHeight="1">
      <c r="A603" s="15" t="inlineStr">
        <is>
          <t>AU23203</t>
        </is>
      </c>
      <c r="B603" s="16" t="n">
        <v>45404</v>
      </c>
      <c r="C603" s="15" t="inlineStr">
        <is>
          <t>Enrolled Nurse</t>
        </is>
      </c>
      <c r="D603" s="15" t="inlineStr">
        <is>
          <t>NSW Nurse EA</t>
        </is>
      </c>
      <c r="E603" s="15" t="inlineStr">
        <is>
          <t>CA - Casual</t>
        </is>
      </c>
      <c r="F603" s="15" t="inlineStr">
        <is>
          <t>Day Hospitals</t>
        </is>
      </c>
      <c r="G603" s="15" t="inlineStr">
        <is>
          <t>New South Wales</t>
        </is>
      </c>
      <c r="H603" s="17" t="inlineStr"/>
      <c r="I603" s="15" t="inlineStr">
        <is>
          <t>Alexandria Specialist Day Hospital Pty Ltd</t>
        </is>
      </c>
      <c r="J603" s="18" t="n">
        <v>10.15</v>
      </c>
      <c r="K603" s="17" t="inlineStr">
        <is>
          <t>10.15</t>
        </is>
      </c>
      <c r="L603" s="16" t="n">
        <v>45795</v>
      </c>
      <c r="M603" s="16" t="n">
        <v>45404</v>
      </c>
      <c r="N603" s="17" t="inlineStr"/>
      <c r="O603" s="17" t="inlineStr"/>
      <c r="P603" s="16" t="n"/>
    </row>
    <row r="604" ht="66" customHeight="1">
      <c r="A604" s="11" t="inlineStr">
        <is>
          <t>AU22565</t>
        </is>
      </c>
      <c r="B604" s="12" t="n">
        <v>44795</v>
      </c>
      <c r="C604" s="11" t="inlineStr">
        <is>
          <t>Registered Nurse</t>
        </is>
      </c>
      <c r="D604" s="11" t="inlineStr">
        <is>
          <t>NSW Nurse EA</t>
        </is>
      </c>
      <c r="E604" s="11" t="inlineStr">
        <is>
          <t>CA - Casual</t>
        </is>
      </c>
      <c r="F604" s="11" t="inlineStr">
        <is>
          <t>Day Hospitals</t>
        </is>
      </c>
      <c r="G604" s="11" t="inlineStr">
        <is>
          <t>New South Wales</t>
        </is>
      </c>
      <c r="H604" s="13" t="inlineStr"/>
      <c r="I604" s="11" t="inlineStr">
        <is>
          <t>Alexandria Specialist Day Hospital Pty Ltd</t>
        </is>
      </c>
      <c r="J604" s="14" t="n">
        <v>10.18</v>
      </c>
      <c r="K604" s="13" t="inlineStr">
        <is>
          <t>10.18</t>
        </is>
      </c>
      <c r="L604" s="12" t="n">
        <v>45935</v>
      </c>
      <c r="M604" s="12" t="n">
        <v>44795</v>
      </c>
      <c r="N604" s="13" t="inlineStr"/>
      <c r="O604" s="13" t="inlineStr"/>
      <c r="P604" s="12" t="n"/>
    </row>
    <row r="605" ht="52.8" customHeight="1">
      <c r="A605" s="15" t="inlineStr">
        <is>
          <t>AU23682</t>
        </is>
      </c>
      <c r="B605" s="16" t="n">
        <v>45824</v>
      </c>
      <c r="C605" s="15" t="inlineStr">
        <is>
          <t>Registered Nurse</t>
        </is>
      </c>
      <c r="D605" s="15" t="inlineStr">
        <is>
          <t>QLD Nurse EA</t>
        </is>
      </c>
      <c r="E605" s="15" t="inlineStr">
        <is>
          <t>PP - Part-time Waged</t>
        </is>
      </c>
      <c r="F605" s="15" t="inlineStr">
        <is>
          <t>Day Hospitals</t>
        </is>
      </c>
      <c r="G605" s="15" t="inlineStr">
        <is>
          <t>Queensland</t>
        </is>
      </c>
      <c r="H605" s="17" t="inlineStr">
        <is>
          <t>48.00</t>
        </is>
      </c>
      <c r="I605" s="15" t="inlineStr">
        <is>
          <t>Spring Hill Specialist Day Hospital</t>
        </is>
      </c>
      <c r="J605" s="18" t="n">
        <v>10.28</v>
      </c>
      <c r="K605" s="17" t="inlineStr">
        <is>
          <t>10.28</t>
        </is>
      </c>
      <c r="L605" s="16" t="n">
        <v>45949</v>
      </c>
      <c r="M605" s="16" t="n">
        <v>45824</v>
      </c>
      <c r="N605" s="17" t="inlineStr"/>
      <c r="O605" s="17" t="inlineStr"/>
      <c r="P605" s="16" t="n"/>
    </row>
    <row r="606" ht="79.2" customHeight="1">
      <c r="A606" s="11" t="inlineStr">
        <is>
          <t>AU23482</t>
        </is>
      </c>
      <c r="B606" s="12" t="n">
        <v>45670</v>
      </c>
      <c r="C606" s="11" t="inlineStr">
        <is>
          <t>Medical Receptionist</t>
        </is>
      </c>
      <c r="D606" s="11" t="inlineStr">
        <is>
          <t>Health Professionals and Support Services Award</t>
        </is>
      </c>
      <c r="E606" s="11" t="inlineStr">
        <is>
          <t>PP - Part-time Waged</t>
        </is>
      </c>
      <c r="F606" s="11" t="inlineStr">
        <is>
          <t>Queensland Fertility Group</t>
        </is>
      </c>
      <c r="G606" s="11" t="inlineStr">
        <is>
          <t>Queensland</t>
        </is>
      </c>
      <c r="H606" s="13" t="inlineStr">
        <is>
          <t>30.00</t>
        </is>
      </c>
      <c r="I606" s="11" t="inlineStr">
        <is>
          <t>Queensland Fertility Group Pty Ltd</t>
        </is>
      </c>
      <c r="J606" s="14" t="n">
        <v>10.39</v>
      </c>
      <c r="K606" s="13" t="inlineStr">
        <is>
          <t>10.39</t>
        </is>
      </c>
      <c r="L606" s="12" t="n">
        <v>45949</v>
      </c>
      <c r="M606" s="12" t="n">
        <v>45670</v>
      </c>
      <c r="N606" s="13" t="inlineStr"/>
      <c r="O606" s="13" t="inlineStr"/>
      <c r="P606" s="12" t="n"/>
    </row>
    <row r="607" ht="79.2" customHeight="1">
      <c r="A607" s="15" t="inlineStr">
        <is>
          <t>AU22661</t>
        </is>
      </c>
      <c r="B607" s="16" t="n">
        <v>44872</v>
      </c>
      <c r="C607" s="15" t="inlineStr">
        <is>
          <t>Administration</t>
        </is>
      </c>
      <c r="D607" s="15" t="inlineStr">
        <is>
          <t>Health Professionals and Support Services Award</t>
        </is>
      </c>
      <c r="E607" s="15" t="inlineStr">
        <is>
          <t>CA - Casual</t>
        </is>
      </c>
      <c r="F607" s="15" t="inlineStr">
        <is>
          <t>Diagnostics</t>
        </is>
      </c>
      <c r="G607" s="15" t="inlineStr">
        <is>
          <t>Queensland</t>
        </is>
      </c>
      <c r="H607" s="17" t="inlineStr"/>
      <c r="I607" s="15" t="inlineStr">
        <is>
          <t>Queensland Fertility Group Pty Ltd</t>
        </is>
      </c>
      <c r="J607" s="18" t="n">
        <v>10.51</v>
      </c>
      <c r="K607" s="17" t="inlineStr">
        <is>
          <t>10.51</t>
        </is>
      </c>
      <c r="L607" s="16" t="n">
        <v>45949</v>
      </c>
      <c r="M607" s="16" t="n">
        <v>44872</v>
      </c>
      <c r="N607" s="17" t="inlineStr"/>
      <c r="O607" s="17" t="inlineStr"/>
      <c r="P607" s="16" t="n"/>
    </row>
    <row r="608" ht="66" customHeight="1">
      <c r="A608" s="11" t="inlineStr">
        <is>
          <t>AU22743</t>
        </is>
      </c>
      <c r="B608" s="12" t="n">
        <v>44965</v>
      </c>
      <c r="C608" s="11" t="inlineStr">
        <is>
          <t>Registered Nurse</t>
        </is>
      </c>
      <c r="D608" s="11" t="inlineStr">
        <is>
          <t>NSW Nurse EA</t>
        </is>
      </c>
      <c r="E608" s="11" t="inlineStr">
        <is>
          <t>CA - Casual</t>
        </is>
      </c>
      <c r="F608" s="11" t="inlineStr">
        <is>
          <t>Day Hospitals</t>
        </is>
      </c>
      <c r="G608" s="11" t="inlineStr">
        <is>
          <t>New South Wales</t>
        </is>
      </c>
      <c r="H608" s="13" t="inlineStr"/>
      <c r="I608" s="11" t="inlineStr">
        <is>
          <t>Alexandria Specialist Day Hospital Pty Ltd</t>
        </is>
      </c>
      <c r="J608" s="14" t="n">
        <v>10.57</v>
      </c>
      <c r="K608" s="13" t="inlineStr">
        <is>
          <t>10.57</t>
        </is>
      </c>
      <c r="L608" s="12" t="n">
        <v>45949</v>
      </c>
      <c r="M608" s="12" t="n">
        <v>44965</v>
      </c>
      <c r="N608" s="13" t="inlineStr"/>
      <c r="O608" s="13" t="inlineStr"/>
      <c r="P608" s="12" t="n"/>
    </row>
    <row r="609" ht="52.8" customHeight="1">
      <c r="A609" s="15" t="n">
        <v>80053</v>
      </c>
      <c r="B609" s="16" t="n">
        <v>38547</v>
      </c>
      <c r="C609" s="15" t="inlineStr">
        <is>
          <t>Embryologist</t>
        </is>
      </c>
      <c r="D609" s="15" t="inlineStr">
        <is>
          <t>QLD Scientists EA</t>
        </is>
      </c>
      <c r="E609" s="15" t="inlineStr">
        <is>
          <t>PP - Part-time Waged</t>
        </is>
      </c>
      <c r="F609" s="15" t="inlineStr">
        <is>
          <t>Queensland Fertility Group</t>
        </is>
      </c>
      <c r="G609" s="15" t="inlineStr">
        <is>
          <t>Queensland</t>
        </is>
      </c>
      <c r="H609" s="17" t="inlineStr">
        <is>
          <t>60.80</t>
        </is>
      </c>
      <c r="I609" s="15" t="inlineStr">
        <is>
          <t>Queensland Fertility Group Pty Ltd</t>
        </is>
      </c>
      <c r="J609" s="18" t="n">
        <v>82.94</v>
      </c>
      <c r="K609" s="17" t="inlineStr">
        <is>
          <t>10.64</t>
        </is>
      </c>
      <c r="L609" s="16" t="n">
        <v>45949</v>
      </c>
      <c r="M609" s="16" t="n">
        <v>45852</v>
      </c>
      <c r="N609" s="17" t="inlineStr">
        <is>
          <t>72.30</t>
        </is>
      </c>
      <c r="O609" s="17" t="inlineStr"/>
      <c r="P609" s="16" t="n"/>
    </row>
    <row r="610" ht="39.6" customHeight="1">
      <c r="A610" s="11" t="inlineStr">
        <is>
          <t>AU23693</t>
        </is>
      </c>
      <c r="B610" s="12" t="n">
        <v>45831</v>
      </c>
      <c r="C610" s="11" t="inlineStr">
        <is>
          <t>Nures Coordinator</t>
        </is>
      </c>
      <c r="D610" s="11" t="inlineStr">
        <is>
          <t>NSW Nurse EA</t>
        </is>
      </c>
      <c r="E610" s="11" t="inlineStr">
        <is>
          <t>CO - Contract</t>
        </is>
      </c>
      <c r="F610" s="11" t="inlineStr">
        <is>
          <t>IVFA</t>
        </is>
      </c>
      <c r="G610" s="11" t="inlineStr">
        <is>
          <t>New South Wales</t>
        </is>
      </c>
      <c r="H610" s="13" t="inlineStr">
        <is>
          <t>76.00</t>
        </is>
      </c>
      <c r="I610" s="11" t="inlineStr">
        <is>
          <t>IVF Australia Pty Ltd</t>
        </is>
      </c>
      <c r="J610" s="14" t="n">
        <v>10.73</v>
      </c>
      <c r="K610" s="13" t="inlineStr">
        <is>
          <t>10.73</t>
        </is>
      </c>
      <c r="L610" s="12" t="n">
        <v>45949</v>
      </c>
      <c r="M610" s="12" t="n">
        <v>45831</v>
      </c>
      <c r="N610" s="13" t="inlineStr"/>
      <c r="O610" s="13" t="inlineStr"/>
      <c r="P610" s="12" t="n"/>
    </row>
    <row r="611" ht="39.6" customHeight="1">
      <c r="A611" s="15" t="inlineStr">
        <is>
          <t>AU23182</t>
        </is>
      </c>
      <c r="B611" s="16" t="n">
        <v>45404</v>
      </c>
      <c r="C611" s="15" t="inlineStr">
        <is>
          <t>Theatre Orderly</t>
        </is>
      </c>
      <c r="D611" s="15" t="inlineStr">
        <is>
          <t>NSW Support Services EA</t>
        </is>
      </c>
      <c r="E611" s="15" t="inlineStr">
        <is>
          <t>CA - Casual</t>
        </is>
      </c>
      <c r="F611" s="15" t="inlineStr">
        <is>
          <t>Day Hospitals</t>
        </is>
      </c>
      <c r="G611" s="15" t="inlineStr">
        <is>
          <t>New South Wales</t>
        </is>
      </c>
      <c r="H611" s="17" t="inlineStr"/>
      <c r="I611" s="15" t="inlineStr">
        <is>
          <t>City West Day Surgery</t>
        </is>
      </c>
      <c r="J611" s="18" t="n">
        <v>10.83</v>
      </c>
      <c r="K611" s="17" t="inlineStr">
        <is>
          <t>10.83</t>
        </is>
      </c>
      <c r="L611" s="16" t="n">
        <v>45949</v>
      </c>
      <c r="M611" s="16" t="n">
        <v>45404</v>
      </c>
      <c r="N611" s="17" t="inlineStr"/>
      <c r="O611" s="17" t="inlineStr"/>
      <c r="P611" s="16" t="n"/>
    </row>
    <row r="612" ht="52.8" customHeight="1">
      <c r="A612" s="11" t="inlineStr">
        <is>
          <t>AU23697</t>
        </is>
      </c>
      <c r="B612" s="12" t="n">
        <v>45824</v>
      </c>
      <c r="C612" s="11" t="inlineStr">
        <is>
          <t>Registered Nurse</t>
        </is>
      </c>
      <c r="D612" s="11" t="inlineStr">
        <is>
          <t>QLD Nurse EA</t>
        </is>
      </c>
      <c r="E612" s="11" t="inlineStr">
        <is>
          <t>PP - Part-time Waged</t>
        </is>
      </c>
      <c r="F612" s="11" t="inlineStr">
        <is>
          <t>Day Hospitals</t>
        </is>
      </c>
      <c r="G612" s="11" t="inlineStr">
        <is>
          <t>Queensland</t>
        </is>
      </c>
      <c r="H612" s="13" t="inlineStr">
        <is>
          <t>48.00</t>
        </is>
      </c>
      <c r="I612" s="11" t="inlineStr">
        <is>
          <t>Spring Hill Specialist Day Hospital</t>
        </is>
      </c>
      <c r="J612" s="14" t="n">
        <v>10.96</v>
      </c>
      <c r="K612" s="13" t="inlineStr">
        <is>
          <t>10.96</t>
        </is>
      </c>
      <c r="L612" s="12" t="n">
        <v>45949</v>
      </c>
      <c r="M612" s="12" t="n">
        <v>45824</v>
      </c>
      <c r="N612" s="13" t="inlineStr"/>
      <c r="O612" s="13" t="inlineStr"/>
      <c r="P612" s="12" t="n"/>
    </row>
    <row r="613" ht="52.8" customHeight="1">
      <c r="A613" s="15" t="inlineStr">
        <is>
          <t>AU23671</t>
        </is>
      </c>
      <c r="B613" s="16" t="n">
        <v>45804</v>
      </c>
      <c r="C613" s="15" t="inlineStr">
        <is>
          <t>Registered Nurse</t>
        </is>
      </c>
      <c r="D613" s="15" t="inlineStr">
        <is>
          <t>QLD Nurse EA</t>
        </is>
      </c>
      <c r="E613" s="15" t="inlineStr">
        <is>
          <t>CA - Casual</t>
        </is>
      </c>
      <c r="F613" s="15" t="inlineStr">
        <is>
          <t>Day Hospitals</t>
        </is>
      </c>
      <c r="G613" s="15" t="inlineStr">
        <is>
          <t>Queensland</t>
        </is>
      </c>
      <c r="H613" s="17" t="inlineStr"/>
      <c r="I613" s="15" t="inlineStr">
        <is>
          <t>Spring Hill Specialist Day Hospital</t>
        </is>
      </c>
      <c r="J613" s="18" t="n">
        <v>11.04</v>
      </c>
      <c r="K613" s="17" t="inlineStr">
        <is>
          <t>11.04</t>
        </is>
      </c>
      <c r="L613" s="16" t="n">
        <v>45949</v>
      </c>
      <c r="M613" s="16" t="n">
        <v>45804</v>
      </c>
      <c r="N613" s="17" t="inlineStr"/>
      <c r="O613" s="17" t="inlineStr"/>
      <c r="P613" s="16" t="n"/>
    </row>
    <row r="614" ht="66" customHeight="1">
      <c r="A614" s="11" t="inlineStr">
        <is>
          <t>AU23652</t>
        </is>
      </c>
      <c r="B614" s="12" t="n">
        <v>45782</v>
      </c>
      <c r="C614" s="11" t="inlineStr">
        <is>
          <t>Registered Nurse</t>
        </is>
      </c>
      <c r="D614" s="11" t="inlineStr">
        <is>
          <t>NSW Nurse EA</t>
        </is>
      </c>
      <c r="E614" s="11" t="inlineStr">
        <is>
          <t>CA - Casual</t>
        </is>
      </c>
      <c r="F614" s="11" t="inlineStr">
        <is>
          <t>Day Hospitals</t>
        </is>
      </c>
      <c r="G614" s="11" t="inlineStr">
        <is>
          <t>New South Wales</t>
        </is>
      </c>
      <c r="H614" s="13" t="inlineStr"/>
      <c r="I614" s="11" t="inlineStr">
        <is>
          <t>Alexandria Specialist Day Hospital Pty Ltd</t>
        </is>
      </c>
      <c r="J614" s="14" t="n">
        <v>11.08</v>
      </c>
      <c r="K614" s="13" t="inlineStr">
        <is>
          <t>11.08</t>
        </is>
      </c>
      <c r="L614" s="12" t="n">
        <v>45949</v>
      </c>
      <c r="M614" s="12" t="n">
        <v>45782</v>
      </c>
      <c r="N614" s="13" t="inlineStr"/>
      <c r="O614" s="13" t="inlineStr"/>
      <c r="P614" s="12" t="n"/>
    </row>
    <row r="615" ht="39.6" customHeight="1">
      <c r="A615" s="15" t="inlineStr">
        <is>
          <t>AU23692</t>
        </is>
      </c>
      <c r="B615" s="16" t="n">
        <v>45824</v>
      </c>
      <c r="C615" s="15" t="inlineStr">
        <is>
          <t>Laboratory Support Assistant</t>
        </is>
      </c>
      <c r="D615" s="15" t="inlineStr">
        <is>
          <t>IVFA Scientists EA</t>
        </is>
      </c>
      <c r="E615" s="15" t="inlineStr">
        <is>
          <t>FT - Full-time Waged</t>
        </is>
      </c>
      <c r="F615" s="15" t="inlineStr">
        <is>
          <t>IVFA</t>
        </is>
      </c>
      <c r="G615" s="15" t="inlineStr">
        <is>
          <t>New South Wales</t>
        </is>
      </c>
      <c r="H615" s="17" t="inlineStr">
        <is>
          <t>76.00</t>
        </is>
      </c>
      <c r="I615" s="15" t="inlineStr">
        <is>
          <t>IVF Australia Pty Ltd</t>
        </is>
      </c>
      <c r="J615" s="18" t="n">
        <v>11.19</v>
      </c>
      <c r="K615" s="17" t="inlineStr">
        <is>
          <t>11.19</t>
        </is>
      </c>
      <c r="L615" s="16" t="n">
        <v>45949</v>
      </c>
      <c r="M615" s="16" t="n">
        <v>45824</v>
      </c>
      <c r="N615" s="17" t="inlineStr"/>
      <c r="O615" s="17" t="inlineStr"/>
      <c r="P615" s="16" t="n"/>
    </row>
    <row r="616" ht="52.8" customHeight="1">
      <c r="A616" s="11" t="inlineStr">
        <is>
          <t>AU23841</t>
        </is>
      </c>
      <c r="B616" s="12" t="n">
        <v>45915</v>
      </c>
      <c r="C616" s="11" t="inlineStr">
        <is>
          <t>Registered Nurse</t>
        </is>
      </c>
      <c r="D616" s="11" t="inlineStr">
        <is>
          <t>QLD Nurse EA</t>
        </is>
      </c>
      <c r="E616" s="11" t="inlineStr">
        <is>
          <t>CA - Casual</t>
        </is>
      </c>
      <c r="F616" s="11" t="inlineStr">
        <is>
          <t>Day Hospitals</t>
        </is>
      </c>
      <c r="G616" s="11" t="inlineStr">
        <is>
          <t>Queensland</t>
        </is>
      </c>
      <c r="H616" s="13" t="inlineStr"/>
      <c r="I616" s="11" t="inlineStr">
        <is>
          <t>Spring Hill Specialist Day Hospital</t>
        </is>
      </c>
      <c r="J616" s="14" t="n">
        <v>11.19</v>
      </c>
      <c r="K616" s="13" t="inlineStr">
        <is>
          <t>11.19</t>
        </is>
      </c>
      <c r="L616" s="12" t="n">
        <v>45949</v>
      </c>
      <c r="M616" s="12" t="n">
        <v>45789</v>
      </c>
      <c r="N616" s="13" t="inlineStr"/>
      <c r="O616" s="13" t="inlineStr"/>
      <c r="P616" s="12" t="n"/>
    </row>
    <row r="617" ht="79.2" customHeight="1">
      <c r="A617" s="15" t="inlineStr">
        <is>
          <t>AU23452</t>
        </is>
      </c>
      <c r="B617" s="16" t="n">
        <v>45621</v>
      </c>
      <c r="C617" s="15" t="inlineStr">
        <is>
          <t>Carpark Concierge</t>
        </is>
      </c>
      <c r="D617" s="15" t="inlineStr">
        <is>
          <t>Health Professionals and Support Services Award</t>
        </is>
      </c>
      <c r="E617" s="15" t="inlineStr">
        <is>
          <t>CA - Casual</t>
        </is>
      </c>
      <c r="F617" s="15" t="inlineStr">
        <is>
          <t>IVFA</t>
        </is>
      </c>
      <c r="G617" s="15" t="inlineStr">
        <is>
          <t>New South Wales</t>
        </is>
      </c>
      <c r="H617" s="17" t="inlineStr"/>
      <c r="I617" s="15" t="inlineStr">
        <is>
          <t>IVF Australia Pty Ltd</t>
        </is>
      </c>
      <c r="J617" s="18" t="n">
        <v>11.23</v>
      </c>
      <c r="K617" s="17" t="inlineStr">
        <is>
          <t>11.23</t>
        </is>
      </c>
      <c r="L617" s="16" t="n">
        <v>45949</v>
      </c>
      <c r="M617" s="16" t="n">
        <v>45621</v>
      </c>
      <c r="N617" s="17" t="inlineStr"/>
      <c r="O617" s="17" t="inlineStr"/>
      <c r="P617" s="16" t="n"/>
    </row>
    <row r="618" ht="52.8" customHeight="1">
      <c r="A618" s="11" t="inlineStr">
        <is>
          <t>AU22936</t>
        </is>
      </c>
      <c r="B618" s="12" t="n">
        <v>45142</v>
      </c>
      <c r="C618" s="11" t="inlineStr">
        <is>
          <t>Genetic Scientist</t>
        </is>
      </c>
      <c r="D618" s="11" t="inlineStr">
        <is>
          <t>QLD Scientists EA</t>
        </is>
      </c>
      <c r="E618" s="11" t="inlineStr">
        <is>
          <t>CA - Casual</t>
        </is>
      </c>
      <c r="F618" s="11" t="inlineStr">
        <is>
          <t>Diagnostics</t>
        </is>
      </c>
      <c r="G618" s="11" t="inlineStr">
        <is>
          <t>Queensland</t>
        </is>
      </c>
      <c r="H618" s="13" t="inlineStr"/>
      <c r="I618" s="11" t="inlineStr">
        <is>
          <t>Queensland Fertility Group Pty Ltd</t>
        </is>
      </c>
      <c r="J618" s="14" t="n">
        <v>11.3</v>
      </c>
      <c r="K618" s="13" t="inlineStr">
        <is>
          <t>11.30</t>
        </is>
      </c>
      <c r="L618" s="12" t="n">
        <v>45823</v>
      </c>
      <c r="M618" s="12" t="n">
        <v>45142</v>
      </c>
      <c r="N618" s="13" t="inlineStr"/>
      <c r="O618" s="13" t="inlineStr"/>
      <c r="P618" s="12" t="n"/>
    </row>
    <row r="619" ht="52.8" customHeight="1">
      <c r="A619" s="15" t="inlineStr">
        <is>
          <t>AU23577</t>
        </is>
      </c>
      <c r="B619" s="16" t="n">
        <v>45742</v>
      </c>
      <c r="C619" s="15" t="inlineStr">
        <is>
          <t>P2P Process Improvement Lead</t>
        </is>
      </c>
      <c r="D619" s="15" t="inlineStr">
        <is>
          <t>Common Law Employment Contract</t>
        </is>
      </c>
      <c r="E619" s="15" t="inlineStr">
        <is>
          <t>CO - Contract</t>
        </is>
      </c>
      <c r="F619" s="15" t="inlineStr">
        <is>
          <t>Corporate Services</t>
        </is>
      </c>
      <c r="G619" s="15" t="inlineStr">
        <is>
          <t>New South Wales</t>
        </is>
      </c>
      <c r="H619" s="17" t="inlineStr">
        <is>
          <t>45.60</t>
        </is>
      </c>
      <c r="I619" s="15" t="inlineStr">
        <is>
          <t>IVF Australia Pty Ltd</t>
        </is>
      </c>
      <c r="J619" s="18" t="n">
        <v>11.34</v>
      </c>
      <c r="K619" s="17" t="inlineStr">
        <is>
          <t>11.34</t>
        </is>
      </c>
      <c r="L619" s="16" t="n">
        <v>45949</v>
      </c>
      <c r="M619" s="16" t="n">
        <v>45742</v>
      </c>
      <c r="N619" s="17" t="inlineStr"/>
      <c r="O619" s="17" t="inlineStr"/>
      <c r="P619" s="16" t="n"/>
    </row>
    <row r="620" ht="39.6" customHeight="1">
      <c r="A620" s="11" t="inlineStr">
        <is>
          <t>AU23662</t>
        </is>
      </c>
      <c r="B620" s="12" t="n">
        <v>45803</v>
      </c>
      <c r="C620" s="11" t="inlineStr">
        <is>
          <t>Patient Support Officer</t>
        </is>
      </c>
      <c r="D620" s="11" t="inlineStr">
        <is>
          <t>NSW Support Services EA</t>
        </is>
      </c>
      <c r="E620" s="11" t="inlineStr">
        <is>
          <t>PP - Part-time Waged</t>
        </is>
      </c>
      <c r="F620" s="11" t="inlineStr">
        <is>
          <t>IVFA</t>
        </is>
      </c>
      <c r="G620" s="11" t="inlineStr">
        <is>
          <t>New South Wales</t>
        </is>
      </c>
      <c r="H620" s="13" t="inlineStr">
        <is>
          <t>66.50</t>
        </is>
      </c>
      <c r="I620" s="11" t="inlineStr">
        <is>
          <t>IVF Australia Pty Ltd</t>
        </is>
      </c>
      <c r="J620" s="14" t="n">
        <v>11.37</v>
      </c>
      <c r="K620" s="13" t="inlineStr">
        <is>
          <t>11.37</t>
        </is>
      </c>
      <c r="L620" s="12" t="n">
        <v>45949</v>
      </c>
      <c r="M620" s="12" t="n">
        <v>45803</v>
      </c>
      <c r="N620" s="13" t="inlineStr"/>
      <c r="O620" s="13" t="inlineStr"/>
      <c r="P620" s="12" t="n"/>
    </row>
    <row r="621" ht="52.8" customHeight="1">
      <c r="A621" s="15" t="n">
        <v>20216</v>
      </c>
      <c r="B621" s="16" t="n">
        <v>40350</v>
      </c>
      <c r="C621" s="15" t="inlineStr">
        <is>
          <t>Financial Accountant</t>
        </is>
      </c>
      <c r="D621" s="15" t="inlineStr">
        <is>
          <t>Common Law Employment Contract</t>
        </is>
      </c>
      <c r="E621" s="15" t="inlineStr">
        <is>
          <t>FP - Full-time Salaried</t>
        </is>
      </c>
      <c r="F621" s="15" t="inlineStr">
        <is>
          <t>IVFA</t>
        </is>
      </c>
      <c r="G621" s="15" t="inlineStr">
        <is>
          <t>New South Wales</t>
        </is>
      </c>
      <c r="H621" s="17" t="inlineStr">
        <is>
          <t>76.00</t>
        </is>
      </c>
      <c r="I621" s="15" t="inlineStr">
        <is>
          <t>IVF Australia Pty Ltd</t>
        </is>
      </c>
      <c r="J621" s="18" t="n">
        <v>505.07</v>
      </c>
      <c r="K621" s="17" t="inlineStr">
        <is>
          <t>11.40</t>
        </is>
      </c>
      <c r="L621" s="16" t="n">
        <v>45949</v>
      </c>
      <c r="M621" s="16" t="n">
        <v>45829</v>
      </c>
      <c r="N621" s="17" t="inlineStr">
        <is>
          <t>493.67</t>
        </is>
      </c>
      <c r="O621" s="17" t="inlineStr"/>
      <c r="P621" s="16" t="n"/>
    </row>
    <row r="622" ht="52.8" customHeight="1">
      <c r="A622" s="11" t="n">
        <v>80105</v>
      </c>
      <c r="B622" s="12" t="n">
        <v>39517</v>
      </c>
      <c r="C622" s="11" t="inlineStr">
        <is>
          <t xml:space="preserve">Senior Scientist - </t>
        </is>
      </c>
      <c r="D622" s="11" t="inlineStr">
        <is>
          <t>QLD Scientists EA</t>
        </is>
      </c>
      <c r="E622" s="11" t="inlineStr">
        <is>
          <t>FT - Full-time Waged</t>
        </is>
      </c>
      <c r="F622" s="11" t="inlineStr">
        <is>
          <t>Queensland Fertility Group</t>
        </is>
      </c>
      <c r="G622" s="11" t="inlineStr">
        <is>
          <t>Queensland</t>
        </is>
      </c>
      <c r="H622" s="13" t="inlineStr">
        <is>
          <t>76.00</t>
        </is>
      </c>
      <c r="I622" s="11" t="inlineStr">
        <is>
          <t>Queensland Fertility Group Pty Ltd</t>
        </is>
      </c>
      <c r="J622" s="14" t="n">
        <v>148.2</v>
      </c>
      <c r="K622" s="13" t="inlineStr">
        <is>
          <t>11.40</t>
        </is>
      </c>
      <c r="L622" s="12" t="n">
        <v>45949</v>
      </c>
      <c r="M622" s="12" t="n">
        <v>45726</v>
      </c>
      <c r="N622" s="13" t="inlineStr">
        <is>
          <t>136.80</t>
        </is>
      </c>
      <c r="O622" s="13" t="inlineStr"/>
      <c r="P622" s="12" t="n"/>
    </row>
    <row r="623" ht="39.6" customHeight="1">
      <c r="A623" s="15" t="inlineStr">
        <is>
          <t>AU23724</t>
        </is>
      </c>
      <c r="B623" s="16" t="n">
        <v>45852</v>
      </c>
      <c r="C623" s="15" t="inlineStr">
        <is>
          <t>Registered Nurse</t>
        </is>
      </c>
      <c r="D623" s="15" t="inlineStr">
        <is>
          <t>NSW Nurse EA</t>
        </is>
      </c>
      <c r="E623" s="15" t="inlineStr">
        <is>
          <t>PP - Part-time Waged</t>
        </is>
      </c>
      <c r="F623" s="15" t="inlineStr">
        <is>
          <t>IVFA</t>
        </is>
      </c>
      <c r="G623" s="15" t="inlineStr">
        <is>
          <t>Australian Capital Territory</t>
        </is>
      </c>
      <c r="H623" s="17" t="inlineStr">
        <is>
          <t>68.00</t>
        </is>
      </c>
      <c r="I623" s="15" t="inlineStr">
        <is>
          <t>IVF Australia Pty Ltd</t>
        </is>
      </c>
      <c r="J623" s="18" t="n">
        <v>11.4</v>
      </c>
      <c r="K623" s="17" t="inlineStr">
        <is>
          <t>11.40</t>
        </is>
      </c>
      <c r="L623" s="16" t="n">
        <v>45949</v>
      </c>
      <c r="M623" s="16" t="n">
        <v>45629</v>
      </c>
      <c r="N623" s="17" t="inlineStr"/>
      <c r="O623" s="17" t="inlineStr"/>
      <c r="P623" s="16" t="n"/>
    </row>
    <row r="624" ht="52.8" customHeight="1">
      <c r="A624" s="11" t="n">
        <v>20636</v>
      </c>
      <c r="B624" s="12" t="n">
        <v>43269</v>
      </c>
      <c r="C624" s="11" t="inlineStr">
        <is>
          <t>Business Analyst</t>
        </is>
      </c>
      <c r="D624" s="11" t="inlineStr">
        <is>
          <t>Common Law Employment Contract</t>
        </is>
      </c>
      <c r="E624" s="11" t="inlineStr">
        <is>
          <t>FP - Full-time Salaried</t>
        </is>
      </c>
      <c r="F624" s="11" t="inlineStr">
        <is>
          <t>Corporate Services</t>
        </is>
      </c>
      <c r="G624" s="11" t="inlineStr">
        <is>
          <t>Victoria</t>
        </is>
      </c>
      <c r="H624" s="13" t="inlineStr">
        <is>
          <t>76.00</t>
        </is>
      </c>
      <c r="I624" s="11" t="inlineStr">
        <is>
          <t>IVF Australia Pty Ltd</t>
        </is>
      </c>
      <c r="J624" s="14" t="n">
        <v>214.07</v>
      </c>
      <c r="K624" s="13" t="inlineStr">
        <is>
          <t>11.42</t>
        </is>
      </c>
      <c r="L624" s="12" t="n">
        <v>45949</v>
      </c>
      <c r="M624" s="12" t="n">
        <v>45826</v>
      </c>
      <c r="N624" s="13" t="inlineStr">
        <is>
          <t>202.65</t>
        </is>
      </c>
      <c r="O624" s="13" t="inlineStr"/>
      <c r="P624" s="12" t="n"/>
    </row>
    <row r="625" ht="66" customHeight="1">
      <c r="A625" s="15" t="n">
        <v>30021</v>
      </c>
      <c r="B625" s="16" t="n">
        <v>39822</v>
      </c>
      <c r="C625" s="15" t="inlineStr">
        <is>
          <t>Registered Nurse</t>
        </is>
      </c>
      <c r="D625" s="15" t="inlineStr">
        <is>
          <t>NSW Nurse EA</t>
        </is>
      </c>
      <c r="E625" s="15" t="inlineStr">
        <is>
          <t>PP - Part-time Waged</t>
        </is>
      </c>
      <c r="F625" s="15" t="inlineStr">
        <is>
          <t>Day Hospitals</t>
        </is>
      </c>
      <c r="G625" s="15" t="inlineStr">
        <is>
          <t>New South Wales</t>
        </is>
      </c>
      <c r="H625" s="17" t="inlineStr">
        <is>
          <t>32.00</t>
        </is>
      </c>
      <c r="I625" s="15" t="inlineStr">
        <is>
          <t>North Shore Specialist Day Hospital Pty Ltd</t>
        </is>
      </c>
      <c r="J625" s="18" t="n">
        <v>40.15</v>
      </c>
      <c r="K625" s="17" t="inlineStr">
        <is>
          <t>11.52</t>
        </is>
      </c>
      <c r="L625" s="16" t="n">
        <v>45949</v>
      </c>
      <c r="M625" s="16" t="n">
        <v>45666</v>
      </c>
      <c r="N625" s="17" t="inlineStr">
        <is>
          <t>100.63</t>
        </is>
      </c>
      <c r="O625" s="17" t="inlineStr">
        <is>
          <t>72.00</t>
        </is>
      </c>
      <c r="P625" s="16" t="n"/>
    </row>
    <row r="626" ht="79.2" customHeight="1">
      <c r="A626" s="11" t="inlineStr">
        <is>
          <t>AU23640</t>
        </is>
      </c>
      <c r="B626" s="12" t="n">
        <v>45789</v>
      </c>
      <c r="C626" s="11" t="inlineStr">
        <is>
          <t>Adminstration</t>
        </is>
      </c>
      <c r="D626" s="11" t="inlineStr">
        <is>
          <t>Health Professionals and Support Services Award</t>
        </is>
      </c>
      <c r="E626" s="11" t="inlineStr">
        <is>
          <t>PP - Part-time Waged</t>
        </is>
      </c>
      <c r="F626" s="11" t="inlineStr">
        <is>
          <t>Queensland Fertility Group</t>
        </is>
      </c>
      <c r="G626" s="11" t="inlineStr">
        <is>
          <t>Queensland</t>
        </is>
      </c>
      <c r="H626" s="13" t="inlineStr">
        <is>
          <t>38.00</t>
        </is>
      </c>
      <c r="I626" s="11" t="inlineStr">
        <is>
          <t>Queensland Fertility Group Pty Ltd</t>
        </is>
      </c>
      <c r="J626" s="14" t="n">
        <v>11.54</v>
      </c>
      <c r="K626" s="13" t="inlineStr">
        <is>
          <t>11.54</t>
        </is>
      </c>
      <c r="L626" s="12" t="n">
        <v>45949</v>
      </c>
      <c r="M626" s="12" t="n">
        <v>45789</v>
      </c>
      <c r="N626" s="13" t="inlineStr"/>
      <c r="O626" s="13" t="inlineStr"/>
      <c r="P626" s="12" t="n"/>
    </row>
    <row r="627" ht="52.8" customHeight="1">
      <c r="A627" s="15" t="inlineStr">
        <is>
          <t>AU23574</t>
        </is>
      </c>
      <c r="B627" s="16" t="n">
        <v>45730</v>
      </c>
      <c r="C627" s="15" t="inlineStr">
        <is>
          <t>Assistant in Nursing</t>
        </is>
      </c>
      <c r="D627" s="15" t="inlineStr">
        <is>
          <t>QLD Nurse EA</t>
        </is>
      </c>
      <c r="E627" s="15" t="inlineStr">
        <is>
          <t>CA - Casual</t>
        </is>
      </c>
      <c r="F627" s="15" t="inlineStr">
        <is>
          <t>Day Hospitals</t>
        </is>
      </c>
      <c r="G627" s="15" t="inlineStr">
        <is>
          <t>Queensland</t>
        </is>
      </c>
      <c r="H627" s="17" t="inlineStr"/>
      <c r="I627" s="15" t="inlineStr">
        <is>
          <t>Spring Hill Specialist Day Hospital</t>
        </is>
      </c>
      <c r="J627" s="18" t="n">
        <v>11.56</v>
      </c>
      <c r="K627" s="17" t="inlineStr">
        <is>
          <t>11.56</t>
        </is>
      </c>
      <c r="L627" s="16" t="n">
        <v>45949</v>
      </c>
      <c r="M627" s="16" t="n">
        <v>45730</v>
      </c>
      <c r="N627" s="17" t="inlineStr"/>
      <c r="O627" s="17" t="inlineStr"/>
      <c r="P627" s="16" t="n"/>
    </row>
    <row r="628" ht="26.4" customHeight="1">
      <c r="A628" s="11" t="inlineStr">
        <is>
          <t>AU22552</t>
        </is>
      </c>
      <c r="B628" s="12" t="n">
        <v>44781</v>
      </c>
      <c r="C628" s="11" t="inlineStr">
        <is>
          <t>Registered Nurse</t>
        </is>
      </c>
      <c r="D628" s="11" t="inlineStr">
        <is>
          <t>NSW Nurse EA</t>
        </is>
      </c>
      <c r="E628" s="11" t="inlineStr">
        <is>
          <t>CA - Casual</t>
        </is>
      </c>
      <c r="F628" s="11" t="inlineStr">
        <is>
          <t>Day Hospitals</t>
        </is>
      </c>
      <c r="G628" s="11" t="inlineStr">
        <is>
          <t>New South Wales</t>
        </is>
      </c>
      <c r="H628" s="13" t="inlineStr"/>
      <c r="I628" s="11" t="inlineStr">
        <is>
          <t>City West Day Surgery</t>
        </is>
      </c>
      <c r="J628" s="14" t="n">
        <v>11.57</v>
      </c>
      <c r="K628" s="13" t="inlineStr">
        <is>
          <t>11.57</t>
        </is>
      </c>
      <c r="L628" s="12" t="n">
        <v>45613</v>
      </c>
      <c r="M628" s="12" t="n">
        <v>44781</v>
      </c>
      <c r="N628" s="13" t="inlineStr"/>
      <c r="O628" s="13" t="inlineStr"/>
      <c r="P628" s="12" t="n"/>
    </row>
    <row r="629" ht="39.6" customHeight="1">
      <c r="A629" s="15" t="inlineStr">
        <is>
          <t>AU23610</t>
        </is>
      </c>
      <c r="B629" s="16" t="n">
        <v>45775</v>
      </c>
      <c r="C629" s="15" t="inlineStr">
        <is>
          <t>Andrologist</t>
        </is>
      </c>
      <c r="D629" s="15" t="inlineStr">
        <is>
          <t>IVFA Scientists EA</t>
        </is>
      </c>
      <c r="E629" s="15" t="inlineStr">
        <is>
          <t>PP - Part-time Waged</t>
        </is>
      </c>
      <c r="F629" s="15" t="inlineStr">
        <is>
          <t>IVFA</t>
        </is>
      </c>
      <c r="G629" s="15" t="inlineStr">
        <is>
          <t>New South Wales</t>
        </is>
      </c>
      <c r="H629" s="17" t="inlineStr">
        <is>
          <t>60.00</t>
        </is>
      </c>
      <c r="I629" s="15" t="inlineStr">
        <is>
          <t>IVF Australia Pty Ltd</t>
        </is>
      </c>
      <c r="J629" s="18" t="n">
        <v>11.58</v>
      </c>
      <c r="K629" s="17" t="inlineStr">
        <is>
          <t>11.58</t>
        </is>
      </c>
      <c r="L629" s="16" t="n">
        <v>45949</v>
      </c>
      <c r="M629" s="16" t="n">
        <v>45775</v>
      </c>
      <c r="N629" s="17" t="inlineStr"/>
      <c r="O629" s="17" t="inlineStr"/>
      <c r="P629" s="16" t="n"/>
    </row>
    <row r="630" ht="52.8" customHeight="1">
      <c r="A630" s="11" t="inlineStr">
        <is>
          <t>AU23791</t>
        </is>
      </c>
      <c r="B630" s="12" t="n">
        <v>45866</v>
      </c>
      <c r="C630" s="11" t="inlineStr">
        <is>
          <t>Genetic Scientist</t>
        </is>
      </c>
      <c r="D630" s="11" t="inlineStr">
        <is>
          <t>QLD Scientists EA</t>
        </is>
      </c>
      <c r="E630" s="11" t="inlineStr">
        <is>
          <t>CO - Contract</t>
        </is>
      </c>
      <c r="F630" s="11" t="inlineStr">
        <is>
          <t>Diagnostics</t>
        </is>
      </c>
      <c r="G630" s="11" t="inlineStr">
        <is>
          <t>Queensland</t>
        </is>
      </c>
      <c r="H630" s="13" t="inlineStr">
        <is>
          <t>45.60</t>
        </is>
      </c>
      <c r="I630" s="11" t="inlineStr">
        <is>
          <t>Queensland Fertility Group Pty Ltd</t>
        </is>
      </c>
      <c r="J630" s="14" t="n">
        <v>11.61</v>
      </c>
      <c r="K630" s="13" t="inlineStr">
        <is>
          <t>11.61</t>
        </is>
      </c>
      <c r="L630" s="12" t="n">
        <v>45949</v>
      </c>
      <c r="M630" s="12" t="n">
        <v>45761</v>
      </c>
      <c r="N630" s="13" t="inlineStr"/>
      <c r="O630" s="13" t="inlineStr"/>
      <c r="P630" s="12" t="n"/>
    </row>
    <row r="631" ht="52.8" customHeight="1">
      <c r="A631" s="15" t="inlineStr">
        <is>
          <t>AU23565</t>
        </is>
      </c>
      <c r="B631" s="16" t="n">
        <v>45747</v>
      </c>
      <c r="C631" s="15" t="inlineStr">
        <is>
          <t>Registered Nurse</t>
        </is>
      </c>
      <c r="D631" s="15" t="inlineStr">
        <is>
          <t>QLD Nurse EA</t>
        </is>
      </c>
      <c r="E631" s="15" t="inlineStr">
        <is>
          <t>PP - Part-time Waged</t>
        </is>
      </c>
      <c r="F631" s="15" t="inlineStr">
        <is>
          <t>Day Hospitals</t>
        </is>
      </c>
      <c r="G631" s="15" t="inlineStr">
        <is>
          <t>Queensland</t>
        </is>
      </c>
      <c r="H631" s="17" t="inlineStr">
        <is>
          <t>40.00</t>
        </is>
      </c>
      <c r="I631" s="15" t="inlineStr">
        <is>
          <t>Spring Hill Specialist Day Hospital</t>
        </is>
      </c>
      <c r="J631" s="18" t="n">
        <v>11.65</v>
      </c>
      <c r="K631" s="17" t="inlineStr">
        <is>
          <t>11.65</t>
        </is>
      </c>
      <c r="L631" s="16" t="n">
        <v>45949</v>
      </c>
      <c r="M631" s="16" t="n">
        <v>45747</v>
      </c>
      <c r="N631" s="17" t="inlineStr"/>
      <c r="O631" s="17" t="inlineStr"/>
      <c r="P631" s="16" t="n"/>
    </row>
    <row r="632" ht="39.6" customHeight="1">
      <c r="A632" s="11" t="inlineStr">
        <is>
          <t>AU23667</t>
        </is>
      </c>
      <c r="B632" s="12" t="n">
        <v>45810</v>
      </c>
      <c r="C632" s="11" t="inlineStr">
        <is>
          <t>Nurse Coordinator</t>
        </is>
      </c>
      <c r="D632" s="11" t="inlineStr">
        <is>
          <t>NSW Nurse EA</t>
        </is>
      </c>
      <c r="E632" s="11" t="inlineStr">
        <is>
          <t>CO - Contract</t>
        </is>
      </c>
      <c r="F632" s="11" t="inlineStr">
        <is>
          <t>IVFA</t>
        </is>
      </c>
      <c r="G632" s="11" t="inlineStr">
        <is>
          <t>New South Wales</t>
        </is>
      </c>
      <c r="H632" s="13" t="inlineStr">
        <is>
          <t>76.00</t>
        </is>
      </c>
      <c r="I632" s="11" t="inlineStr">
        <is>
          <t>IVF Australia Pty Ltd</t>
        </is>
      </c>
      <c r="J632" s="14" t="n">
        <v>11.72</v>
      </c>
      <c r="K632" s="13" t="inlineStr">
        <is>
          <t>11.72</t>
        </is>
      </c>
      <c r="L632" s="12" t="n">
        <v>45949</v>
      </c>
      <c r="M632" s="12" t="n">
        <v>45810</v>
      </c>
      <c r="N632" s="13" t="inlineStr"/>
      <c r="O632" s="13" t="inlineStr"/>
      <c r="P632" s="12" t="n"/>
    </row>
    <row r="633" ht="79.2" customHeight="1">
      <c r="A633" s="15" t="inlineStr">
        <is>
          <t>AU22856</t>
        </is>
      </c>
      <c r="B633" s="16" t="n">
        <v>45057</v>
      </c>
      <c r="C633" s="15" t="inlineStr">
        <is>
          <t>Courier</t>
        </is>
      </c>
      <c r="D633" s="15" t="inlineStr">
        <is>
          <t>Health Professionals and Support Services Award</t>
        </is>
      </c>
      <c r="E633" s="15" t="inlineStr">
        <is>
          <t>CA - Casual</t>
        </is>
      </c>
      <c r="F633" s="15" t="inlineStr">
        <is>
          <t>Diagnostics</t>
        </is>
      </c>
      <c r="G633" s="15" t="inlineStr">
        <is>
          <t>New South Wales</t>
        </is>
      </c>
      <c r="H633" s="17" t="inlineStr"/>
      <c r="I633" s="15" t="inlineStr">
        <is>
          <t>Virtus Health Specialist Diagnostics</t>
        </is>
      </c>
      <c r="J633" s="18" t="n">
        <v>11.89</v>
      </c>
      <c r="K633" s="17" t="inlineStr">
        <is>
          <t>11.89</t>
        </is>
      </c>
      <c r="L633" s="16" t="n">
        <v>45949</v>
      </c>
      <c r="M633" s="16" t="n">
        <v>45057</v>
      </c>
      <c r="N633" s="17" t="inlineStr"/>
      <c r="O633" s="17" t="inlineStr"/>
      <c r="P633" s="16" t="n"/>
    </row>
    <row r="634" ht="39.6" customHeight="1">
      <c r="A634" s="11" t="n">
        <v>20439</v>
      </c>
      <c r="B634" s="12" t="n">
        <v>42135</v>
      </c>
      <c r="C634" s="11" t="inlineStr">
        <is>
          <t>Nurse Coordinator</t>
        </is>
      </c>
      <c r="D634" s="11" t="inlineStr">
        <is>
          <t>NSW Nurse EA</t>
        </is>
      </c>
      <c r="E634" s="11" t="inlineStr">
        <is>
          <t>PP - Part-time Waged</t>
        </is>
      </c>
      <c r="F634" s="11" t="inlineStr">
        <is>
          <t>IVFA</t>
        </is>
      </c>
      <c r="G634" s="11" t="inlineStr">
        <is>
          <t>New South Wales</t>
        </is>
      </c>
      <c r="H634" s="13" t="inlineStr">
        <is>
          <t>59.50</t>
        </is>
      </c>
      <c r="I634" s="11" t="inlineStr">
        <is>
          <t>IVF Australia Pty Ltd</t>
        </is>
      </c>
      <c r="J634" s="14" t="n">
        <v>270.59</v>
      </c>
      <c r="K634" s="13" t="inlineStr">
        <is>
          <t>11.90</t>
        </is>
      </c>
      <c r="L634" s="12" t="n">
        <v>45949</v>
      </c>
      <c r="M634" s="12" t="n">
        <v>45788</v>
      </c>
      <c r="N634" s="13" t="inlineStr">
        <is>
          <t>258.69</t>
        </is>
      </c>
      <c r="O634" s="13" t="inlineStr"/>
      <c r="P634" s="12" t="n"/>
    </row>
    <row r="635" ht="79.2" customHeight="1">
      <c r="A635" s="15" t="inlineStr">
        <is>
          <t>AU23444</t>
        </is>
      </c>
      <c r="B635" s="16" t="n">
        <v>45621</v>
      </c>
      <c r="C635" s="15" t="inlineStr">
        <is>
          <t>Carpark Concierge</t>
        </is>
      </c>
      <c r="D635" s="15" t="inlineStr">
        <is>
          <t>Health Professionals and Support Services Award</t>
        </is>
      </c>
      <c r="E635" s="15" t="inlineStr">
        <is>
          <t>CA - Casual</t>
        </is>
      </c>
      <c r="F635" s="15" t="inlineStr">
        <is>
          <t>IVFA</t>
        </is>
      </c>
      <c r="G635" s="15" t="inlineStr">
        <is>
          <t>New South Wales</t>
        </is>
      </c>
      <c r="H635" s="17" t="inlineStr"/>
      <c r="I635" s="15" t="inlineStr">
        <is>
          <t>IVF Australia Pty Ltd</t>
        </is>
      </c>
      <c r="J635" s="18" t="n">
        <v>11.9</v>
      </c>
      <c r="K635" s="17" t="inlineStr">
        <is>
          <t>11.90</t>
        </is>
      </c>
      <c r="L635" s="16" t="n">
        <v>45949</v>
      </c>
      <c r="M635" s="16" t="n">
        <v>45621</v>
      </c>
      <c r="N635" s="17" t="inlineStr"/>
      <c r="O635" s="17" t="inlineStr"/>
      <c r="P635" s="16" t="n"/>
    </row>
    <row r="636" ht="26.4" customHeight="1">
      <c r="A636" s="11" t="inlineStr">
        <is>
          <t>AU23056</t>
        </is>
      </c>
      <c r="B636" s="12" t="n">
        <v>45310</v>
      </c>
      <c r="C636" s="11" t="inlineStr">
        <is>
          <t>Registered Nurse</t>
        </is>
      </c>
      <c r="D636" s="11" t="inlineStr">
        <is>
          <t>NSW Nurse EA</t>
        </is>
      </c>
      <c r="E636" s="11" t="inlineStr">
        <is>
          <t>CA - Casual</t>
        </is>
      </c>
      <c r="F636" s="11" t="inlineStr">
        <is>
          <t>Day Hospitals</t>
        </is>
      </c>
      <c r="G636" s="11" t="inlineStr">
        <is>
          <t>New South Wales</t>
        </is>
      </c>
      <c r="H636" s="13" t="inlineStr"/>
      <c r="I636" s="11" t="inlineStr">
        <is>
          <t>City West Day Surgery</t>
        </is>
      </c>
      <c r="J636" s="14" t="n">
        <v>11.91</v>
      </c>
      <c r="K636" s="13" t="inlineStr">
        <is>
          <t>11.91</t>
        </is>
      </c>
      <c r="L636" s="12" t="n">
        <v>45949</v>
      </c>
      <c r="M636" s="12" t="n">
        <v>45310</v>
      </c>
      <c r="N636" s="13" t="inlineStr"/>
      <c r="O636" s="13" t="inlineStr"/>
      <c r="P636" s="12" t="n"/>
    </row>
    <row r="637" ht="52.8" customHeight="1">
      <c r="A637" s="15" t="inlineStr">
        <is>
          <t>AU23615</t>
        </is>
      </c>
      <c r="B637" s="16" t="n">
        <v>45818</v>
      </c>
      <c r="C637" s="15" t="inlineStr">
        <is>
          <t>Head of Shared Services</t>
        </is>
      </c>
      <c r="D637" s="15" t="inlineStr">
        <is>
          <t>Common Law Employment Contract</t>
        </is>
      </c>
      <c r="E637" s="15" t="inlineStr">
        <is>
          <t>FT - Full-time Waged</t>
        </is>
      </c>
      <c r="F637" s="15" t="inlineStr">
        <is>
          <t>Corporate Services</t>
        </is>
      </c>
      <c r="G637" s="15" t="inlineStr">
        <is>
          <t>New South Wales</t>
        </is>
      </c>
      <c r="H637" s="17" t="inlineStr">
        <is>
          <t>76.00</t>
        </is>
      </c>
      <c r="I637" s="15" t="inlineStr">
        <is>
          <t>IVF Australia Pty Ltd</t>
        </is>
      </c>
      <c r="J637" s="18" t="n">
        <v>11.91</v>
      </c>
      <c r="K637" s="17" t="inlineStr">
        <is>
          <t>11.91</t>
        </is>
      </c>
      <c r="L637" s="16" t="n">
        <v>45949</v>
      </c>
      <c r="M637" s="16" t="n">
        <v>45818</v>
      </c>
      <c r="N637" s="17" t="inlineStr"/>
      <c r="O637" s="17" t="inlineStr"/>
      <c r="P637" s="16" t="n"/>
    </row>
    <row r="638" ht="52.8" customHeight="1">
      <c r="A638" s="11" t="n">
        <v>60024</v>
      </c>
      <c r="B638" s="12" t="n">
        <v>40332</v>
      </c>
      <c r="C638" s="11" t="inlineStr">
        <is>
          <t>Registered Nurse</t>
        </is>
      </c>
      <c r="D638" s="11" t="inlineStr">
        <is>
          <t>QLD Nurse EA</t>
        </is>
      </c>
      <c r="E638" s="11" t="inlineStr">
        <is>
          <t>PP - Part-time Waged</t>
        </is>
      </c>
      <c r="F638" s="11" t="inlineStr">
        <is>
          <t>Day Hospitals</t>
        </is>
      </c>
      <c r="G638" s="11" t="inlineStr">
        <is>
          <t>Queensland</t>
        </is>
      </c>
      <c r="H638" s="13" t="inlineStr">
        <is>
          <t>48.00</t>
        </is>
      </c>
      <c r="I638" s="11" t="inlineStr">
        <is>
          <t>MACKAY Specialist Day Hospital</t>
        </is>
      </c>
      <c r="J638" s="14" t="n">
        <v>276.08</v>
      </c>
      <c r="K638" s="13" t="inlineStr">
        <is>
          <t>12.08</t>
        </is>
      </c>
      <c r="L638" s="12" t="n">
        <v>45949</v>
      </c>
      <c r="M638" s="12" t="n">
        <v>45811</v>
      </c>
      <c r="N638" s="13" t="inlineStr">
        <is>
          <t>312.00</t>
        </is>
      </c>
      <c r="O638" s="13" t="inlineStr">
        <is>
          <t>48.00</t>
        </is>
      </c>
      <c r="P638" s="12" t="n"/>
    </row>
    <row r="639" ht="52.8" customHeight="1">
      <c r="A639" s="15" t="inlineStr">
        <is>
          <t>AU23677</t>
        </is>
      </c>
      <c r="B639" s="16" t="n">
        <v>45831</v>
      </c>
      <c r="C639" s="15" t="inlineStr">
        <is>
          <t>Registered Nurse</t>
        </is>
      </c>
      <c r="D639" s="15" t="inlineStr">
        <is>
          <t>QLD Nurse EA</t>
        </is>
      </c>
      <c r="E639" s="15" t="inlineStr">
        <is>
          <t>PP - Part-time Waged</t>
        </is>
      </c>
      <c r="F639" s="15" t="inlineStr">
        <is>
          <t>Day Hospitals</t>
        </is>
      </c>
      <c r="G639" s="15" t="inlineStr">
        <is>
          <t>Queensland</t>
        </is>
      </c>
      <c r="H639" s="17" t="inlineStr">
        <is>
          <t>60.80</t>
        </is>
      </c>
      <c r="I639" s="15" t="inlineStr">
        <is>
          <t>Queensland Fertility Group Pty Ltd</t>
        </is>
      </c>
      <c r="J639" s="18" t="n">
        <v>12.16</v>
      </c>
      <c r="K639" s="17" t="inlineStr">
        <is>
          <t>12.16</t>
        </is>
      </c>
      <c r="L639" s="16" t="n">
        <v>45949</v>
      </c>
      <c r="M639" s="16" t="n">
        <v>45831</v>
      </c>
      <c r="N639" s="17" t="inlineStr"/>
      <c r="O639" s="17" t="inlineStr"/>
      <c r="P639" s="16" t="n"/>
    </row>
    <row r="640" ht="79.2" customHeight="1">
      <c r="A640" s="11" t="inlineStr">
        <is>
          <t>AU23674</t>
        </is>
      </c>
      <c r="B640" s="12" t="n">
        <v>45812</v>
      </c>
      <c r="C640" s="11" t="inlineStr">
        <is>
          <t>Deputy Chief Executive Officer &amp; Head of Internal</t>
        </is>
      </c>
      <c r="D640" s="11" t="inlineStr">
        <is>
          <t>Common Law Employment Contract</t>
        </is>
      </c>
      <c r="E640" s="11" t="inlineStr">
        <is>
          <t>FP - Full-time Salaried</t>
        </is>
      </c>
      <c r="F640" s="11" t="inlineStr">
        <is>
          <t>Corporate Services</t>
        </is>
      </c>
      <c r="G640" s="11" t="inlineStr">
        <is>
          <t>Victoria</t>
        </is>
      </c>
      <c r="H640" s="13" t="inlineStr">
        <is>
          <t>76.00</t>
        </is>
      </c>
      <c r="I640" s="11" t="inlineStr">
        <is>
          <t>IVF Australia Pty Ltd</t>
        </is>
      </c>
      <c r="J640" s="14" t="n">
        <v>12.41</v>
      </c>
      <c r="K640" s="13" t="inlineStr">
        <is>
          <t>12.41</t>
        </is>
      </c>
      <c r="L640" s="12" t="n">
        <v>45949</v>
      </c>
      <c r="M640" s="12" t="n">
        <v>45812</v>
      </c>
      <c r="N640" s="13" t="inlineStr"/>
      <c r="O640" s="13" t="inlineStr"/>
      <c r="P640" s="12" t="n"/>
    </row>
    <row r="641" ht="39.6" customHeight="1">
      <c r="A641" s="15" t="n">
        <v>20444</v>
      </c>
      <c r="B641" s="16" t="n">
        <v>42142</v>
      </c>
      <c r="C641" s="15" t="inlineStr">
        <is>
          <t>Patient Accounts Officer</t>
        </is>
      </c>
      <c r="D641" s="15" t="inlineStr">
        <is>
          <t>NSW Support Services EA</t>
        </is>
      </c>
      <c r="E641" s="15" t="inlineStr">
        <is>
          <t>PP - Part-time Waged</t>
        </is>
      </c>
      <c r="F641" s="15" t="inlineStr">
        <is>
          <t>IVFA</t>
        </is>
      </c>
      <c r="G641" s="15" t="inlineStr">
        <is>
          <t>New South Wales</t>
        </is>
      </c>
      <c r="H641" s="17" t="inlineStr">
        <is>
          <t>51.50</t>
        </is>
      </c>
      <c r="I641" s="15" t="inlineStr">
        <is>
          <t>IVF Australia Pty Ltd</t>
        </is>
      </c>
      <c r="J641" s="18" t="n">
        <v>272.17</v>
      </c>
      <c r="K641" s="17" t="inlineStr">
        <is>
          <t>12.45</t>
        </is>
      </c>
      <c r="L641" s="16" t="n">
        <v>45949</v>
      </c>
      <c r="M641" s="16" t="n">
        <v>45795</v>
      </c>
      <c r="N641" s="17" t="inlineStr">
        <is>
          <t>259.72</t>
        </is>
      </c>
      <c r="O641" s="17" t="inlineStr"/>
      <c r="P641" s="16" t="n"/>
    </row>
    <row r="642" ht="39.6" customHeight="1">
      <c r="A642" s="11" t="inlineStr">
        <is>
          <t>AU23642</t>
        </is>
      </c>
      <c r="B642" s="12" t="n">
        <v>45796</v>
      </c>
      <c r="C642" s="11" t="inlineStr">
        <is>
          <t>Registered Nurse</t>
        </is>
      </c>
      <c r="D642" s="11" t="inlineStr">
        <is>
          <t>NSW Nurse EA</t>
        </is>
      </c>
      <c r="E642" s="11" t="inlineStr">
        <is>
          <t>FT - Full-time Waged</t>
        </is>
      </c>
      <c r="F642" s="11" t="inlineStr">
        <is>
          <t>IVFA</t>
        </is>
      </c>
      <c r="G642" s="11" t="inlineStr">
        <is>
          <t>New South Wales</t>
        </is>
      </c>
      <c r="H642" s="13" t="inlineStr">
        <is>
          <t>76.00</t>
        </is>
      </c>
      <c r="I642" s="11" t="inlineStr">
        <is>
          <t>IVF Australia Pty Ltd</t>
        </is>
      </c>
      <c r="J642" s="14" t="n">
        <v>12.49</v>
      </c>
      <c r="K642" s="13" t="inlineStr">
        <is>
          <t>12.49</t>
        </is>
      </c>
      <c r="L642" s="12" t="n">
        <v>45949</v>
      </c>
      <c r="M642" s="12" t="n">
        <v>45796</v>
      </c>
      <c r="N642" s="13" t="inlineStr"/>
      <c r="O642" s="13" t="inlineStr"/>
      <c r="P642" s="12" t="n"/>
    </row>
    <row r="643" ht="39.6" customHeight="1">
      <c r="A643" s="15" t="inlineStr">
        <is>
          <t>AU23543</t>
        </is>
      </c>
      <c r="B643" s="16" t="n">
        <v>45726</v>
      </c>
      <c r="C643" s="15" t="inlineStr">
        <is>
          <t>New Patient Care Consultant</t>
        </is>
      </c>
      <c r="D643" s="15" t="inlineStr">
        <is>
          <t>NSW Support Services EA</t>
        </is>
      </c>
      <c r="E643" s="15" t="inlineStr">
        <is>
          <t>PP - Part-time Waged</t>
        </is>
      </c>
      <c r="F643" s="15" t="inlineStr">
        <is>
          <t>Corporate Services</t>
        </is>
      </c>
      <c r="G643" s="15" t="inlineStr">
        <is>
          <t>New South Wales</t>
        </is>
      </c>
      <c r="H643" s="17" t="inlineStr">
        <is>
          <t>45.60</t>
        </is>
      </c>
      <c r="I643" s="15" t="inlineStr">
        <is>
          <t>IVF Australia Pty Ltd</t>
        </is>
      </c>
      <c r="J643" s="18" t="n">
        <v>12.53</v>
      </c>
      <c r="K643" s="17" t="inlineStr">
        <is>
          <t>12.53</t>
        </is>
      </c>
      <c r="L643" s="16" t="n">
        <v>45949</v>
      </c>
      <c r="M643" s="16" t="n">
        <v>45726</v>
      </c>
      <c r="N643" s="17" t="inlineStr"/>
      <c r="O643" s="17" t="inlineStr"/>
      <c r="P643" s="16" t="n"/>
    </row>
    <row r="644" ht="39.6" customHeight="1">
      <c r="A644" s="11" t="inlineStr">
        <is>
          <t>AU23559</t>
        </is>
      </c>
      <c r="B644" s="12" t="n">
        <v>45733</v>
      </c>
      <c r="C644" s="11" t="inlineStr">
        <is>
          <t>Registered Nurse</t>
        </is>
      </c>
      <c r="D644" s="11" t="inlineStr">
        <is>
          <t>NSW Nurse EA</t>
        </is>
      </c>
      <c r="E644" s="11" t="inlineStr">
        <is>
          <t>PP - Part-time Waged</t>
        </is>
      </c>
      <c r="F644" s="11" t="inlineStr">
        <is>
          <t>The Fertility Centre</t>
        </is>
      </c>
      <c r="G644" s="11" t="inlineStr">
        <is>
          <t>New South Wales</t>
        </is>
      </c>
      <c r="H644" s="13" t="inlineStr">
        <is>
          <t>68.00</t>
        </is>
      </c>
      <c r="I644" s="11" t="inlineStr">
        <is>
          <t>IVF Australia Pty Ltd</t>
        </is>
      </c>
      <c r="J644" s="14" t="n">
        <v>12.55</v>
      </c>
      <c r="K644" s="13" t="inlineStr">
        <is>
          <t>12.55</t>
        </is>
      </c>
      <c r="L644" s="12" t="n">
        <v>45949</v>
      </c>
      <c r="M644" s="12" t="n">
        <v>45733</v>
      </c>
      <c r="N644" s="13" t="inlineStr"/>
      <c r="O644" s="13" t="inlineStr"/>
      <c r="P644" s="12" t="n"/>
    </row>
    <row r="645" ht="66" customHeight="1">
      <c r="A645" s="15" t="n">
        <v>50176</v>
      </c>
      <c r="B645" s="16" t="n">
        <v>44088</v>
      </c>
      <c r="C645" s="15" t="inlineStr">
        <is>
          <t>Registered Nurse</t>
        </is>
      </c>
      <c r="D645" s="15" t="inlineStr">
        <is>
          <t>NSW Nurse EA</t>
        </is>
      </c>
      <c r="E645" s="15" t="inlineStr">
        <is>
          <t>CA - Casual</t>
        </is>
      </c>
      <c r="F645" s="15" t="inlineStr">
        <is>
          <t>Day Hospitals</t>
        </is>
      </c>
      <c r="G645" s="15" t="inlineStr">
        <is>
          <t>New South Wales</t>
        </is>
      </c>
      <c r="H645" s="17" t="inlineStr"/>
      <c r="I645" s="15" t="inlineStr">
        <is>
          <t>Alexandria Specialist Day Hospital Pty Ltd</t>
        </is>
      </c>
      <c r="J645" s="18" t="n">
        <v>12.6</v>
      </c>
      <c r="K645" s="17" t="inlineStr">
        <is>
          <t>12.60</t>
        </is>
      </c>
      <c r="L645" s="16" t="n">
        <v>45921</v>
      </c>
      <c r="M645" s="16" t="n">
        <v>44088</v>
      </c>
      <c r="N645" s="17" t="inlineStr"/>
      <c r="O645" s="17" t="inlineStr"/>
      <c r="P645" s="16" t="n"/>
    </row>
    <row r="646" ht="66" customHeight="1">
      <c r="A646" s="11" t="inlineStr">
        <is>
          <t>AU23246</t>
        </is>
      </c>
      <c r="B646" s="12" t="n">
        <v>45455</v>
      </c>
      <c r="C646" s="11" t="inlineStr">
        <is>
          <t>Assistant in Nursing</t>
        </is>
      </c>
      <c r="D646" s="11" t="inlineStr">
        <is>
          <t>NSW Nurse EA</t>
        </is>
      </c>
      <c r="E646" s="11" t="inlineStr">
        <is>
          <t>CA - Casual</t>
        </is>
      </c>
      <c r="F646" s="11" t="inlineStr">
        <is>
          <t>Day Hospitals</t>
        </is>
      </c>
      <c r="G646" s="11" t="inlineStr">
        <is>
          <t>New South Wales</t>
        </is>
      </c>
      <c r="H646" s="13" t="inlineStr"/>
      <c r="I646" s="11" t="inlineStr">
        <is>
          <t>Alexandria Specialist Day Hospital Pty Ltd</t>
        </is>
      </c>
      <c r="J646" s="14" t="n">
        <v>12.6</v>
      </c>
      <c r="K646" s="13" t="inlineStr">
        <is>
          <t>12.60</t>
        </is>
      </c>
      <c r="L646" s="12" t="n">
        <v>45921</v>
      </c>
      <c r="M646" s="12" t="n">
        <v>45455</v>
      </c>
      <c r="N646" s="13" t="inlineStr"/>
      <c r="O646" s="13" t="inlineStr"/>
      <c r="P646" s="12" t="n"/>
    </row>
    <row r="647" ht="39.6" customHeight="1">
      <c r="A647" s="15" t="n">
        <v>20145</v>
      </c>
      <c r="B647" s="16" t="n">
        <v>39937</v>
      </c>
      <c r="C647" s="15" t="inlineStr">
        <is>
          <t>Clinical Nurse Specialist</t>
        </is>
      </c>
      <c r="D647" s="15" t="inlineStr">
        <is>
          <t>NSW Nurse EA</t>
        </is>
      </c>
      <c r="E647" s="15" t="inlineStr">
        <is>
          <t>PP - Part-time Waged</t>
        </is>
      </c>
      <c r="F647" s="15" t="inlineStr">
        <is>
          <t>IVFA</t>
        </is>
      </c>
      <c r="G647" s="15" t="inlineStr">
        <is>
          <t>New South Wales</t>
        </is>
      </c>
      <c r="H647" s="17" t="inlineStr">
        <is>
          <t>50.00</t>
        </is>
      </c>
      <c r="I647" s="15" t="inlineStr">
        <is>
          <t>IVF Australia Pty Ltd</t>
        </is>
      </c>
      <c r="J647" s="18" t="n">
        <v>447.34</v>
      </c>
      <c r="K647" s="17" t="inlineStr">
        <is>
          <t>12.65</t>
        </is>
      </c>
      <c r="L647" s="16" t="n">
        <v>45949</v>
      </c>
      <c r="M647" s="16" t="n">
        <v>45781</v>
      </c>
      <c r="N647" s="17" t="inlineStr">
        <is>
          <t>434.69</t>
        </is>
      </c>
      <c r="O647" s="17" t="inlineStr"/>
      <c r="P647" s="16" t="n"/>
    </row>
    <row r="648" ht="52.8" customHeight="1">
      <c r="A648" s="11" t="inlineStr">
        <is>
          <t>AU23366</t>
        </is>
      </c>
      <c r="B648" s="12" t="n">
        <v>45558</v>
      </c>
      <c r="C648" s="11" t="inlineStr">
        <is>
          <t>Registered Nurse</t>
        </is>
      </c>
      <c r="D648" s="11" t="inlineStr">
        <is>
          <t>QLD Nurse EA</t>
        </is>
      </c>
      <c r="E648" s="11" t="inlineStr">
        <is>
          <t>CA - Casual</t>
        </is>
      </c>
      <c r="F648" s="11" t="inlineStr">
        <is>
          <t>Day Hospitals</t>
        </is>
      </c>
      <c r="G648" s="11" t="inlineStr">
        <is>
          <t>Queensland</t>
        </is>
      </c>
      <c r="H648" s="13" t="inlineStr"/>
      <c r="I648" s="11" t="inlineStr">
        <is>
          <t>Spring Hill Specialist Day Hospital</t>
        </is>
      </c>
      <c r="J648" s="14" t="n">
        <v>12.66</v>
      </c>
      <c r="K648" s="13" t="inlineStr">
        <is>
          <t>12.66</t>
        </is>
      </c>
      <c r="L648" s="12" t="n">
        <v>45949</v>
      </c>
      <c r="M648" s="12" t="n">
        <v>45558</v>
      </c>
      <c r="N648" s="13" t="inlineStr"/>
      <c r="O648" s="13" t="inlineStr"/>
      <c r="P648" s="12" t="n"/>
    </row>
    <row r="649" ht="66" customHeight="1">
      <c r="A649" s="15" t="inlineStr">
        <is>
          <t>AU23651</t>
        </is>
      </c>
      <c r="B649" s="16" t="n">
        <v>45810</v>
      </c>
      <c r="C649" s="15" t="inlineStr">
        <is>
          <t>Scheduling and Admin Coordinator</t>
        </is>
      </c>
      <c r="D649" s="15" t="inlineStr">
        <is>
          <t>NSW Support Services EA</t>
        </is>
      </c>
      <c r="E649" s="15" t="inlineStr">
        <is>
          <t>FT - Full-time Waged</t>
        </is>
      </c>
      <c r="F649" s="15" t="inlineStr">
        <is>
          <t>Day Hospitals</t>
        </is>
      </c>
      <c r="G649" s="15" t="inlineStr">
        <is>
          <t>New South Wales</t>
        </is>
      </c>
      <c r="H649" s="17" t="inlineStr">
        <is>
          <t>76.00</t>
        </is>
      </c>
      <c r="I649" s="15" t="inlineStr">
        <is>
          <t>Alexandria Specialist Day Hospital Pty Ltd</t>
        </is>
      </c>
      <c r="J649" s="18" t="n">
        <v>12.67</v>
      </c>
      <c r="K649" s="17" t="inlineStr">
        <is>
          <t>12.67</t>
        </is>
      </c>
      <c r="L649" s="16" t="n">
        <v>45949</v>
      </c>
      <c r="M649" s="16" t="n">
        <v>45810</v>
      </c>
      <c r="N649" s="17" t="inlineStr"/>
      <c r="O649" s="17" t="inlineStr"/>
      <c r="P649" s="16" t="n"/>
    </row>
    <row r="650" ht="66" customHeight="1">
      <c r="A650" s="11" t="n">
        <v>50198</v>
      </c>
      <c r="B650" s="12" t="n">
        <v>44280</v>
      </c>
      <c r="C650" s="11" t="inlineStr">
        <is>
          <t>Registered Nurse</t>
        </is>
      </c>
      <c r="D650" s="11" t="inlineStr">
        <is>
          <t>NSW Nurse EA</t>
        </is>
      </c>
      <c r="E650" s="11" t="inlineStr">
        <is>
          <t>CA - Casual</t>
        </is>
      </c>
      <c r="F650" s="11" t="inlineStr">
        <is>
          <t>Day Hospitals</t>
        </is>
      </c>
      <c r="G650" s="11" t="inlineStr">
        <is>
          <t>New South Wales</t>
        </is>
      </c>
      <c r="H650" s="13" t="inlineStr"/>
      <c r="I650" s="11" t="inlineStr">
        <is>
          <t>Alexandria Specialist Day Hospital Pty Ltd</t>
        </is>
      </c>
      <c r="J650" s="14" t="n">
        <v>12.7</v>
      </c>
      <c r="K650" s="13" t="inlineStr">
        <is>
          <t>12.70</t>
        </is>
      </c>
      <c r="L650" s="12" t="n">
        <v>45949</v>
      </c>
      <c r="M650" s="12" t="n">
        <v>44280</v>
      </c>
      <c r="N650" s="13" t="inlineStr"/>
      <c r="O650" s="13" t="inlineStr"/>
      <c r="P650" s="12" t="n"/>
    </row>
    <row r="651" ht="52.8" customHeight="1">
      <c r="A651" s="15" t="inlineStr">
        <is>
          <t>AU23211</t>
        </is>
      </c>
      <c r="B651" s="16" t="n">
        <v>45399</v>
      </c>
      <c r="C651" s="15" t="inlineStr">
        <is>
          <t>Enrolled Nurse</t>
        </is>
      </c>
      <c r="D651" s="15" t="inlineStr">
        <is>
          <t>QLD Nurse EA</t>
        </is>
      </c>
      <c r="E651" s="15" t="inlineStr">
        <is>
          <t>CA - Casual</t>
        </is>
      </c>
      <c r="F651" s="15" t="inlineStr">
        <is>
          <t>Queensland Fertility Group</t>
        </is>
      </c>
      <c r="G651" s="15" t="inlineStr">
        <is>
          <t>Queensland</t>
        </is>
      </c>
      <c r="H651" s="17" t="inlineStr"/>
      <c r="I651" s="15" t="inlineStr">
        <is>
          <t>Queensland Fertility Group Pty Ltd</t>
        </is>
      </c>
      <c r="J651" s="18" t="n">
        <v>12.75</v>
      </c>
      <c r="K651" s="17" t="inlineStr">
        <is>
          <t>12.75</t>
        </is>
      </c>
      <c r="L651" s="16" t="n">
        <v>45935</v>
      </c>
      <c r="M651" s="16" t="n">
        <v>45399</v>
      </c>
      <c r="N651" s="17" t="inlineStr"/>
      <c r="O651" s="17" t="inlineStr"/>
      <c r="P651" s="16" t="n"/>
    </row>
    <row r="652" ht="52.8" customHeight="1">
      <c r="A652" s="11" t="inlineStr">
        <is>
          <t>AU23519</t>
        </is>
      </c>
      <c r="B652" s="12" t="n">
        <v>45650</v>
      </c>
      <c r="C652" s="11" t="inlineStr">
        <is>
          <t>Registered Nurse</t>
        </is>
      </c>
      <c r="D652" s="11" t="inlineStr">
        <is>
          <t>QLD Nurse EA</t>
        </is>
      </c>
      <c r="E652" s="11" t="inlineStr">
        <is>
          <t>CA - Casual</t>
        </is>
      </c>
      <c r="F652" s="11" t="inlineStr">
        <is>
          <t>Day Hospitals</t>
        </is>
      </c>
      <c r="G652" s="11" t="inlineStr">
        <is>
          <t>Queensland</t>
        </is>
      </c>
      <c r="H652" s="13" t="inlineStr"/>
      <c r="I652" s="11" t="inlineStr">
        <is>
          <t>Spring Hill Specialist Day Hospital</t>
        </is>
      </c>
      <c r="J652" s="14" t="n">
        <v>12.75</v>
      </c>
      <c r="K652" s="13" t="inlineStr">
        <is>
          <t>12.75</t>
        </is>
      </c>
      <c r="L652" s="12" t="n">
        <v>45949</v>
      </c>
      <c r="M652" s="12" t="n">
        <v>45544</v>
      </c>
      <c r="N652" s="13" t="inlineStr"/>
      <c r="O652" s="13" t="inlineStr"/>
      <c r="P652" s="12" t="n"/>
    </row>
    <row r="653" ht="52.8" customHeight="1">
      <c r="A653" s="15" t="inlineStr">
        <is>
          <t>AU23570</t>
        </is>
      </c>
      <c r="B653" s="16" t="n">
        <v>45740</v>
      </c>
      <c r="C653" s="15" t="inlineStr">
        <is>
          <t>Enrolled Nurse</t>
        </is>
      </c>
      <c r="D653" s="15" t="inlineStr">
        <is>
          <t>QLD Nurse EA</t>
        </is>
      </c>
      <c r="E653" s="15" t="inlineStr">
        <is>
          <t>CA - Casual</t>
        </is>
      </c>
      <c r="F653" s="15" t="inlineStr">
        <is>
          <t>Day Hospitals</t>
        </is>
      </c>
      <c r="G653" s="15" t="inlineStr">
        <is>
          <t>Queensland</t>
        </is>
      </c>
      <c r="H653" s="17" t="inlineStr"/>
      <c r="I653" s="15" t="inlineStr">
        <is>
          <t>MACKAY Specialist Day Hospital</t>
        </is>
      </c>
      <c r="J653" s="18" t="n">
        <v>12.79</v>
      </c>
      <c r="K653" s="17" t="inlineStr">
        <is>
          <t>12.79</t>
        </is>
      </c>
      <c r="L653" s="16" t="n">
        <v>45949</v>
      </c>
      <c r="M653" s="16" t="n">
        <v>45740</v>
      </c>
      <c r="N653" s="17" t="inlineStr"/>
      <c r="O653" s="17" t="inlineStr"/>
      <c r="P653" s="16" t="n"/>
    </row>
    <row r="654" ht="39.6" customHeight="1">
      <c r="A654" s="11" t="n">
        <v>20186</v>
      </c>
      <c r="B654" s="12" t="n">
        <v>40151</v>
      </c>
      <c r="C654" s="11" t="inlineStr">
        <is>
          <t>Counsellor</t>
        </is>
      </c>
      <c r="D654" s="11" t="inlineStr">
        <is>
          <t>NSW Counsellor EA</t>
        </is>
      </c>
      <c r="E654" s="11" t="inlineStr">
        <is>
          <t>PP - Part-time Waged</t>
        </is>
      </c>
      <c r="F654" s="11" t="inlineStr">
        <is>
          <t>IVFA</t>
        </is>
      </c>
      <c r="G654" s="11" t="inlineStr">
        <is>
          <t>New South Wales</t>
        </is>
      </c>
      <c r="H654" s="13" t="inlineStr">
        <is>
          <t>32.00</t>
        </is>
      </c>
      <c r="I654" s="11" t="inlineStr">
        <is>
          <t>IVF Australia Pty Ltd</t>
        </is>
      </c>
      <c r="J654" s="14" t="n">
        <v>91.34999999999999</v>
      </c>
      <c r="K654" s="13" t="inlineStr">
        <is>
          <t>12.99</t>
        </is>
      </c>
      <c r="L654" s="12" t="n">
        <v>45949</v>
      </c>
      <c r="M654" s="12" t="n">
        <v>45630</v>
      </c>
      <c r="N654" s="13" t="inlineStr">
        <is>
          <t>110.36</t>
        </is>
      </c>
      <c r="O654" s="13" t="inlineStr">
        <is>
          <t>32.00</t>
        </is>
      </c>
      <c r="P654" s="12" t="n"/>
    </row>
    <row r="655" ht="39.6" customHeight="1">
      <c r="A655" s="15" t="inlineStr">
        <is>
          <t>AU23670</t>
        </is>
      </c>
      <c r="B655" s="16" t="n">
        <v>45824</v>
      </c>
      <c r="C655" s="15" t="inlineStr">
        <is>
          <t>Registered Nurse</t>
        </is>
      </c>
      <c r="D655" s="15" t="inlineStr">
        <is>
          <t>NSW Nurse EA</t>
        </is>
      </c>
      <c r="E655" s="15" t="inlineStr">
        <is>
          <t>PP - Part-time Waged</t>
        </is>
      </c>
      <c r="F655" s="15" t="inlineStr">
        <is>
          <t>Day Hospitals</t>
        </is>
      </c>
      <c r="G655" s="15" t="inlineStr">
        <is>
          <t>New South Wales</t>
        </is>
      </c>
      <c r="H655" s="17" t="inlineStr">
        <is>
          <t>48.00</t>
        </is>
      </c>
      <c r="I655" s="15" t="inlineStr">
        <is>
          <t>City West Day Surgery</t>
        </is>
      </c>
      <c r="J655" s="18" t="n">
        <v>13</v>
      </c>
      <c r="K655" s="17" t="inlineStr">
        <is>
          <t>13.00</t>
        </is>
      </c>
      <c r="L655" s="16" t="n">
        <v>45949</v>
      </c>
      <c r="M655" s="16" t="n">
        <v>45776</v>
      </c>
      <c r="N655" s="17" t="inlineStr"/>
      <c r="O655" s="17" t="inlineStr"/>
      <c r="P655" s="16" t="n"/>
    </row>
    <row r="656" ht="79.2" customHeight="1">
      <c r="A656" s="11" t="inlineStr">
        <is>
          <t>AU23578</t>
        </is>
      </c>
      <c r="B656" s="12" t="n">
        <v>45761</v>
      </c>
      <c r="C656" s="11" t="inlineStr">
        <is>
          <t>Receptionist</t>
        </is>
      </c>
      <c r="D656" s="11" t="inlineStr">
        <is>
          <t>Health Professionals and Support Services Award</t>
        </is>
      </c>
      <c r="E656" s="11" t="inlineStr">
        <is>
          <t>PP - Part-time Waged</t>
        </is>
      </c>
      <c r="F656" s="11" t="inlineStr">
        <is>
          <t>Queensland Fertility Group</t>
        </is>
      </c>
      <c r="G656" s="11" t="inlineStr">
        <is>
          <t>Queensland</t>
        </is>
      </c>
      <c r="H656" s="13" t="inlineStr">
        <is>
          <t>60.80</t>
        </is>
      </c>
      <c r="I656" s="11" t="inlineStr">
        <is>
          <t>Queensland Fertility Group Pty Ltd</t>
        </is>
      </c>
      <c r="J656" s="14" t="n">
        <v>13.06</v>
      </c>
      <c r="K656" s="13" t="inlineStr">
        <is>
          <t>13.06</t>
        </is>
      </c>
      <c r="L656" s="12" t="n">
        <v>45949</v>
      </c>
      <c r="M656" s="12" t="n">
        <v>45761</v>
      </c>
      <c r="N656" s="13" t="inlineStr"/>
      <c r="O656" s="13" t="inlineStr"/>
      <c r="P656" s="12" t="n"/>
    </row>
    <row r="657" ht="79.2" customHeight="1">
      <c r="A657" s="15" t="inlineStr">
        <is>
          <t>AU22625</t>
        </is>
      </c>
      <c r="B657" s="16" t="n">
        <v>44865</v>
      </c>
      <c r="C657" s="15" t="inlineStr">
        <is>
          <t>Phlebotomist</t>
        </is>
      </c>
      <c r="D657" s="15" t="inlineStr">
        <is>
          <t>Health Professionals and Support Services Award</t>
        </is>
      </c>
      <c r="E657" s="15" t="inlineStr">
        <is>
          <t>CA - Casual</t>
        </is>
      </c>
      <c r="F657" s="15" t="inlineStr">
        <is>
          <t>Queensland Fertility Group</t>
        </is>
      </c>
      <c r="G657" s="15" t="inlineStr">
        <is>
          <t>Queensland</t>
        </is>
      </c>
      <c r="H657" s="17" t="inlineStr"/>
      <c r="I657" s="15" t="inlineStr">
        <is>
          <t>Queensland Fertility Group Pty Ltd</t>
        </is>
      </c>
      <c r="J657" s="18" t="n">
        <v>13.08</v>
      </c>
      <c r="K657" s="17" t="inlineStr">
        <is>
          <t>13.08</t>
        </is>
      </c>
      <c r="L657" s="16" t="n">
        <v>45641</v>
      </c>
      <c r="M657" s="16" t="n">
        <v>44865</v>
      </c>
      <c r="N657" s="17" t="inlineStr"/>
      <c r="O657" s="17" t="inlineStr"/>
      <c r="P657" s="16" t="n"/>
    </row>
    <row r="658" ht="39.6" customHeight="1">
      <c r="A658" s="11" t="n">
        <v>20172</v>
      </c>
      <c r="B658" s="12" t="n">
        <v>38084</v>
      </c>
      <c r="C658" s="11" t="inlineStr">
        <is>
          <t>Clinical Nurse Specialist</t>
        </is>
      </c>
      <c r="D658" s="11" t="inlineStr">
        <is>
          <t>NSW Nurse EA</t>
        </is>
      </c>
      <c r="E658" s="11" t="inlineStr">
        <is>
          <t>PP - Part-time Waged</t>
        </is>
      </c>
      <c r="F658" s="11" t="inlineStr">
        <is>
          <t>IVFA</t>
        </is>
      </c>
      <c r="G658" s="11" t="inlineStr">
        <is>
          <t>New South Wales</t>
        </is>
      </c>
      <c r="H658" s="13" t="inlineStr">
        <is>
          <t>57.00</t>
        </is>
      </c>
      <c r="I658" s="11" t="inlineStr">
        <is>
          <t>IVF Australia Pty Ltd</t>
        </is>
      </c>
      <c r="J658" s="14" t="n">
        <v>5.69</v>
      </c>
      <c r="K658" s="13" t="inlineStr">
        <is>
          <t>13.16</t>
        </is>
      </c>
      <c r="L658" s="12" t="n">
        <v>45949</v>
      </c>
      <c r="M658" s="12" t="n">
        <v>45754</v>
      </c>
      <c r="N658" s="13" t="inlineStr">
        <is>
          <t>49.53</t>
        </is>
      </c>
      <c r="O658" s="13" t="inlineStr">
        <is>
          <t>57.00</t>
        </is>
      </c>
      <c r="P658" s="12" t="n"/>
    </row>
    <row r="659" ht="26.4" customHeight="1">
      <c r="A659" s="15" t="inlineStr">
        <is>
          <t>AU22885</t>
        </is>
      </c>
      <c r="B659" s="16" t="n">
        <v>45089</v>
      </c>
      <c r="C659" s="15" t="inlineStr">
        <is>
          <t>Registered Nurse</t>
        </is>
      </c>
      <c r="D659" s="15" t="inlineStr">
        <is>
          <t>NSW Nurse EA</t>
        </is>
      </c>
      <c r="E659" s="15" t="inlineStr">
        <is>
          <t>CA - Casual</t>
        </is>
      </c>
      <c r="F659" s="15" t="inlineStr">
        <is>
          <t>Day Hospitals</t>
        </is>
      </c>
      <c r="G659" s="15" t="inlineStr">
        <is>
          <t>New South Wales</t>
        </is>
      </c>
      <c r="H659" s="17" t="inlineStr"/>
      <c r="I659" s="15" t="inlineStr">
        <is>
          <t>City West Day Surgery</t>
        </is>
      </c>
      <c r="J659" s="18" t="n">
        <v>13.38</v>
      </c>
      <c r="K659" s="17" t="inlineStr">
        <is>
          <t>13.38</t>
        </is>
      </c>
      <c r="L659" s="16" t="n">
        <v>45949</v>
      </c>
      <c r="M659" s="16" t="n">
        <v>45089</v>
      </c>
      <c r="N659" s="17" t="inlineStr"/>
      <c r="O659" s="17" t="inlineStr"/>
      <c r="P659" s="16" t="n"/>
    </row>
    <row r="660" ht="66" customHeight="1">
      <c r="A660" s="11" t="inlineStr">
        <is>
          <t>AU23346</t>
        </is>
      </c>
      <c r="B660" s="12" t="n">
        <v>45530</v>
      </c>
      <c r="C660" s="11" t="inlineStr">
        <is>
          <t>Enrolled Nurse</t>
        </is>
      </c>
      <c r="D660" s="11" t="inlineStr">
        <is>
          <t>NSW Nurse EA</t>
        </is>
      </c>
      <c r="E660" s="11" t="inlineStr">
        <is>
          <t>CA - Casual</t>
        </is>
      </c>
      <c r="F660" s="11" t="inlineStr">
        <is>
          <t>Day Hospitals</t>
        </is>
      </c>
      <c r="G660" s="11" t="inlineStr">
        <is>
          <t>New South Wales</t>
        </is>
      </c>
      <c r="H660" s="13" t="inlineStr"/>
      <c r="I660" s="11" t="inlineStr">
        <is>
          <t>Alexandria Specialist Day Hospital Pty Ltd</t>
        </is>
      </c>
      <c r="J660" s="14" t="n">
        <v>13.45</v>
      </c>
      <c r="K660" s="13" t="inlineStr">
        <is>
          <t>13.45</t>
        </is>
      </c>
      <c r="L660" s="12" t="n">
        <v>45851</v>
      </c>
      <c r="M660" s="12" t="n">
        <v>45530</v>
      </c>
      <c r="N660" s="13" t="inlineStr"/>
      <c r="O660" s="13" t="inlineStr"/>
      <c r="P660" s="12" t="n"/>
    </row>
    <row r="661" ht="39.6" customHeight="1">
      <c r="A661" s="15" t="inlineStr">
        <is>
          <t>AU23590</t>
        </is>
      </c>
      <c r="B661" s="16" t="n">
        <v>45782</v>
      </c>
      <c r="C661" s="15" t="inlineStr">
        <is>
          <t xml:space="preserve"> Embryologist</t>
        </is>
      </c>
      <c r="D661" s="15" t="inlineStr">
        <is>
          <t>IVFA Scientists EA</t>
        </is>
      </c>
      <c r="E661" s="15" t="inlineStr">
        <is>
          <t>FT - Full-time Waged</t>
        </is>
      </c>
      <c r="F661" s="15" t="inlineStr">
        <is>
          <t>IVFA</t>
        </is>
      </c>
      <c r="G661" s="15" t="inlineStr">
        <is>
          <t>New South Wales</t>
        </is>
      </c>
      <c r="H661" s="17" t="inlineStr">
        <is>
          <t>76.00</t>
        </is>
      </c>
      <c r="I661" s="15" t="inlineStr">
        <is>
          <t>IVF Australia Pty Ltd</t>
        </is>
      </c>
      <c r="J661" s="18" t="n">
        <v>13.45</v>
      </c>
      <c r="K661" s="17" t="inlineStr">
        <is>
          <t>13.45</t>
        </is>
      </c>
      <c r="L661" s="16" t="n">
        <v>45949</v>
      </c>
      <c r="M661" s="16" t="n">
        <v>45782</v>
      </c>
      <c r="N661" s="17" t="inlineStr"/>
      <c r="O661" s="17" t="inlineStr"/>
      <c r="P661" s="16" t="n"/>
    </row>
    <row r="662" ht="52.8" customHeight="1">
      <c r="A662" s="11" t="inlineStr">
        <is>
          <t>AU23566</t>
        </is>
      </c>
      <c r="B662" s="12" t="n">
        <v>45761</v>
      </c>
      <c r="C662" s="11" t="inlineStr">
        <is>
          <t>Registered Nurse</t>
        </is>
      </c>
      <c r="D662" s="11" t="inlineStr">
        <is>
          <t>QLD Nurse EA</t>
        </is>
      </c>
      <c r="E662" s="11" t="inlineStr">
        <is>
          <t>PP - Part-time Waged</t>
        </is>
      </c>
      <c r="F662" s="11" t="inlineStr">
        <is>
          <t>Queensland Fertility Group</t>
        </is>
      </c>
      <c r="G662" s="11" t="inlineStr">
        <is>
          <t>Queensland</t>
        </is>
      </c>
      <c r="H662" s="13" t="inlineStr">
        <is>
          <t>38.00</t>
        </is>
      </c>
      <c r="I662" s="11" t="inlineStr">
        <is>
          <t>Queensland Fertility Group Pty Ltd</t>
        </is>
      </c>
      <c r="J662" s="14" t="n">
        <v>13.48</v>
      </c>
      <c r="K662" s="13" t="inlineStr">
        <is>
          <t>13.48</t>
        </is>
      </c>
      <c r="L662" s="12" t="n">
        <v>45949</v>
      </c>
      <c r="M662" s="12" t="n">
        <v>45761</v>
      </c>
      <c r="N662" s="13" t="inlineStr"/>
      <c r="O662" s="13" t="inlineStr"/>
      <c r="P662" s="12" t="n"/>
    </row>
    <row r="663" ht="52.8" customHeight="1">
      <c r="A663" s="15" t="n">
        <v>20077</v>
      </c>
      <c r="B663" s="16" t="n">
        <v>38673</v>
      </c>
      <c r="C663" s="15" t="inlineStr">
        <is>
          <t>Doctor</t>
        </is>
      </c>
      <c r="D663" s="15" t="inlineStr">
        <is>
          <t>Common Law Employment Contract</t>
        </is>
      </c>
      <c r="E663" s="15" t="inlineStr">
        <is>
          <t>CA - Casual</t>
        </is>
      </c>
      <c r="F663" s="15" t="inlineStr">
        <is>
          <t>IVFA</t>
        </is>
      </c>
      <c r="G663" s="15" t="inlineStr">
        <is>
          <t>New South Wales</t>
        </is>
      </c>
      <c r="H663" s="17" t="inlineStr"/>
      <c r="I663" s="15" t="inlineStr">
        <is>
          <t>IVF Australia Pty Ltd</t>
        </is>
      </c>
      <c r="J663" s="18" t="n">
        <v>57.44</v>
      </c>
      <c r="K663" s="17" t="inlineStr">
        <is>
          <t>13.55</t>
        </is>
      </c>
      <c r="L663" s="16" t="n">
        <v>45949</v>
      </c>
      <c r="M663" s="16" t="n">
        <v>44517</v>
      </c>
      <c r="N663" s="17" t="inlineStr">
        <is>
          <t>43.89</t>
        </is>
      </c>
      <c r="O663" s="17" t="inlineStr"/>
      <c r="P663" s="16" t="n"/>
    </row>
    <row r="664" ht="52.8" customHeight="1">
      <c r="A664" s="11" t="inlineStr">
        <is>
          <t>AU23638</t>
        </is>
      </c>
      <c r="B664" s="12" t="n">
        <v>45789</v>
      </c>
      <c r="C664" s="11" t="inlineStr">
        <is>
          <t>Head of Quality &amp; Risk Officer</t>
        </is>
      </c>
      <c r="D664" s="11" t="inlineStr">
        <is>
          <t>Common Law Employment Contract</t>
        </is>
      </c>
      <c r="E664" s="11" t="inlineStr">
        <is>
          <t>FP - Full-time Salaried</t>
        </is>
      </c>
      <c r="F664" s="11" t="inlineStr">
        <is>
          <t>Corporate Services</t>
        </is>
      </c>
      <c r="G664" s="11" t="inlineStr">
        <is>
          <t>New South Wales</t>
        </is>
      </c>
      <c r="H664" s="13" t="inlineStr">
        <is>
          <t>76.00</t>
        </is>
      </c>
      <c r="I664" s="11" t="inlineStr">
        <is>
          <t>IVF Australia Pty Ltd</t>
        </is>
      </c>
      <c r="J664" s="14" t="n">
        <v>13.68</v>
      </c>
      <c r="K664" s="13" t="inlineStr">
        <is>
          <t>13.68</t>
        </is>
      </c>
      <c r="L664" s="12" t="n">
        <v>45949</v>
      </c>
      <c r="M664" s="12" t="n">
        <v>45789</v>
      </c>
      <c r="N664" s="13" t="inlineStr"/>
      <c r="O664" s="13" t="inlineStr"/>
      <c r="P664" s="12" t="n"/>
    </row>
    <row r="665" ht="52.8" customHeight="1">
      <c r="A665" s="15" t="n">
        <v>70013</v>
      </c>
      <c r="B665" s="16" t="n">
        <v>42184</v>
      </c>
      <c r="C665" s="15" t="inlineStr">
        <is>
          <t>Regional Clinical Nurse Specialist</t>
        </is>
      </c>
      <c r="D665" s="15" t="inlineStr">
        <is>
          <t>QLD Nurse EA</t>
        </is>
      </c>
      <c r="E665" s="15" t="inlineStr">
        <is>
          <t>PP - Part-time Waged</t>
        </is>
      </c>
      <c r="F665" s="15" t="inlineStr">
        <is>
          <t>Queensland Fertility Group</t>
        </is>
      </c>
      <c r="G665" s="15" t="inlineStr">
        <is>
          <t>Queensland</t>
        </is>
      </c>
      <c r="H665" s="17" t="inlineStr">
        <is>
          <t>60.80</t>
        </is>
      </c>
      <c r="I665" s="15" t="inlineStr">
        <is>
          <t>Queensland Fertility Group Pty Ltd</t>
        </is>
      </c>
      <c r="J665" s="18" t="n">
        <v>395</v>
      </c>
      <c r="K665" s="17" t="inlineStr">
        <is>
          <t>13.83</t>
        </is>
      </c>
      <c r="L665" s="16" t="n">
        <v>45949</v>
      </c>
      <c r="M665" s="16" t="n">
        <v>45837</v>
      </c>
      <c r="N665" s="17" t="inlineStr">
        <is>
          <t>381.17</t>
        </is>
      </c>
      <c r="O665" s="17" t="inlineStr"/>
      <c r="P665" s="16" t="n"/>
    </row>
    <row r="666" ht="52.8" customHeight="1">
      <c r="A666" s="11" t="n">
        <v>60118</v>
      </c>
      <c r="B666" s="12" t="n">
        <v>37200</v>
      </c>
      <c r="C666" s="11" t="inlineStr">
        <is>
          <t>Registered Nurse</t>
        </is>
      </c>
      <c r="D666" s="11" t="inlineStr">
        <is>
          <t>QLD Nurse EA</t>
        </is>
      </c>
      <c r="E666" s="11" t="inlineStr">
        <is>
          <t>PP - Part-time Waged</t>
        </is>
      </c>
      <c r="F666" s="11" t="inlineStr">
        <is>
          <t>Day Hospitals</t>
        </is>
      </c>
      <c r="G666" s="11" t="inlineStr">
        <is>
          <t>Queensland</t>
        </is>
      </c>
      <c r="H666" s="13" t="inlineStr">
        <is>
          <t>36.00</t>
        </is>
      </c>
      <c r="I666" s="11" t="inlineStr">
        <is>
          <t>Spring Hill Specialist Day Hospital</t>
        </is>
      </c>
      <c r="J666" s="14" t="n">
        <v>244.27</v>
      </c>
      <c r="K666" s="13" t="inlineStr">
        <is>
          <t>14.08</t>
        </is>
      </c>
      <c r="L666" s="12" t="n">
        <v>45949</v>
      </c>
      <c r="M666" s="12" t="n">
        <v>45788</v>
      </c>
      <c r="N666" s="13" t="inlineStr">
        <is>
          <t>230.19</t>
        </is>
      </c>
      <c r="O666" s="13" t="inlineStr"/>
      <c r="P666" s="12" t="n"/>
    </row>
    <row r="667" ht="39.6" customHeight="1">
      <c r="A667" s="15" t="inlineStr">
        <is>
          <t>AU23622</t>
        </is>
      </c>
      <c r="B667" s="16" t="n">
        <v>45776</v>
      </c>
      <c r="C667" s="15" t="inlineStr">
        <is>
          <t>Medical Secretary</t>
        </is>
      </c>
      <c r="D667" s="15" t="inlineStr">
        <is>
          <t>NSW Support Services EA</t>
        </is>
      </c>
      <c r="E667" s="15" t="inlineStr">
        <is>
          <t>FT - Full-time Waged</t>
        </is>
      </c>
      <c r="F667" s="15" t="inlineStr">
        <is>
          <t>IVFA</t>
        </is>
      </c>
      <c r="G667" s="15" t="inlineStr">
        <is>
          <t>New South Wales</t>
        </is>
      </c>
      <c r="H667" s="17" t="inlineStr">
        <is>
          <t>76.00</t>
        </is>
      </c>
      <c r="I667" s="15" t="inlineStr">
        <is>
          <t>IVF Australia Pty Ltd</t>
        </is>
      </c>
      <c r="J667" s="18" t="n">
        <v>14.15</v>
      </c>
      <c r="K667" s="17" t="inlineStr">
        <is>
          <t>14.15</t>
        </is>
      </c>
      <c r="L667" s="16" t="n">
        <v>45949</v>
      </c>
      <c r="M667" s="16" t="n">
        <v>45776</v>
      </c>
      <c r="N667" s="17" t="inlineStr"/>
      <c r="O667" s="17" t="inlineStr"/>
      <c r="P667" s="16" t="n"/>
    </row>
    <row r="668" ht="52.8" customHeight="1">
      <c r="A668" s="11" t="n">
        <v>80434</v>
      </c>
      <c r="B668" s="12" t="n">
        <v>38905</v>
      </c>
      <c r="C668" s="11" t="inlineStr">
        <is>
          <t>Registered Nurse</t>
        </is>
      </c>
      <c r="D668" s="11" t="inlineStr">
        <is>
          <t>QLD Nurse EA</t>
        </is>
      </c>
      <c r="E668" s="11" t="inlineStr">
        <is>
          <t>PP - Part-time Waged</t>
        </is>
      </c>
      <c r="F668" s="11" t="inlineStr">
        <is>
          <t>Queensland Fertility Group</t>
        </is>
      </c>
      <c r="G668" s="11" t="inlineStr">
        <is>
          <t>Queensland</t>
        </is>
      </c>
      <c r="H668" s="13" t="inlineStr">
        <is>
          <t>53.20</t>
        </is>
      </c>
      <c r="I668" s="11" t="inlineStr">
        <is>
          <t>Queensland Fertility Group Pty Ltd</t>
        </is>
      </c>
      <c r="J668" s="14" t="n">
        <v>329.72</v>
      </c>
      <c r="K668" s="13" t="inlineStr">
        <is>
          <t>14.21</t>
        </is>
      </c>
      <c r="L668" s="12" t="n">
        <v>45949</v>
      </c>
      <c r="M668" s="12" t="n">
        <v>45845</v>
      </c>
      <c r="N668" s="13" t="inlineStr">
        <is>
          <t>315.51</t>
        </is>
      </c>
      <c r="O668" s="13" t="inlineStr"/>
      <c r="P668" s="12" t="n"/>
    </row>
    <row r="669" ht="79.2" customHeight="1">
      <c r="A669" s="15" t="inlineStr">
        <is>
          <t>AU23733</t>
        </is>
      </c>
      <c r="B669" s="16" t="n">
        <v>45866</v>
      </c>
      <c r="C669" s="15" t="inlineStr">
        <is>
          <t>Phlebotomist</t>
        </is>
      </c>
      <c r="D669" s="15" t="inlineStr">
        <is>
          <t>Health Professionals and Support Services Award</t>
        </is>
      </c>
      <c r="E669" s="15" t="inlineStr">
        <is>
          <t>PP - Part-time Waged</t>
        </is>
      </c>
      <c r="F669" s="15" t="inlineStr">
        <is>
          <t>Queensland Fertility Group</t>
        </is>
      </c>
      <c r="G669" s="15" t="inlineStr">
        <is>
          <t>Queensland</t>
        </is>
      </c>
      <c r="H669" s="17" t="inlineStr">
        <is>
          <t>40.00</t>
        </is>
      </c>
      <c r="I669" s="15" t="inlineStr">
        <is>
          <t>Queensland Fertility Group Pty Ltd</t>
        </is>
      </c>
      <c r="J669" s="18" t="n">
        <v>14.22</v>
      </c>
      <c r="K669" s="17" t="inlineStr">
        <is>
          <t>14.22</t>
        </is>
      </c>
      <c r="L669" s="16" t="n">
        <v>45949</v>
      </c>
      <c r="M669" s="16" t="n">
        <v>45686</v>
      </c>
      <c r="N669" s="17" t="inlineStr"/>
      <c r="O669" s="17" t="inlineStr"/>
      <c r="P669" s="16" t="n"/>
    </row>
    <row r="670" ht="52.8" customHeight="1">
      <c r="A670" s="11" t="n">
        <v>80293</v>
      </c>
      <c r="B670" s="12" t="n">
        <v>40182</v>
      </c>
      <c r="C670" s="11" t="inlineStr">
        <is>
          <t>Registered Nurse</t>
        </is>
      </c>
      <c r="D670" s="11" t="inlineStr">
        <is>
          <t>QLD Nurse EA</t>
        </is>
      </c>
      <c r="E670" s="11" t="inlineStr">
        <is>
          <t>CA - Casual</t>
        </is>
      </c>
      <c r="F670" s="11" t="inlineStr">
        <is>
          <t>Queensland Fertility Group</t>
        </is>
      </c>
      <c r="G670" s="11" t="inlineStr">
        <is>
          <t>Queensland</t>
        </is>
      </c>
      <c r="H670" s="13" t="inlineStr"/>
      <c r="I670" s="11" t="inlineStr">
        <is>
          <t>Queensland Fertility Group Pty Ltd</t>
        </is>
      </c>
      <c r="J670" s="14" t="n">
        <v>194.11</v>
      </c>
      <c r="K670" s="13" t="inlineStr">
        <is>
          <t>14.35</t>
        </is>
      </c>
      <c r="L670" s="12" t="n">
        <v>45949</v>
      </c>
      <c r="M670" s="12" t="n">
        <v>45661</v>
      </c>
      <c r="N670" s="13" t="inlineStr">
        <is>
          <t>179.76</t>
        </is>
      </c>
      <c r="O670" s="13" t="inlineStr"/>
      <c r="P670" s="12" t="n"/>
    </row>
    <row r="671" ht="52.8" customHeight="1">
      <c r="A671" s="15" t="inlineStr">
        <is>
          <t>AU23492</t>
        </is>
      </c>
      <c r="B671" s="16" t="n">
        <v>45680</v>
      </c>
      <c r="C671" s="15" t="inlineStr">
        <is>
          <t>Pathologist - Microbiology</t>
        </is>
      </c>
      <c r="D671" s="15" t="inlineStr">
        <is>
          <t>Common Law Employment Contract</t>
        </is>
      </c>
      <c r="E671" s="15" t="inlineStr">
        <is>
          <t>FP - Full-time Salaried</t>
        </is>
      </c>
      <c r="F671" s="15" t="inlineStr">
        <is>
          <t>Diagnostics</t>
        </is>
      </c>
      <c r="G671" s="15" t="inlineStr">
        <is>
          <t>Victoria</t>
        </is>
      </c>
      <c r="H671" s="17" t="inlineStr">
        <is>
          <t>76.00</t>
        </is>
      </c>
      <c r="I671" s="15" t="inlineStr">
        <is>
          <t>Virtus Health Specialist Diagnostics</t>
        </is>
      </c>
      <c r="J671" s="18" t="n">
        <v>14.47</v>
      </c>
      <c r="K671" s="17" t="inlineStr">
        <is>
          <t>14.47</t>
        </is>
      </c>
      <c r="L671" s="16" t="n">
        <v>45949</v>
      </c>
      <c r="M671" s="16" t="n">
        <v>45680</v>
      </c>
      <c r="N671" s="17" t="inlineStr"/>
      <c r="O671" s="17" t="inlineStr"/>
      <c r="P671" s="16" t="n"/>
    </row>
    <row r="672" ht="79.2" customHeight="1">
      <c r="A672" s="11" t="inlineStr">
        <is>
          <t>AU23201</t>
        </is>
      </c>
      <c r="B672" s="12" t="n">
        <v>45411</v>
      </c>
      <c r="C672" s="11" t="inlineStr">
        <is>
          <t>Courier</t>
        </is>
      </c>
      <c r="D672" s="11" t="inlineStr">
        <is>
          <t>Health Professionals and Support Services Award</t>
        </is>
      </c>
      <c r="E672" s="11" t="inlineStr">
        <is>
          <t>PP - Part-time Waged</t>
        </is>
      </c>
      <c r="F672" s="11" t="inlineStr">
        <is>
          <t>Queensland Fertility Group</t>
        </is>
      </c>
      <c r="G672" s="11" t="inlineStr">
        <is>
          <t>Queensland</t>
        </is>
      </c>
      <c r="H672" s="13" t="inlineStr">
        <is>
          <t>20.00</t>
        </is>
      </c>
      <c r="I672" s="11" t="inlineStr">
        <is>
          <t>Queensland Fertility Group Pty Ltd</t>
        </is>
      </c>
      <c r="J672" s="14" t="n">
        <v>14.55</v>
      </c>
      <c r="K672" s="13" t="inlineStr">
        <is>
          <t>14.55</t>
        </is>
      </c>
      <c r="L672" s="12" t="n">
        <v>45949</v>
      </c>
      <c r="M672" s="12" t="n">
        <v>45411</v>
      </c>
      <c r="N672" s="13" t="inlineStr"/>
      <c r="O672" s="13" t="inlineStr"/>
      <c r="P672" s="12" t="n"/>
    </row>
    <row r="673" ht="52.8" customHeight="1">
      <c r="A673" s="15" t="n">
        <v>80031</v>
      </c>
      <c r="B673" s="16" t="n">
        <v>38359</v>
      </c>
      <c r="C673" s="15" t="inlineStr">
        <is>
          <t>Registered Nurse</t>
        </is>
      </c>
      <c r="D673" s="15" t="inlineStr">
        <is>
          <t>QLD Nurse EA</t>
        </is>
      </c>
      <c r="E673" s="15" t="inlineStr">
        <is>
          <t>PP - Part-time Waged</t>
        </is>
      </c>
      <c r="F673" s="15" t="inlineStr">
        <is>
          <t>Queensland Fertility Group</t>
        </is>
      </c>
      <c r="G673" s="15" t="inlineStr">
        <is>
          <t>Queensland</t>
        </is>
      </c>
      <c r="H673" s="17" t="inlineStr">
        <is>
          <t>60.80</t>
        </is>
      </c>
      <c r="I673" s="15" t="inlineStr">
        <is>
          <t>Queensland Fertility Group Pty Ltd</t>
        </is>
      </c>
      <c r="J673" s="18" t="n">
        <v>217.35</v>
      </c>
      <c r="K673" s="17" t="inlineStr">
        <is>
          <t>14.56</t>
        </is>
      </c>
      <c r="L673" s="16" t="n">
        <v>45949</v>
      </c>
      <c r="M673" s="16" t="n">
        <v>45839</v>
      </c>
      <c r="N673" s="17" t="inlineStr">
        <is>
          <t>202.79</t>
        </is>
      </c>
      <c r="O673" s="17" t="inlineStr"/>
      <c r="P673" s="16" t="n"/>
    </row>
    <row r="674" ht="79.2" customHeight="1">
      <c r="A674" s="11" t="inlineStr">
        <is>
          <t>AU23485</t>
        </is>
      </c>
      <c r="B674" s="12" t="n">
        <v>45685</v>
      </c>
      <c r="C674" s="11" t="inlineStr">
        <is>
          <t>Administration</t>
        </is>
      </c>
      <c r="D674" s="11" t="inlineStr">
        <is>
          <t>Health Professionals and Support Services Award</t>
        </is>
      </c>
      <c r="E674" s="11" t="inlineStr">
        <is>
          <t>CA - Casual</t>
        </is>
      </c>
      <c r="F674" s="11" t="inlineStr">
        <is>
          <t>Queensland Fertility Group</t>
        </is>
      </c>
      <c r="G674" s="11" t="inlineStr">
        <is>
          <t>Queensland</t>
        </is>
      </c>
      <c r="H674" s="13" t="inlineStr"/>
      <c r="I674" s="11" t="inlineStr">
        <is>
          <t>Queensland Fertility Group Pty Ltd</t>
        </is>
      </c>
      <c r="J674" s="14" t="n">
        <v>14.56</v>
      </c>
      <c r="K674" s="13" t="inlineStr">
        <is>
          <t>14.56</t>
        </is>
      </c>
      <c r="L674" s="12" t="n">
        <v>45949</v>
      </c>
      <c r="M674" s="12" t="n">
        <v>45685</v>
      </c>
      <c r="N674" s="13" t="inlineStr"/>
      <c r="O674" s="13" t="inlineStr"/>
      <c r="P674" s="12" t="n"/>
    </row>
    <row r="675" ht="79.2" customHeight="1">
      <c r="A675" s="15" t="inlineStr">
        <is>
          <t>AU23477</t>
        </is>
      </c>
      <c r="B675" s="16" t="n">
        <v>45670</v>
      </c>
      <c r="C675" s="15" t="inlineStr">
        <is>
          <t>Laboratory Administration Assistant</t>
        </is>
      </c>
      <c r="D675" s="15" t="inlineStr">
        <is>
          <t>Health Professionals and Support Services Award</t>
        </is>
      </c>
      <c r="E675" s="15" t="inlineStr">
        <is>
          <t>CA - Casual</t>
        </is>
      </c>
      <c r="F675" s="15" t="inlineStr">
        <is>
          <t>Queensland Fertility Group</t>
        </is>
      </c>
      <c r="G675" s="15" t="inlineStr">
        <is>
          <t>Queensland</t>
        </is>
      </c>
      <c r="H675" s="17" t="inlineStr"/>
      <c r="I675" s="15" t="inlineStr">
        <is>
          <t>Queensland Fertility Group Pty Ltd</t>
        </is>
      </c>
      <c r="J675" s="18" t="n">
        <v>14.61</v>
      </c>
      <c r="K675" s="17" t="inlineStr">
        <is>
          <t>14.61</t>
        </is>
      </c>
      <c r="L675" s="16" t="n">
        <v>45949</v>
      </c>
      <c r="M675" s="16" t="n">
        <v>45670</v>
      </c>
      <c r="N675" s="17" t="inlineStr"/>
      <c r="O675" s="17" t="inlineStr"/>
      <c r="P675" s="16" t="n"/>
    </row>
    <row r="676" ht="52.8" customHeight="1">
      <c r="A676" s="11" t="inlineStr">
        <is>
          <t>AU23751</t>
        </is>
      </c>
      <c r="B676" s="12" t="n">
        <v>45824</v>
      </c>
      <c r="C676" s="11" t="inlineStr">
        <is>
          <t>Nurses Coordinator</t>
        </is>
      </c>
      <c r="D676" s="11" t="inlineStr">
        <is>
          <t>QLD Nurse EA</t>
        </is>
      </c>
      <c r="E676" s="11" t="inlineStr">
        <is>
          <t>PP - Part-time Waged</t>
        </is>
      </c>
      <c r="F676" s="11" t="inlineStr">
        <is>
          <t>Queensland Fertility Group</t>
        </is>
      </c>
      <c r="G676" s="11" t="inlineStr">
        <is>
          <t>Queensland</t>
        </is>
      </c>
      <c r="H676" s="13" t="inlineStr">
        <is>
          <t>30.00</t>
        </is>
      </c>
      <c r="I676" s="11" t="inlineStr">
        <is>
          <t>Queensland Fertility Group Pty Ltd</t>
        </is>
      </c>
      <c r="J676" s="14" t="n">
        <v>14.93</v>
      </c>
      <c r="K676" s="13" t="inlineStr">
        <is>
          <t>14.93</t>
        </is>
      </c>
      <c r="L676" s="12" t="n">
        <v>45949</v>
      </c>
      <c r="M676" s="12" t="n">
        <v>45777</v>
      </c>
      <c r="N676" s="13" t="inlineStr"/>
      <c r="O676" s="13" t="inlineStr"/>
      <c r="P676" s="12" t="n"/>
    </row>
    <row r="677" ht="79.2" customHeight="1">
      <c r="A677" s="15" t="inlineStr">
        <is>
          <t>AU23838</t>
        </is>
      </c>
      <c r="B677" s="16" t="n">
        <v>45908</v>
      </c>
      <c r="C677" s="15" t="inlineStr">
        <is>
          <t>Administration</t>
        </is>
      </c>
      <c r="D677" s="15" t="inlineStr">
        <is>
          <t>Health Professionals and Support Services Award</t>
        </is>
      </c>
      <c r="E677" s="15" t="inlineStr">
        <is>
          <t>FT - Full-time Waged</t>
        </is>
      </c>
      <c r="F677" s="15" t="inlineStr">
        <is>
          <t>Queensland Fertility Group</t>
        </is>
      </c>
      <c r="G677" s="15" t="inlineStr">
        <is>
          <t>Queensland</t>
        </is>
      </c>
      <c r="H677" s="17" t="inlineStr">
        <is>
          <t>76.00</t>
        </is>
      </c>
      <c r="I677" s="15" t="inlineStr">
        <is>
          <t>Queensland Fertility Group Pty Ltd</t>
        </is>
      </c>
      <c r="J677" s="18" t="n">
        <v>14.95</v>
      </c>
      <c r="K677" s="17" t="inlineStr">
        <is>
          <t>14.95</t>
        </is>
      </c>
      <c r="L677" s="16" t="n">
        <v>45949</v>
      </c>
      <c r="M677" s="16" t="n">
        <v>45698</v>
      </c>
      <c r="N677" s="17" t="inlineStr"/>
      <c r="O677" s="17" t="inlineStr"/>
      <c r="P677" s="16" t="n"/>
    </row>
    <row r="678" ht="52.8" customHeight="1">
      <c r="A678" s="11" t="inlineStr">
        <is>
          <t>AU23635</t>
        </is>
      </c>
      <c r="B678" s="12" t="n">
        <v>45784</v>
      </c>
      <c r="C678" s="11" t="inlineStr">
        <is>
          <t>Technology Operations Engineer</t>
        </is>
      </c>
      <c r="D678" s="11" t="inlineStr">
        <is>
          <t>Common Law Employment Contract</t>
        </is>
      </c>
      <c r="E678" s="11" t="inlineStr">
        <is>
          <t>FP - Full-time Salaried</t>
        </is>
      </c>
      <c r="F678" s="11" t="inlineStr">
        <is>
          <t>Corporate Services</t>
        </is>
      </c>
      <c r="G678" s="11" t="inlineStr">
        <is>
          <t>Victoria</t>
        </is>
      </c>
      <c r="H678" s="13" t="inlineStr">
        <is>
          <t>76.00</t>
        </is>
      </c>
      <c r="I678" s="11" t="inlineStr">
        <is>
          <t>IVF Australia Pty Ltd</t>
        </is>
      </c>
      <c r="J678" s="14" t="n">
        <v>14.98</v>
      </c>
      <c r="K678" s="13" t="inlineStr">
        <is>
          <t>14.98</t>
        </is>
      </c>
      <c r="L678" s="12" t="n">
        <v>45949</v>
      </c>
      <c r="M678" s="12" t="n">
        <v>45784</v>
      </c>
      <c r="N678" s="13" t="inlineStr"/>
      <c r="O678" s="13" t="inlineStr"/>
      <c r="P678" s="12" t="n"/>
    </row>
    <row r="679" ht="52.8" customHeight="1">
      <c r="A679" s="15" t="n">
        <v>80108</v>
      </c>
      <c r="B679" s="16" t="n">
        <v>35219</v>
      </c>
      <c r="C679" s="15" t="inlineStr">
        <is>
          <t>Embryologist</t>
        </is>
      </c>
      <c r="D679" s="15" t="inlineStr">
        <is>
          <t>QLD Scientists EA</t>
        </is>
      </c>
      <c r="E679" s="15" t="inlineStr">
        <is>
          <t>PP - Part-time Waged</t>
        </is>
      </c>
      <c r="F679" s="15" t="inlineStr">
        <is>
          <t>Queensland Fertility Group</t>
        </is>
      </c>
      <c r="G679" s="15" t="inlineStr">
        <is>
          <t>Queensland</t>
        </is>
      </c>
      <c r="H679" s="17" t="inlineStr">
        <is>
          <t>60.80</t>
        </is>
      </c>
      <c r="I679" s="15" t="inlineStr">
        <is>
          <t>Queensland Fertility Group Pty Ltd</t>
        </is>
      </c>
      <c r="J679" s="18" t="n">
        <v>452.02</v>
      </c>
      <c r="K679" s="17" t="inlineStr">
        <is>
          <t>15.20</t>
        </is>
      </c>
      <c r="L679" s="16" t="n">
        <v>45949</v>
      </c>
      <c r="M679" s="16" t="n">
        <v>45811</v>
      </c>
      <c r="N679" s="17" t="inlineStr">
        <is>
          <t>467.22</t>
        </is>
      </c>
      <c r="O679" s="17" t="inlineStr">
        <is>
          <t>30.40</t>
        </is>
      </c>
      <c r="P679" s="16" t="n"/>
    </row>
    <row r="680" ht="52.8" customHeight="1">
      <c r="A680" s="11" t="inlineStr">
        <is>
          <t>AU23624</t>
        </is>
      </c>
      <c r="B680" s="12" t="n">
        <v>45782</v>
      </c>
      <c r="C680" s="11" t="inlineStr">
        <is>
          <t>National Manager - Genetic Counselling</t>
        </is>
      </c>
      <c r="D680" s="11" t="inlineStr">
        <is>
          <t>Common Law Employment Contract</t>
        </is>
      </c>
      <c r="E680" s="11" t="inlineStr">
        <is>
          <t>FP - Full-time Salaried</t>
        </is>
      </c>
      <c r="F680" s="11" t="inlineStr">
        <is>
          <t>Diagnostics</t>
        </is>
      </c>
      <c r="G680" s="11" t="inlineStr">
        <is>
          <t>New South Wales</t>
        </is>
      </c>
      <c r="H680" s="13" t="inlineStr">
        <is>
          <t>76.00</t>
        </is>
      </c>
      <c r="I680" s="11" t="inlineStr">
        <is>
          <t>Virtus Health Specialist Diagnostics</t>
        </is>
      </c>
      <c r="J680" s="14" t="n">
        <v>151.3</v>
      </c>
      <c r="K680" s="13" t="inlineStr">
        <is>
          <t>15.20</t>
        </is>
      </c>
      <c r="L680" s="12" t="n">
        <v>45949</v>
      </c>
      <c r="M680" s="12" t="n">
        <v>44140</v>
      </c>
      <c r="N680" s="13" t="inlineStr">
        <is>
          <t>136.10</t>
        </is>
      </c>
      <c r="O680" s="13" t="inlineStr"/>
      <c r="P680" s="12" t="n"/>
    </row>
    <row r="681" ht="52.8" customHeight="1">
      <c r="A681" s="15" t="n">
        <v>80068</v>
      </c>
      <c r="B681" s="16" t="n">
        <v>40939</v>
      </c>
      <c r="C681" s="15" t="inlineStr">
        <is>
          <t>Clinical Nurse</t>
        </is>
      </c>
      <c r="D681" s="15" t="inlineStr">
        <is>
          <t>QLD Nurse EA</t>
        </is>
      </c>
      <c r="E681" s="15" t="inlineStr">
        <is>
          <t>PP - Part-time Waged</t>
        </is>
      </c>
      <c r="F681" s="15" t="inlineStr">
        <is>
          <t>The Fertility Centre</t>
        </is>
      </c>
      <c r="G681" s="15" t="inlineStr">
        <is>
          <t>Queensland</t>
        </is>
      </c>
      <c r="H681" s="17" t="inlineStr">
        <is>
          <t>32.00</t>
        </is>
      </c>
      <c r="I681" s="15" t="inlineStr">
        <is>
          <t>Queensland Fertility Group Pty Ltd</t>
        </is>
      </c>
      <c r="J681" s="18" t="n">
        <v>196.29</v>
      </c>
      <c r="K681" s="17" t="inlineStr">
        <is>
          <t>15.34</t>
        </is>
      </c>
      <c r="L681" s="16" t="n">
        <v>45949</v>
      </c>
      <c r="M681" s="16" t="n">
        <v>45688</v>
      </c>
      <c r="N681" s="17" t="inlineStr">
        <is>
          <t>244.95</t>
        </is>
      </c>
      <c r="O681" s="17" t="inlineStr">
        <is>
          <t>64.00</t>
        </is>
      </c>
      <c r="P681" s="16" t="n"/>
    </row>
    <row r="682" ht="79.2" customHeight="1">
      <c r="A682" s="11" t="inlineStr">
        <is>
          <t>AU23360</t>
        </is>
      </c>
      <c r="B682" s="12" t="n">
        <v>45551</v>
      </c>
      <c r="C682" s="11" t="inlineStr">
        <is>
          <t>New Patient Care Consultant</t>
        </is>
      </c>
      <c r="D682" s="11" t="inlineStr">
        <is>
          <t>Health Professionals and Support Services Award</t>
        </is>
      </c>
      <c r="E682" s="11" t="inlineStr">
        <is>
          <t>PP - Part-time Waged</t>
        </is>
      </c>
      <c r="F682" s="11" t="inlineStr">
        <is>
          <t>Queensland Fertility Group</t>
        </is>
      </c>
      <c r="G682" s="11" t="inlineStr">
        <is>
          <t>Queensland</t>
        </is>
      </c>
      <c r="H682" s="13" t="inlineStr">
        <is>
          <t>45.60</t>
        </is>
      </c>
      <c r="I682" s="11" t="inlineStr">
        <is>
          <t>Queensland Fertility Group Pty Ltd</t>
        </is>
      </c>
      <c r="J682" s="14" t="n">
        <v>15.64</v>
      </c>
      <c r="K682" s="13" t="inlineStr">
        <is>
          <t>15.64</t>
        </is>
      </c>
      <c r="L682" s="12" t="n">
        <v>45949</v>
      </c>
      <c r="M682" s="12" t="n">
        <v>45551</v>
      </c>
      <c r="N682" s="13" t="inlineStr"/>
      <c r="O682" s="13" t="inlineStr"/>
      <c r="P682" s="12" t="n"/>
    </row>
    <row r="683" ht="52.8" customHeight="1">
      <c r="A683" s="15" t="inlineStr">
        <is>
          <t>AU23585</t>
        </is>
      </c>
      <c r="B683" s="16" t="n">
        <v>45776</v>
      </c>
      <c r="C683" s="15" t="inlineStr">
        <is>
          <t>Analytics and Insight Manager</t>
        </is>
      </c>
      <c r="D683" s="15" t="inlineStr">
        <is>
          <t>Common Law Employment Contract</t>
        </is>
      </c>
      <c r="E683" s="15" t="inlineStr">
        <is>
          <t>FP - Full-time Salaried</t>
        </is>
      </c>
      <c r="F683" s="15" t="inlineStr">
        <is>
          <t>Corporate Services</t>
        </is>
      </c>
      <c r="G683" s="15" t="inlineStr">
        <is>
          <t>New South Wales</t>
        </is>
      </c>
      <c r="H683" s="17" t="inlineStr">
        <is>
          <t>76.00</t>
        </is>
      </c>
      <c r="I683" s="15" t="inlineStr">
        <is>
          <t>IVF Australia Pty Ltd</t>
        </is>
      </c>
      <c r="J683" s="18" t="n">
        <v>15.71</v>
      </c>
      <c r="K683" s="17" t="inlineStr">
        <is>
          <t>15.71</t>
        </is>
      </c>
      <c r="L683" s="16" t="n">
        <v>45949</v>
      </c>
      <c r="M683" s="16" t="n">
        <v>45776</v>
      </c>
      <c r="N683" s="17" t="inlineStr"/>
      <c r="O683" s="17" t="inlineStr"/>
      <c r="P683" s="16" t="n"/>
    </row>
    <row r="684" ht="52.8" customHeight="1">
      <c r="A684" s="11" t="inlineStr">
        <is>
          <t>AU23613</t>
        </is>
      </c>
      <c r="B684" s="12" t="n">
        <v>45775</v>
      </c>
      <c r="C684" s="11" t="inlineStr">
        <is>
          <t>Genetic Scientist</t>
        </is>
      </c>
      <c r="D684" s="11" t="inlineStr">
        <is>
          <t>QLD Scientists EA</t>
        </is>
      </c>
      <c r="E684" s="11" t="inlineStr">
        <is>
          <t>FT - Full-time Waged</t>
        </is>
      </c>
      <c r="F684" s="11" t="inlineStr">
        <is>
          <t>Diagnostics</t>
        </is>
      </c>
      <c r="G684" s="11" t="inlineStr">
        <is>
          <t>Queensland</t>
        </is>
      </c>
      <c r="H684" s="13" t="inlineStr">
        <is>
          <t>76.00</t>
        </is>
      </c>
      <c r="I684" s="11" t="inlineStr">
        <is>
          <t>Queensland Fertility Group Pty Ltd</t>
        </is>
      </c>
      <c r="J684" s="14" t="n">
        <v>15.77</v>
      </c>
      <c r="K684" s="13" t="inlineStr">
        <is>
          <t>15.77</t>
        </is>
      </c>
      <c r="L684" s="12" t="n">
        <v>45949</v>
      </c>
      <c r="M684" s="12" t="n">
        <v>45775</v>
      </c>
      <c r="N684" s="13" t="inlineStr"/>
      <c r="O684" s="13" t="inlineStr"/>
      <c r="P684" s="12" t="n"/>
    </row>
    <row r="685" ht="39.6" customHeight="1">
      <c r="A685" s="15" t="inlineStr">
        <is>
          <t>AU23621</t>
        </is>
      </c>
      <c r="B685" s="16" t="n">
        <v>45775</v>
      </c>
      <c r="C685" s="15" t="inlineStr">
        <is>
          <t>Embryologist</t>
        </is>
      </c>
      <c r="D685" s="15" t="inlineStr">
        <is>
          <t>IVFA Scientists EA</t>
        </is>
      </c>
      <c r="E685" s="15" t="inlineStr">
        <is>
          <t>FT - Full-time Waged</t>
        </is>
      </c>
      <c r="F685" s="15" t="inlineStr">
        <is>
          <t>IVFA</t>
        </is>
      </c>
      <c r="G685" s="15" t="inlineStr">
        <is>
          <t>New South Wales</t>
        </is>
      </c>
      <c r="H685" s="17" t="inlineStr">
        <is>
          <t>76.00</t>
        </is>
      </c>
      <c r="I685" s="15" t="inlineStr">
        <is>
          <t>IVF Australia Pty Ltd</t>
        </is>
      </c>
      <c r="J685" s="18" t="n">
        <v>15.79</v>
      </c>
      <c r="K685" s="17" t="inlineStr">
        <is>
          <t>15.79</t>
        </is>
      </c>
      <c r="L685" s="16" t="n">
        <v>45949</v>
      </c>
      <c r="M685" s="16" t="n">
        <v>45775</v>
      </c>
      <c r="N685" s="17" t="inlineStr"/>
      <c r="O685" s="17" t="inlineStr"/>
      <c r="P685" s="16" t="n"/>
    </row>
    <row r="686" ht="39.6" customHeight="1">
      <c r="A686" s="11" t="inlineStr">
        <is>
          <t>AU23600</t>
        </is>
      </c>
      <c r="B686" s="12" t="n">
        <v>45768</v>
      </c>
      <c r="C686" s="11" t="inlineStr">
        <is>
          <t>Embryologist</t>
        </is>
      </c>
      <c r="D686" s="11" t="inlineStr">
        <is>
          <t>IVFA Scientists EA</t>
        </is>
      </c>
      <c r="E686" s="11" t="inlineStr">
        <is>
          <t>FT - Full-time Waged</t>
        </is>
      </c>
      <c r="F686" s="11" t="inlineStr">
        <is>
          <t>IVFA</t>
        </is>
      </c>
      <c r="G686" s="11" t="inlineStr">
        <is>
          <t>New South Wales</t>
        </is>
      </c>
      <c r="H686" s="13" t="inlineStr">
        <is>
          <t>76.00</t>
        </is>
      </c>
      <c r="I686" s="11" t="inlineStr">
        <is>
          <t>IVF Australia Pty Ltd</t>
        </is>
      </c>
      <c r="J686" s="14" t="n">
        <v>16.06</v>
      </c>
      <c r="K686" s="13" t="inlineStr">
        <is>
          <t>16.06</t>
        </is>
      </c>
      <c r="L686" s="12" t="n">
        <v>45949</v>
      </c>
      <c r="M686" s="12" t="n">
        <v>45768</v>
      </c>
      <c r="N686" s="13" t="inlineStr"/>
      <c r="O686" s="13" t="inlineStr"/>
      <c r="P686" s="12" t="n"/>
    </row>
    <row r="687" ht="79.2" customHeight="1">
      <c r="A687" s="15" t="n">
        <v>80392</v>
      </c>
      <c r="B687" s="16" t="n">
        <v>44210</v>
      </c>
      <c r="C687" s="15" t="inlineStr">
        <is>
          <t>Phlebotomist</t>
        </is>
      </c>
      <c r="D687" s="15" t="inlineStr">
        <is>
          <t>Health Professionals and Support Services Award</t>
        </is>
      </c>
      <c r="E687" s="15" t="inlineStr">
        <is>
          <t>CA - Casual</t>
        </is>
      </c>
      <c r="F687" s="15" t="inlineStr">
        <is>
          <t>Queensland Fertility Group</t>
        </is>
      </c>
      <c r="G687" s="15" t="inlineStr">
        <is>
          <t>Queensland</t>
        </is>
      </c>
      <c r="H687" s="17" t="inlineStr"/>
      <c r="I687" s="15" t="inlineStr">
        <is>
          <t>Queensland Fertility Group Pty Ltd</t>
        </is>
      </c>
      <c r="J687" s="18" t="n">
        <v>16.2</v>
      </c>
      <c r="K687" s="17" t="inlineStr">
        <is>
          <t>16.20</t>
        </is>
      </c>
      <c r="L687" s="16" t="n">
        <v>45949</v>
      </c>
      <c r="M687" s="16" t="n">
        <v>44210</v>
      </c>
      <c r="N687" s="17" t="inlineStr"/>
      <c r="O687" s="17" t="inlineStr"/>
      <c r="P687" s="16" t="n"/>
    </row>
    <row r="688" ht="39.6" customHeight="1">
      <c r="A688" s="11" t="inlineStr">
        <is>
          <t>AU23769</t>
        </is>
      </c>
      <c r="B688" s="12" t="n">
        <v>45866</v>
      </c>
      <c r="C688" s="11" t="inlineStr">
        <is>
          <t>Administration Officer</t>
        </is>
      </c>
      <c r="D688" s="11" t="inlineStr">
        <is>
          <t>NSW Support Services EA</t>
        </is>
      </c>
      <c r="E688" s="11" t="inlineStr">
        <is>
          <t>FT - Full-time Waged</t>
        </is>
      </c>
      <c r="F688" s="11" t="inlineStr">
        <is>
          <t>IVFA</t>
        </is>
      </c>
      <c r="G688" s="11" t="inlineStr">
        <is>
          <t>New South Wales</t>
        </is>
      </c>
      <c r="H688" s="13" t="inlineStr"/>
      <c r="I688" s="11" t="inlineStr">
        <is>
          <t>IVF Australia Pty Ltd</t>
        </is>
      </c>
      <c r="J688" s="14" t="n">
        <v>16.21</v>
      </c>
      <c r="K688" s="13" t="inlineStr">
        <is>
          <t>16.21</t>
        </is>
      </c>
      <c r="L688" s="12" t="n">
        <v>45949</v>
      </c>
      <c r="M688" s="12" t="n">
        <v>45649</v>
      </c>
      <c r="N688" s="13" t="inlineStr"/>
      <c r="O688" s="13" t="inlineStr"/>
      <c r="P688" s="12" t="n"/>
    </row>
    <row r="689" ht="66" customHeight="1">
      <c r="A689" s="15" t="inlineStr">
        <is>
          <t>AU23555</t>
        </is>
      </c>
      <c r="B689" s="16" t="n">
        <v>45770</v>
      </c>
      <c r="C689" s="15" t="inlineStr">
        <is>
          <t>Head of Digital Health Applications</t>
        </is>
      </c>
      <c r="D689" s="15" t="inlineStr">
        <is>
          <t>Common Law Employment Contract</t>
        </is>
      </c>
      <c r="E689" s="15" t="inlineStr">
        <is>
          <t>FP - Full-time Salaried</t>
        </is>
      </c>
      <c r="F689" s="15" t="inlineStr">
        <is>
          <t>Corporate Services</t>
        </is>
      </c>
      <c r="G689" s="15" t="inlineStr">
        <is>
          <t>Victoria</t>
        </is>
      </c>
      <c r="H689" s="17" t="inlineStr">
        <is>
          <t>76.00</t>
        </is>
      </c>
      <c r="I689" s="15" t="inlineStr">
        <is>
          <t>IVF Australia Pty Ltd</t>
        </is>
      </c>
      <c r="J689" s="18" t="n">
        <v>16.25</v>
      </c>
      <c r="K689" s="17" t="inlineStr">
        <is>
          <t>16.25</t>
        </is>
      </c>
      <c r="L689" s="16" t="n">
        <v>45949</v>
      </c>
      <c r="M689" s="16" t="n">
        <v>45770</v>
      </c>
      <c r="N689" s="17" t="inlineStr"/>
      <c r="O689" s="17" t="inlineStr"/>
      <c r="P689" s="16" t="n"/>
    </row>
    <row r="690" ht="66" customHeight="1">
      <c r="A690" s="11" t="inlineStr">
        <is>
          <t>AU23235</t>
        </is>
      </c>
      <c r="B690" s="12" t="n">
        <v>45439</v>
      </c>
      <c r="C690" s="11" t="inlineStr">
        <is>
          <t>Administration Clerk</t>
        </is>
      </c>
      <c r="D690" s="11" t="inlineStr">
        <is>
          <t>NSW Support Services EA</t>
        </is>
      </c>
      <c r="E690" s="11" t="inlineStr">
        <is>
          <t>CA - Casual</t>
        </is>
      </c>
      <c r="F690" s="11" t="inlineStr">
        <is>
          <t>Day Hospitals</t>
        </is>
      </c>
      <c r="G690" s="11" t="inlineStr">
        <is>
          <t>New South Wales</t>
        </is>
      </c>
      <c r="H690" s="13" t="inlineStr"/>
      <c r="I690" s="11" t="inlineStr">
        <is>
          <t>Alexandria Specialist Day Hospital Pty Ltd</t>
        </is>
      </c>
      <c r="J690" s="14" t="n">
        <v>16.35</v>
      </c>
      <c r="K690" s="13" t="inlineStr">
        <is>
          <t>16.35</t>
        </is>
      </c>
      <c r="L690" s="12" t="n">
        <v>45949</v>
      </c>
      <c r="M690" s="12" t="n">
        <v>45439</v>
      </c>
      <c r="N690" s="13" t="inlineStr"/>
      <c r="O690" s="13" t="inlineStr"/>
      <c r="P690" s="12" t="n"/>
    </row>
    <row r="691" ht="52.8" customHeight="1">
      <c r="A691" s="15" t="n">
        <v>20935</v>
      </c>
      <c r="B691" s="16" t="n">
        <v>44700</v>
      </c>
      <c r="C691" s="15" t="inlineStr">
        <is>
          <t>Geneticist</t>
        </is>
      </c>
      <c r="D691" s="15" t="inlineStr">
        <is>
          <t>Common Law Employment Contract</t>
        </is>
      </c>
      <c r="E691" s="15" t="inlineStr">
        <is>
          <t>CA - Casual</t>
        </is>
      </c>
      <c r="F691" s="15" t="inlineStr">
        <is>
          <t>IVFA</t>
        </is>
      </c>
      <c r="G691" s="15" t="inlineStr">
        <is>
          <t>New South Wales</t>
        </is>
      </c>
      <c r="H691" s="17" t="inlineStr"/>
      <c r="I691" s="15" t="inlineStr">
        <is>
          <t>IVF Australia Pty Ltd</t>
        </is>
      </c>
      <c r="J691" s="18" t="n">
        <v>16.38</v>
      </c>
      <c r="K691" s="17" t="inlineStr">
        <is>
          <t>16.38</t>
        </is>
      </c>
      <c r="L691" s="16" t="n">
        <v>45949</v>
      </c>
      <c r="M691" s="16" t="n">
        <v>44700</v>
      </c>
      <c r="N691" s="17" t="inlineStr"/>
      <c r="O691" s="17" t="inlineStr"/>
      <c r="P691" s="16" t="n"/>
    </row>
    <row r="692" ht="26.4" customHeight="1">
      <c r="A692" s="11" t="inlineStr">
        <is>
          <t>AU23368</t>
        </is>
      </c>
      <c r="B692" s="12" t="n">
        <v>45551</v>
      </c>
      <c r="C692" s="11" t="inlineStr">
        <is>
          <t>Registered Nurse</t>
        </is>
      </c>
      <c r="D692" s="11" t="inlineStr">
        <is>
          <t>NSW Nurse EA</t>
        </is>
      </c>
      <c r="E692" s="11" t="inlineStr">
        <is>
          <t>CA - Casual</t>
        </is>
      </c>
      <c r="F692" s="11" t="inlineStr">
        <is>
          <t>Day Hospitals</t>
        </is>
      </c>
      <c r="G692" s="11" t="inlineStr">
        <is>
          <t>New South Wales</t>
        </is>
      </c>
      <c r="H692" s="13" t="inlineStr"/>
      <c r="I692" s="11" t="inlineStr">
        <is>
          <t>City West Day Surgery</t>
        </is>
      </c>
      <c r="J692" s="14" t="n">
        <v>16.46</v>
      </c>
      <c r="K692" s="13" t="inlineStr">
        <is>
          <t>16.46</t>
        </is>
      </c>
      <c r="L692" s="12" t="n">
        <v>45949</v>
      </c>
      <c r="M692" s="12" t="n">
        <v>45551</v>
      </c>
      <c r="N692" s="13" t="inlineStr"/>
      <c r="O692" s="13" t="inlineStr"/>
      <c r="P692" s="12" t="n"/>
    </row>
    <row r="693" ht="66" customHeight="1">
      <c r="A693" s="15" t="inlineStr">
        <is>
          <t>AU23216</t>
        </is>
      </c>
      <c r="B693" s="16" t="n">
        <v>45420</v>
      </c>
      <c r="C693" s="15" t="inlineStr">
        <is>
          <t>Registered Nurse</t>
        </is>
      </c>
      <c r="D693" s="15" t="inlineStr">
        <is>
          <t>NSW Nurse EA</t>
        </is>
      </c>
      <c r="E693" s="15" t="inlineStr">
        <is>
          <t>CA - Casual</t>
        </is>
      </c>
      <c r="F693" s="15" t="inlineStr">
        <is>
          <t>Day Hospitals</t>
        </is>
      </c>
      <c r="G693" s="15" t="inlineStr">
        <is>
          <t>Queensland</t>
        </is>
      </c>
      <c r="H693" s="17" t="inlineStr"/>
      <c r="I693" s="15" t="inlineStr">
        <is>
          <t>Alexandria Specialist Day Hospital Pty Ltd</t>
        </is>
      </c>
      <c r="J693" s="18" t="n">
        <v>16.54</v>
      </c>
      <c r="K693" s="17" t="inlineStr">
        <is>
          <t>16.54</t>
        </is>
      </c>
      <c r="L693" s="16" t="n">
        <v>45949</v>
      </c>
      <c r="M693" s="16" t="n">
        <v>45420</v>
      </c>
      <c r="N693" s="17" t="inlineStr"/>
      <c r="O693" s="17" t="inlineStr"/>
      <c r="P693" s="16" t="n"/>
    </row>
    <row r="694" ht="66" customHeight="1">
      <c r="A694" s="11" t="inlineStr">
        <is>
          <t>AU22964</t>
        </is>
      </c>
      <c r="B694" s="12" t="n">
        <v>45156</v>
      </c>
      <c r="C694" s="11" t="inlineStr">
        <is>
          <t>Admin Officer</t>
        </is>
      </c>
      <c r="D694" s="11" t="inlineStr">
        <is>
          <t>NSW Support Services EA</t>
        </is>
      </c>
      <c r="E694" s="11" t="inlineStr">
        <is>
          <t>CA - Casual</t>
        </is>
      </c>
      <c r="F694" s="11" t="inlineStr">
        <is>
          <t>Day Hospitals</t>
        </is>
      </c>
      <c r="G694" s="11" t="inlineStr">
        <is>
          <t>New South Wales</t>
        </is>
      </c>
      <c r="H694" s="13" t="inlineStr"/>
      <c r="I694" s="11" t="inlineStr">
        <is>
          <t>North Shore Specialist Day Hospital Pty Ltd</t>
        </is>
      </c>
      <c r="J694" s="14" t="n">
        <v>16.62</v>
      </c>
      <c r="K694" s="13" t="inlineStr">
        <is>
          <t>16.62</t>
        </is>
      </c>
      <c r="L694" s="12" t="n">
        <v>45949</v>
      </c>
      <c r="M694" s="12" t="n">
        <v>45156</v>
      </c>
      <c r="N694" s="13" t="inlineStr"/>
      <c r="O694" s="13" t="inlineStr"/>
      <c r="P694" s="12" t="n"/>
    </row>
    <row r="695" ht="52.8" customHeight="1">
      <c r="A695" s="15" t="n">
        <v>60018</v>
      </c>
      <c r="B695" s="16" t="n">
        <v>37146</v>
      </c>
      <c r="C695" s="15" t="inlineStr">
        <is>
          <t>Registered Nurse</t>
        </is>
      </c>
      <c r="D695" s="15" t="inlineStr">
        <is>
          <t>QLD Nurse EA</t>
        </is>
      </c>
      <c r="E695" s="15" t="inlineStr">
        <is>
          <t>PP - Part-time Waged</t>
        </is>
      </c>
      <c r="F695" s="15" t="inlineStr">
        <is>
          <t>Day Hospitals</t>
        </is>
      </c>
      <c r="G695" s="15" t="inlineStr">
        <is>
          <t>Queensland</t>
        </is>
      </c>
      <c r="H695" s="17" t="inlineStr">
        <is>
          <t>64.00</t>
        </is>
      </c>
      <c r="I695" s="15" t="inlineStr">
        <is>
          <t>MACKAY Specialist Day Hospital</t>
        </is>
      </c>
      <c r="J695" s="18" t="n">
        <v>132.04</v>
      </c>
      <c r="K695" s="17" t="inlineStr">
        <is>
          <t>16.63</t>
        </is>
      </c>
      <c r="L695" s="16" t="n">
        <v>45949</v>
      </c>
      <c r="M695" s="16" t="n">
        <v>45800</v>
      </c>
      <c r="N695" s="17" t="inlineStr">
        <is>
          <t>115.41</t>
        </is>
      </c>
      <c r="O695" s="17" t="inlineStr"/>
      <c r="P695" s="16" t="n"/>
    </row>
    <row r="696" ht="52.8" customHeight="1">
      <c r="A696" s="11" t="inlineStr">
        <is>
          <t>AU23515</t>
        </is>
      </c>
      <c r="B696" s="12" t="n">
        <v>45719</v>
      </c>
      <c r="C696" s="11" t="inlineStr">
        <is>
          <t>Head of Business Partnerships</t>
        </is>
      </c>
      <c r="D696" s="11" t="inlineStr">
        <is>
          <t>Common Law Employment Contract</t>
        </is>
      </c>
      <c r="E696" s="11" t="inlineStr">
        <is>
          <t>PT - Part-time Salary</t>
        </is>
      </c>
      <c r="F696" s="11" t="inlineStr">
        <is>
          <t>Corporate Services</t>
        </is>
      </c>
      <c r="G696" s="11" t="inlineStr">
        <is>
          <t>New South Wales</t>
        </is>
      </c>
      <c r="H696" s="13" t="inlineStr">
        <is>
          <t>60.80</t>
        </is>
      </c>
      <c r="I696" s="11" t="inlineStr">
        <is>
          <t>IVF Australia Pty Ltd</t>
        </is>
      </c>
      <c r="J696" s="14" t="n">
        <v>16.72</v>
      </c>
      <c r="K696" s="13" t="inlineStr">
        <is>
          <t>16.72</t>
        </is>
      </c>
      <c r="L696" s="12" t="n">
        <v>45949</v>
      </c>
      <c r="M696" s="12" t="n">
        <v>45719</v>
      </c>
      <c r="N696" s="13" t="inlineStr"/>
      <c r="O696" s="13" t="inlineStr"/>
      <c r="P696" s="12" t="n"/>
    </row>
    <row r="697" ht="39.6" customHeight="1">
      <c r="A697" s="15" t="inlineStr">
        <is>
          <t>AU23517</t>
        </is>
      </c>
      <c r="B697" s="16" t="n">
        <v>45705</v>
      </c>
      <c r="C697" s="15" t="inlineStr">
        <is>
          <t>Nurse Coordinator</t>
        </is>
      </c>
      <c r="D697" s="15" t="inlineStr">
        <is>
          <t>NSW Nurse EA</t>
        </is>
      </c>
      <c r="E697" s="15" t="inlineStr">
        <is>
          <t>CA - Casual</t>
        </is>
      </c>
      <c r="F697" s="15" t="inlineStr">
        <is>
          <t>IVFA</t>
        </is>
      </c>
      <c r="G697" s="15" t="inlineStr">
        <is>
          <t>New South Wales</t>
        </is>
      </c>
      <c r="H697" s="17" t="inlineStr"/>
      <c r="I697" s="15" t="inlineStr">
        <is>
          <t>IVF Australia Pty Ltd</t>
        </is>
      </c>
      <c r="J697" s="18" t="n">
        <v>16.75</v>
      </c>
      <c r="K697" s="17" t="inlineStr">
        <is>
          <t>16.75</t>
        </is>
      </c>
      <c r="L697" s="16" t="n">
        <v>45949</v>
      </c>
      <c r="M697" s="16" t="n">
        <v>45537</v>
      </c>
      <c r="N697" s="17" t="inlineStr"/>
      <c r="O697" s="17" t="inlineStr"/>
      <c r="P697" s="16" t="n"/>
    </row>
    <row r="698" ht="79.2" customHeight="1">
      <c r="A698" s="11" t="inlineStr">
        <is>
          <t>AU23581</t>
        </is>
      </c>
      <c r="B698" s="12" t="n">
        <v>45740</v>
      </c>
      <c r="C698" s="11" t="inlineStr">
        <is>
          <t>Administration</t>
        </is>
      </c>
      <c r="D698" s="11" t="inlineStr">
        <is>
          <t>Health Professionals and Support Services Award</t>
        </is>
      </c>
      <c r="E698" s="11" t="inlineStr">
        <is>
          <t>FT - Full-time Waged</t>
        </is>
      </c>
      <c r="F698" s="11" t="inlineStr">
        <is>
          <t>Queensland Fertility Group</t>
        </is>
      </c>
      <c r="G698" s="11" t="inlineStr">
        <is>
          <t>Queensland</t>
        </is>
      </c>
      <c r="H698" s="13" t="inlineStr">
        <is>
          <t>76.00</t>
        </is>
      </c>
      <c r="I698" s="11" t="inlineStr">
        <is>
          <t>Queensland Fertility Group Pty Ltd</t>
        </is>
      </c>
      <c r="J698" s="14" t="n">
        <v>16.78</v>
      </c>
      <c r="K698" s="13" t="inlineStr">
        <is>
          <t>16.78</t>
        </is>
      </c>
      <c r="L698" s="12" t="n">
        <v>45949</v>
      </c>
      <c r="M698" s="12" t="n">
        <v>45740</v>
      </c>
      <c r="N698" s="13" t="inlineStr"/>
      <c r="O698" s="13" t="inlineStr"/>
      <c r="P698" s="12" t="n"/>
    </row>
    <row r="699" ht="66" customHeight="1">
      <c r="A699" s="15" t="inlineStr">
        <is>
          <t>AU23602</t>
        </is>
      </c>
      <c r="B699" s="16" t="n">
        <v>45761</v>
      </c>
      <c r="C699" s="15" t="inlineStr">
        <is>
          <t>Senior People and Culture Business Partner</t>
        </is>
      </c>
      <c r="D699" s="15" t="inlineStr">
        <is>
          <t>Common Law Employment Contract</t>
        </is>
      </c>
      <c r="E699" s="15" t="inlineStr">
        <is>
          <t>CO - Contract</t>
        </is>
      </c>
      <c r="F699" s="15" t="inlineStr">
        <is>
          <t>Corporate Services</t>
        </is>
      </c>
      <c r="G699" s="15" t="inlineStr">
        <is>
          <t>New South Wales</t>
        </is>
      </c>
      <c r="H699" s="17" t="inlineStr">
        <is>
          <t>76.00</t>
        </is>
      </c>
      <c r="I699" s="15" t="inlineStr">
        <is>
          <t>IVF Australia Pty Ltd</t>
        </is>
      </c>
      <c r="J699" s="18" t="n">
        <v>16.85</v>
      </c>
      <c r="K699" s="17" t="inlineStr">
        <is>
          <t>16.85</t>
        </is>
      </c>
      <c r="L699" s="16" t="n">
        <v>45949</v>
      </c>
      <c r="M699" s="16" t="n">
        <v>45761</v>
      </c>
      <c r="N699" s="17" t="inlineStr"/>
      <c r="O699" s="17" t="inlineStr"/>
      <c r="P699" s="16" t="n"/>
    </row>
    <row r="700" ht="52.8" customHeight="1">
      <c r="A700" s="11" t="inlineStr">
        <is>
          <t>AU23593</t>
        </is>
      </c>
      <c r="B700" s="12" t="n">
        <v>45754</v>
      </c>
      <c r="C700" s="11" t="inlineStr">
        <is>
          <t>Registered Nurse</t>
        </is>
      </c>
      <c r="D700" s="11" t="inlineStr">
        <is>
          <t>QLD Nurse EA</t>
        </is>
      </c>
      <c r="E700" s="11" t="inlineStr">
        <is>
          <t>CA - Casual</t>
        </is>
      </c>
      <c r="F700" s="11" t="inlineStr">
        <is>
          <t>Day Hospitals</t>
        </is>
      </c>
      <c r="G700" s="11" t="inlineStr">
        <is>
          <t>Queensland</t>
        </is>
      </c>
      <c r="H700" s="13" t="inlineStr"/>
      <c r="I700" s="11" t="inlineStr">
        <is>
          <t>Spring Hill Specialist Day Hospital</t>
        </is>
      </c>
      <c r="J700" s="14" t="n">
        <v>16.89</v>
      </c>
      <c r="K700" s="13" t="inlineStr">
        <is>
          <t>16.89</t>
        </is>
      </c>
      <c r="L700" s="12" t="n">
        <v>45949</v>
      </c>
      <c r="M700" s="12" t="n">
        <v>45754</v>
      </c>
      <c r="N700" s="13" t="inlineStr"/>
      <c r="O700" s="13" t="inlineStr"/>
      <c r="P700" s="12" t="n"/>
    </row>
    <row r="701" ht="52.8" customHeight="1">
      <c r="A701" s="15" t="inlineStr">
        <is>
          <t>AU22807</t>
        </is>
      </c>
      <c r="B701" s="16" t="n">
        <v>44986</v>
      </c>
      <c r="C701" s="15" t="inlineStr">
        <is>
          <t xml:space="preserve">Medical Director </t>
        </is>
      </c>
      <c r="D701" s="15" t="inlineStr">
        <is>
          <t>Common Law Employment Contract</t>
        </is>
      </c>
      <c r="E701" s="15" t="inlineStr">
        <is>
          <t>PT - Part-time Salary</t>
        </is>
      </c>
      <c r="F701" s="15" t="inlineStr">
        <is>
          <t>Corporate Services</t>
        </is>
      </c>
      <c r="G701" s="15" t="inlineStr">
        <is>
          <t>New South Wales</t>
        </is>
      </c>
      <c r="H701" s="17" t="inlineStr">
        <is>
          <t>15.20</t>
        </is>
      </c>
      <c r="I701" s="15" t="inlineStr">
        <is>
          <t>IVF Australia Pty Ltd</t>
        </is>
      </c>
      <c r="J701" s="18" t="n">
        <v>16.97</v>
      </c>
      <c r="K701" s="17" t="inlineStr">
        <is>
          <t>16.97</t>
        </is>
      </c>
      <c r="L701" s="16" t="n">
        <v>45949</v>
      </c>
      <c r="M701" s="16" t="n">
        <v>44986</v>
      </c>
      <c r="N701" s="17" t="inlineStr"/>
      <c r="O701" s="17" t="inlineStr"/>
      <c r="P701" s="16" t="n"/>
    </row>
    <row r="702" ht="39.6" customHeight="1">
      <c r="A702" s="11" t="inlineStr">
        <is>
          <t>AU23599</t>
        </is>
      </c>
      <c r="B702" s="12" t="n">
        <v>45761</v>
      </c>
      <c r="C702" s="11" t="inlineStr">
        <is>
          <t>Scientific Officer</t>
        </is>
      </c>
      <c r="D702" s="11" t="inlineStr">
        <is>
          <t>IVFA Scientists EA</t>
        </is>
      </c>
      <c r="E702" s="11" t="inlineStr">
        <is>
          <t>FT - Full-time Waged</t>
        </is>
      </c>
      <c r="F702" s="11" t="inlineStr">
        <is>
          <t>IVFA</t>
        </is>
      </c>
      <c r="G702" s="11" t="inlineStr">
        <is>
          <t>New South Wales</t>
        </is>
      </c>
      <c r="H702" s="13" t="inlineStr">
        <is>
          <t>76.00</t>
        </is>
      </c>
      <c r="I702" s="11" t="inlineStr">
        <is>
          <t>IVF Australia Pty Ltd</t>
        </is>
      </c>
      <c r="J702" s="14" t="n">
        <v>17.07</v>
      </c>
      <c r="K702" s="13" t="inlineStr">
        <is>
          <t>17.07</t>
        </is>
      </c>
      <c r="L702" s="12" t="n">
        <v>45949</v>
      </c>
      <c r="M702" s="12" t="n">
        <v>45761</v>
      </c>
      <c r="N702" s="13" t="inlineStr"/>
      <c r="O702" s="13" t="inlineStr"/>
      <c r="P702" s="12" t="n"/>
    </row>
    <row r="703" ht="52.8" customHeight="1">
      <c r="A703" s="15" t="n">
        <v>80117</v>
      </c>
      <c r="B703" s="16" t="n">
        <v>40637</v>
      </c>
      <c r="C703" s="15" t="inlineStr">
        <is>
          <t>Genetic Scientist</t>
        </is>
      </c>
      <c r="D703" s="15" t="inlineStr">
        <is>
          <t>QLD Scientists EA</t>
        </is>
      </c>
      <c r="E703" s="15" t="inlineStr">
        <is>
          <t>PP - Part-time Waged</t>
        </is>
      </c>
      <c r="F703" s="15" t="inlineStr">
        <is>
          <t>Diagnostics</t>
        </is>
      </c>
      <c r="G703" s="15" t="inlineStr">
        <is>
          <t>Queensland</t>
        </is>
      </c>
      <c r="H703" s="17" t="inlineStr">
        <is>
          <t>45.60</t>
        </is>
      </c>
      <c r="I703" s="15" t="inlineStr">
        <is>
          <t>Queensland Fertility Group Pty Ltd</t>
        </is>
      </c>
      <c r="J703" s="18" t="n">
        <v>520.65</v>
      </c>
      <c r="K703" s="17" t="inlineStr">
        <is>
          <t>17.10</t>
        </is>
      </c>
      <c r="L703" s="16" t="n">
        <v>45949</v>
      </c>
      <c r="M703" s="16" t="n">
        <v>45751</v>
      </c>
      <c r="N703" s="17" t="inlineStr">
        <is>
          <t>503.55</t>
        </is>
      </c>
      <c r="O703" s="17" t="inlineStr"/>
      <c r="P703" s="16" t="n"/>
    </row>
    <row r="704" ht="79.2" customHeight="1">
      <c r="A704" s="11" t="inlineStr">
        <is>
          <t>AU23688</t>
        </is>
      </c>
      <c r="B704" s="12" t="n">
        <v>45852</v>
      </c>
      <c r="C704" s="11" t="inlineStr">
        <is>
          <t>Laboratory Administration Assistant</t>
        </is>
      </c>
      <c r="D704" s="11" t="inlineStr">
        <is>
          <t>Health Professionals and Support Services Award</t>
        </is>
      </c>
      <c r="E704" s="11" t="inlineStr">
        <is>
          <t>CA - Casual</t>
        </is>
      </c>
      <c r="F704" s="11" t="inlineStr">
        <is>
          <t>Queensland Fertility Group</t>
        </is>
      </c>
      <c r="G704" s="11" t="inlineStr">
        <is>
          <t>Queensland</t>
        </is>
      </c>
      <c r="H704" s="13" t="inlineStr"/>
      <c r="I704" s="11" t="inlineStr">
        <is>
          <t>Queensland Fertility Group Pty Ltd</t>
        </is>
      </c>
      <c r="J704" s="14" t="n">
        <v>17.12</v>
      </c>
      <c r="K704" s="13" t="inlineStr">
        <is>
          <t>17.12</t>
        </is>
      </c>
      <c r="L704" s="12" t="n">
        <v>45949</v>
      </c>
      <c r="M704" s="12" t="n">
        <v>45082</v>
      </c>
      <c r="N704" s="13" t="inlineStr"/>
      <c r="O704" s="13" t="inlineStr"/>
      <c r="P704" s="12" t="n"/>
    </row>
    <row r="705" ht="52.8" customHeight="1">
      <c r="A705" s="15" t="inlineStr">
        <is>
          <t>AU22515</t>
        </is>
      </c>
      <c r="B705" s="16" t="n">
        <v>44753</v>
      </c>
      <c r="C705" s="15" t="inlineStr">
        <is>
          <t>Medical Director - QFG</t>
        </is>
      </c>
      <c r="D705" s="15" t="inlineStr">
        <is>
          <t>Common Law Employment Contract</t>
        </is>
      </c>
      <c r="E705" s="15" t="inlineStr">
        <is>
          <t>PT - Part-time Salary</t>
        </is>
      </c>
      <c r="F705" s="15" t="inlineStr">
        <is>
          <t>Queensland Fertility Group</t>
        </is>
      </c>
      <c r="G705" s="15" t="inlineStr">
        <is>
          <t>Queensland</t>
        </is>
      </c>
      <c r="H705" s="17" t="inlineStr">
        <is>
          <t>12.00</t>
        </is>
      </c>
      <c r="I705" s="15" t="inlineStr">
        <is>
          <t>Queensland Fertility Group Pty Ltd</t>
        </is>
      </c>
      <c r="J705" s="18" t="n">
        <v>17.3</v>
      </c>
      <c r="K705" s="17" t="inlineStr">
        <is>
          <t>17.30</t>
        </is>
      </c>
      <c r="L705" s="16" t="n">
        <v>45949</v>
      </c>
      <c r="M705" s="16" t="n">
        <v>44753</v>
      </c>
      <c r="N705" s="17" t="inlineStr"/>
      <c r="O705" s="17" t="inlineStr"/>
      <c r="P705" s="16" t="n"/>
    </row>
    <row r="706" ht="39.6" customHeight="1">
      <c r="A706" s="11" t="inlineStr">
        <is>
          <t>AU23594</t>
        </is>
      </c>
      <c r="B706" s="12" t="n">
        <v>45755</v>
      </c>
      <c r="C706" s="11" t="inlineStr">
        <is>
          <t>Assistant in Nursing</t>
        </is>
      </c>
      <c r="D706" s="11" t="inlineStr">
        <is>
          <t>NSW Nurse EA</t>
        </is>
      </c>
      <c r="E706" s="11" t="inlineStr">
        <is>
          <t>FT - Full-time Waged</t>
        </is>
      </c>
      <c r="F706" s="11" t="inlineStr">
        <is>
          <t>IVFA</t>
        </is>
      </c>
      <c r="G706" s="11" t="inlineStr">
        <is>
          <t>New South Wales</t>
        </is>
      </c>
      <c r="H706" s="13" t="inlineStr">
        <is>
          <t>76.00</t>
        </is>
      </c>
      <c r="I706" s="11" t="inlineStr">
        <is>
          <t>IVF Australia Pty Ltd</t>
        </is>
      </c>
      <c r="J706" s="14" t="n">
        <v>17.39</v>
      </c>
      <c r="K706" s="13" t="inlineStr">
        <is>
          <t>17.39</t>
        </is>
      </c>
      <c r="L706" s="12" t="n">
        <v>45949</v>
      </c>
      <c r="M706" s="12" t="n">
        <v>45755</v>
      </c>
      <c r="N706" s="13" t="inlineStr"/>
      <c r="O706" s="13" t="inlineStr"/>
      <c r="P706" s="12" t="n"/>
    </row>
    <row r="707" ht="52.8" customHeight="1">
      <c r="A707" s="15" t="inlineStr">
        <is>
          <t>AU23474</t>
        </is>
      </c>
      <c r="B707" s="16" t="n">
        <v>45670</v>
      </c>
      <c r="C707" s="15" t="inlineStr">
        <is>
          <t>Registered Nurse</t>
        </is>
      </c>
      <c r="D707" s="15" t="inlineStr">
        <is>
          <t>QLD Nurse EA</t>
        </is>
      </c>
      <c r="E707" s="15" t="inlineStr">
        <is>
          <t>PP - Part-time Waged</t>
        </is>
      </c>
      <c r="F707" s="15" t="inlineStr">
        <is>
          <t>Day Hospitals</t>
        </is>
      </c>
      <c r="G707" s="15" t="inlineStr">
        <is>
          <t>Queensland</t>
        </is>
      </c>
      <c r="H707" s="17" t="inlineStr">
        <is>
          <t>32.00</t>
        </is>
      </c>
      <c r="I707" s="15" t="inlineStr">
        <is>
          <t>Spring Hill Specialist Day Hospital</t>
        </is>
      </c>
      <c r="J707" s="18" t="n">
        <v>17.55</v>
      </c>
      <c r="K707" s="17" t="inlineStr">
        <is>
          <t>17.55</t>
        </is>
      </c>
      <c r="L707" s="16" t="n">
        <v>45949</v>
      </c>
      <c r="M707" s="16" t="n">
        <v>45670</v>
      </c>
      <c r="N707" s="17" t="inlineStr"/>
      <c r="O707" s="17" t="inlineStr"/>
      <c r="P707" s="16" t="n"/>
    </row>
    <row r="708" ht="52.8" customHeight="1">
      <c r="A708" s="11" t="inlineStr">
        <is>
          <t>AU23549</t>
        </is>
      </c>
      <c r="B708" s="12" t="n">
        <v>45726</v>
      </c>
      <c r="C708" s="11" t="inlineStr">
        <is>
          <t>HR Administration Support</t>
        </is>
      </c>
      <c r="D708" s="11" t="inlineStr">
        <is>
          <t>Common Law Employment Contract</t>
        </is>
      </c>
      <c r="E708" s="11" t="inlineStr">
        <is>
          <t>CA - Casual</t>
        </is>
      </c>
      <c r="F708" s="11" t="inlineStr">
        <is>
          <t>Corporate Services</t>
        </is>
      </c>
      <c r="G708" s="11" t="inlineStr">
        <is>
          <t>New South Wales</t>
        </is>
      </c>
      <c r="H708" s="13" t="inlineStr"/>
      <c r="I708" s="11" t="inlineStr">
        <is>
          <t>IVF Australia Pty Ltd</t>
        </is>
      </c>
      <c r="J708" s="14" t="n">
        <v>17.88</v>
      </c>
      <c r="K708" s="13" t="inlineStr">
        <is>
          <t>17.88</t>
        </is>
      </c>
      <c r="L708" s="12" t="n">
        <v>45949</v>
      </c>
      <c r="M708" s="12" t="n">
        <v>45726</v>
      </c>
      <c r="N708" s="13" t="inlineStr"/>
      <c r="O708" s="13" t="inlineStr"/>
      <c r="P708" s="12" t="n"/>
    </row>
    <row r="709" ht="66" customHeight="1">
      <c r="A709" s="15" t="inlineStr">
        <is>
          <t>AU22955</t>
        </is>
      </c>
      <c r="B709" s="16" t="n">
        <v>45153</v>
      </c>
      <c r="C709" s="15" t="inlineStr">
        <is>
          <t>Theatre Orderly</t>
        </is>
      </c>
      <c r="D709" s="15" t="inlineStr">
        <is>
          <t>NSW Support Services EA</t>
        </is>
      </c>
      <c r="E709" s="15" t="inlineStr">
        <is>
          <t>CA - Casual</t>
        </is>
      </c>
      <c r="F709" s="15" t="inlineStr">
        <is>
          <t>Day Hospitals</t>
        </is>
      </c>
      <c r="G709" s="15" t="inlineStr">
        <is>
          <t>New South Wales</t>
        </is>
      </c>
      <c r="H709" s="17" t="inlineStr"/>
      <c r="I709" s="15" t="inlineStr">
        <is>
          <t>Alexandria Specialist Day Hospital Pty Ltd</t>
        </is>
      </c>
      <c r="J709" s="18" t="n">
        <v>17.95</v>
      </c>
      <c r="K709" s="17" t="inlineStr">
        <is>
          <t>17.95</t>
        </is>
      </c>
      <c r="L709" s="16" t="n">
        <v>45725</v>
      </c>
      <c r="M709" s="16" t="n">
        <v>45153</v>
      </c>
      <c r="N709" s="17" t="inlineStr"/>
      <c r="O709" s="17" t="inlineStr"/>
      <c r="P709" s="16" t="n"/>
    </row>
    <row r="710" ht="52.8" customHeight="1">
      <c r="A710" s="11" t="inlineStr">
        <is>
          <t>AU23218</t>
        </is>
      </c>
      <c r="B710" s="12" t="n">
        <v>45404</v>
      </c>
      <c r="C710" s="11" t="inlineStr">
        <is>
          <t>Registered Nurse</t>
        </is>
      </c>
      <c r="D710" s="11" t="inlineStr">
        <is>
          <t>QLD Nurse EA</t>
        </is>
      </c>
      <c r="E710" s="11" t="inlineStr">
        <is>
          <t>CA - Casual</t>
        </is>
      </c>
      <c r="F710" s="11" t="inlineStr">
        <is>
          <t>Day Hospitals</t>
        </is>
      </c>
      <c r="G710" s="11" t="inlineStr">
        <is>
          <t>Queensland</t>
        </is>
      </c>
      <c r="H710" s="13" t="inlineStr"/>
      <c r="I710" s="11" t="inlineStr">
        <is>
          <t>Spring Hill Specialist Day Hospital</t>
        </is>
      </c>
      <c r="J710" s="14" t="n">
        <v>18.03</v>
      </c>
      <c r="K710" s="13" t="inlineStr">
        <is>
          <t>18.03</t>
        </is>
      </c>
      <c r="L710" s="12" t="n">
        <v>45949</v>
      </c>
      <c r="M710" s="12" t="n">
        <v>45019</v>
      </c>
      <c r="N710" s="13" t="inlineStr"/>
      <c r="O710" s="13" t="inlineStr"/>
      <c r="P710" s="12" t="n"/>
    </row>
    <row r="711" ht="39.6" customHeight="1">
      <c r="A711" s="15" t="inlineStr">
        <is>
          <t>AU23560</t>
        </is>
      </c>
      <c r="B711" s="16" t="n">
        <v>45740</v>
      </c>
      <c r="C711" s="15" t="inlineStr">
        <is>
          <t>Nurse Coordinator</t>
        </is>
      </c>
      <c r="D711" s="15" t="inlineStr">
        <is>
          <t>NSW Nurse EA</t>
        </is>
      </c>
      <c r="E711" s="15" t="inlineStr">
        <is>
          <t>FT - Full-time Waged</t>
        </is>
      </c>
      <c r="F711" s="15" t="inlineStr">
        <is>
          <t>IVFA</t>
        </is>
      </c>
      <c r="G711" s="15" t="inlineStr">
        <is>
          <t>New South Wales</t>
        </is>
      </c>
      <c r="H711" s="17" t="inlineStr">
        <is>
          <t>76.00</t>
        </is>
      </c>
      <c r="I711" s="15" t="inlineStr">
        <is>
          <t>IVF Australia Pty Ltd</t>
        </is>
      </c>
      <c r="J711" s="18" t="n">
        <v>18.21</v>
      </c>
      <c r="K711" s="17" t="inlineStr">
        <is>
          <t>18.21</t>
        </is>
      </c>
      <c r="L711" s="16" t="n">
        <v>45949</v>
      </c>
      <c r="M711" s="16" t="n">
        <v>45740</v>
      </c>
      <c r="N711" s="17" t="inlineStr"/>
      <c r="O711" s="17" t="inlineStr"/>
      <c r="P711" s="16" t="n"/>
    </row>
    <row r="712" ht="66" customHeight="1">
      <c r="A712" s="11" t="n">
        <v>30363</v>
      </c>
      <c r="B712" s="12" t="n">
        <v>44169</v>
      </c>
      <c r="C712" s="11" t="inlineStr">
        <is>
          <t>Registered Nurse</t>
        </is>
      </c>
      <c r="D712" s="11" t="inlineStr">
        <is>
          <t>NSW Nurse EA</t>
        </is>
      </c>
      <c r="E712" s="11" t="inlineStr">
        <is>
          <t>CA - Casual</t>
        </is>
      </c>
      <c r="F712" s="11" t="inlineStr">
        <is>
          <t>Day Hospitals</t>
        </is>
      </c>
      <c r="G712" s="11" t="inlineStr">
        <is>
          <t>New South Wales</t>
        </is>
      </c>
      <c r="H712" s="13" t="inlineStr"/>
      <c r="I712" s="11" t="inlineStr">
        <is>
          <t>North Shore Specialist Day Hospital Pty Ltd</t>
        </is>
      </c>
      <c r="J712" s="14" t="n">
        <v>18.24</v>
      </c>
      <c r="K712" s="13" t="inlineStr">
        <is>
          <t>18.24</t>
        </is>
      </c>
      <c r="L712" s="12" t="n">
        <v>45949</v>
      </c>
      <c r="M712" s="12" t="n">
        <v>44169</v>
      </c>
      <c r="N712" s="13" t="inlineStr"/>
      <c r="O712" s="13" t="inlineStr"/>
      <c r="P712" s="12" t="n"/>
    </row>
    <row r="713" ht="39.6" customHeight="1">
      <c r="A713" s="15" t="n">
        <v>20016</v>
      </c>
      <c r="B713" s="16" t="n">
        <v>39846</v>
      </c>
      <c r="C713" s="15" t="inlineStr">
        <is>
          <t>Senior Scientist</t>
        </is>
      </c>
      <c r="D713" s="15" t="inlineStr">
        <is>
          <t>IVFA Scientists EA</t>
        </is>
      </c>
      <c r="E713" s="15" t="inlineStr">
        <is>
          <t>PP - Part-time Waged</t>
        </is>
      </c>
      <c r="F713" s="15" t="inlineStr">
        <is>
          <t>IVFA</t>
        </is>
      </c>
      <c r="G713" s="15" t="inlineStr">
        <is>
          <t>New South Wales</t>
        </is>
      </c>
      <c r="H713" s="17" t="inlineStr">
        <is>
          <t>44.00</t>
        </is>
      </c>
      <c r="I713" s="15" t="inlineStr">
        <is>
          <t>IVF Australia Pty Ltd</t>
        </is>
      </c>
      <c r="J713" s="18" t="n">
        <v>69.3</v>
      </c>
      <c r="K713" s="17" t="inlineStr">
        <is>
          <t>18.40</t>
        </is>
      </c>
      <c r="L713" s="16" t="n">
        <v>45949</v>
      </c>
      <c r="M713" s="16" t="n">
        <v>45690</v>
      </c>
      <c r="N713" s="17" t="inlineStr">
        <is>
          <t>50.90</t>
        </is>
      </c>
      <c r="O713" s="17" t="inlineStr"/>
      <c r="P713" s="16" t="n"/>
    </row>
    <row r="714" ht="79.2" customHeight="1">
      <c r="A714" s="11" t="inlineStr">
        <is>
          <t>AU22663</t>
        </is>
      </c>
      <c r="B714" s="12" t="n">
        <v>44889</v>
      </c>
      <c r="C714" s="11" t="inlineStr">
        <is>
          <t>Courier</t>
        </is>
      </c>
      <c r="D714" s="11" t="inlineStr">
        <is>
          <t>Health Professionals and Support Services Award</t>
        </is>
      </c>
      <c r="E714" s="11" t="inlineStr">
        <is>
          <t>CA - Casual</t>
        </is>
      </c>
      <c r="F714" s="11" t="inlineStr">
        <is>
          <t>Diagnostics</t>
        </is>
      </c>
      <c r="G714" s="11" t="inlineStr">
        <is>
          <t>New South Wales</t>
        </is>
      </c>
      <c r="H714" s="13" t="inlineStr"/>
      <c r="I714" s="11" t="inlineStr">
        <is>
          <t>Virtus Health Specialist Diagnostics</t>
        </is>
      </c>
      <c r="J714" s="14" t="n">
        <v>18.5</v>
      </c>
      <c r="K714" s="13" t="inlineStr">
        <is>
          <t>18.50</t>
        </is>
      </c>
      <c r="L714" s="12" t="n">
        <v>45949</v>
      </c>
      <c r="M714" s="12" t="n">
        <v>44889</v>
      </c>
      <c r="N714" s="13" t="inlineStr"/>
      <c r="O714" s="13" t="inlineStr"/>
      <c r="P714" s="12" t="n"/>
    </row>
    <row r="715" ht="52.8" customHeight="1">
      <c r="A715" s="15" t="inlineStr">
        <is>
          <t>AU23571</t>
        </is>
      </c>
      <c r="B715" s="16" t="n">
        <v>45740</v>
      </c>
      <c r="C715" s="15" t="inlineStr">
        <is>
          <t>Genetics Scientist</t>
        </is>
      </c>
      <c r="D715" s="15" t="inlineStr">
        <is>
          <t>QLD Scientists EA</t>
        </is>
      </c>
      <c r="E715" s="15" t="inlineStr">
        <is>
          <t>CO - Contract</t>
        </is>
      </c>
      <c r="F715" s="15" t="inlineStr">
        <is>
          <t>Diagnostics</t>
        </is>
      </c>
      <c r="G715" s="15" t="inlineStr">
        <is>
          <t>Queensland</t>
        </is>
      </c>
      <c r="H715" s="17" t="inlineStr">
        <is>
          <t>76.00</t>
        </is>
      </c>
      <c r="I715" s="15" t="inlineStr">
        <is>
          <t>Queensland Fertility Group Pty Ltd</t>
        </is>
      </c>
      <c r="J715" s="18" t="n">
        <v>18.56</v>
      </c>
      <c r="K715" s="17" t="inlineStr">
        <is>
          <t>18.56</t>
        </is>
      </c>
      <c r="L715" s="16" t="n">
        <v>45949</v>
      </c>
      <c r="M715" s="16" t="n">
        <v>45740</v>
      </c>
      <c r="N715" s="17" t="inlineStr"/>
      <c r="O715" s="17" t="inlineStr"/>
      <c r="P715" s="16" t="n"/>
    </row>
    <row r="716" ht="52.8" customHeight="1">
      <c r="A716" s="11" t="inlineStr">
        <is>
          <t>AU23618</t>
        </is>
      </c>
      <c r="B716" s="12" t="n">
        <v>45775</v>
      </c>
      <c r="C716" s="11" t="inlineStr">
        <is>
          <t>Registered Nurse</t>
        </is>
      </c>
      <c r="D716" s="11" t="inlineStr">
        <is>
          <t>QLD Nurse EA</t>
        </is>
      </c>
      <c r="E716" s="11" t="inlineStr">
        <is>
          <t>PP - Part-time Waged</t>
        </is>
      </c>
      <c r="F716" s="11" t="inlineStr">
        <is>
          <t>Day Hospitals</t>
        </is>
      </c>
      <c r="G716" s="11" t="inlineStr">
        <is>
          <t>Queensland</t>
        </is>
      </c>
      <c r="H716" s="13" t="inlineStr">
        <is>
          <t>64.00</t>
        </is>
      </c>
      <c r="I716" s="11" t="inlineStr">
        <is>
          <t>Spring Hill Specialist Day Hospital</t>
        </is>
      </c>
      <c r="J716" s="14" t="n">
        <v>18.57</v>
      </c>
      <c r="K716" s="13" t="inlineStr">
        <is>
          <t>18.57</t>
        </is>
      </c>
      <c r="L716" s="12" t="n">
        <v>45949</v>
      </c>
      <c r="M716" s="12" t="n">
        <v>45775</v>
      </c>
      <c r="N716" s="13" t="inlineStr"/>
      <c r="O716" s="13" t="inlineStr"/>
      <c r="P716" s="12" t="n"/>
    </row>
    <row r="717" ht="39.6" customHeight="1">
      <c r="A717" s="15" t="inlineStr">
        <is>
          <t>AU23562</t>
        </is>
      </c>
      <c r="B717" s="16" t="n">
        <v>45726</v>
      </c>
      <c r="C717" s="15" t="inlineStr">
        <is>
          <t>Medical Secretary</t>
        </is>
      </c>
      <c r="D717" s="15" t="inlineStr">
        <is>
          <t>NSW Support Services EA</t>
        </is>
      </c>
      <c r="E717" s="15" t="inlineStr">
        <is>
          <t>CO - Contract</t>
        </is>
      </c>
      <c r="F717" s="15" t="inlineStr">
        <is>
          <t>IVFA</t>
        </is>
      </c>
      <c r="G717" s="15" t="inlineStr">
        <is>
          <t>New South Wales</t>
        </is>
      </c>
      <c r="H717" s="17" t="inlineStr">
        <is>
          <t>69.00</t>
        </is>
      </c>
      <c r="I717" s="15" t="inlineStr">
        <is>
          <t>IVF Australia Pty Ltd</t>
        </is>
      </c>
      <c r="J717" s="18" t="n">
        <v>18.58</v>
      </c>
      <c r="K717" s="17" t="inlineStr">
        <is>
          <t>18.58</t>
        </is>
      </c>
      <c r="L717" s="16" t="n">
        <v>45949</v>
      </c>
      <c r="M717" s="16" t="n">
        <v>45726</v>
      </c>
      <c r="N717" s="17" t="inlineStr"/>
      <c r="O717" s="17" t="inlineStr"/>
      <c r="P717" s="16" t="n"/>
    </row>
    <row r="718" ht="39.6" customHeight="1">
      <c r="A718" s="11" t="inlineStr">
        <is>
          <t>AU22651</t>
        </is>
      </c>
      <c r="B718" s="12" t="n">
        <v>44876</v>
      </c>
      <c r="C718" s="11" t="inlineStr">
        <is>
          <t>Laboratory Support Assistant</t>
        </is>
      </c>
      <c r="D718" s="11" t="inlineStr">
        <is>
          <t>IVFA Scientists EA</t>
        </is>
      </c>
      <c r="E718" s="11" t="inlineStr">
        <is>
          <t>CA - Casual</t>
        </is>
      </c>
      <c r="F718" s="11" t="inlineStr">
        <is>
          <t>IVFA</t>
        </is>
      </c>
      <c r="G718" s="11" t="inlineStr">
        <is>
          <t>New South Wales</t>
        </is>
      </c>
      <c r="H718" s="13" t="inlineStr"/>
      <c r="I718" s="11" t="inlineStr">
        <is>
          <t>IVF Australia Pty Ltd</t>
        </is>
      </c>
      <c r="J718" s="14" t="n">
        <v>18.62</v>
      </c>
      <c r="K718" s="13" t="inlineStr">
        <is>
          <t>18.62</t>
        </is>
      </c>
      <c r="L718" s="12" t="n">
        <v>45949</v>
      </c>
      <c r="M718" s="12" t="n">
        <v>44876</v>
      </c>
      <c r="N718" s="13" t="inlineStr"/>
      <c r="O718" s="13" t="inlineStr"/>
      <c r="P718" s="12" t="n"/>
    </row>
    <row r="719" ht="52.8" customHeight="1">
      <c r="A719" s="15" t="n">
        <v>60129</v>
      </c>
      <c r="B719" s="16" t="n">
        <v>39454</v>
      </c>
      <c r="C719" s="15" t="inlineStr">
        <is>
          <t>Registered Nurse</t>
        </is>
      </c>
      <c r="D719" s="15" t="inlineStr">
        <is>
          <t>QLD Nurse EA</t>
        </is>
      </c>
      <c r="E719" s="15" t="inlineStr">
        <is>
          <t>PP - Part-time Waged</t>
        </is>
      </c>
      <c r="F719" s="15" t="inlineStr">
        <is>
          <t>Day Hospitals</t>
        </is>
      </c>
      <c r="G719" s="15" t="inlineStr">
        <is>
          <t>Queensland</t>
        </is>
      </c>
      <c r="H719" s="17" t="inlineStr">
        <is>
          <t>48.00</t>
        </is>
      </c>
      <c r="I719" s="15" t="inlineStr">
        <is>
          <t>Spring Hill Specialist Day Hospital</t>
        </is>
      </c>
      <c r="J719" s="18" t="n">
        <v>20.75</v>
      </c>
      <c r="K719" s="17" t="inlineStr">
        <is>
          <t>18.84</t>
        </is>
      </c>
      <c r="L719" s="16" t="n">
        <v>45949</v>
      </c>
      <c r="M719" s="16" t="n">
        <v>45664</v>
      </c>
      <c r="N719" s="17" t="inlineStr">
        <is>
          <t>1.91</t>
        </is>
      </c>
      <c r="O719" s="17" t="inlineStr"/>
      <c r="P719" s="16" t="n"/>
    </row>
    <row r="720" ht="26.4" customHeight="1">
      <c r="A720" s="11" t="n">
        <v>40159</v>
      </c>
      <c r="B720" s="12" t="n">
        <v>44690</v>
      </c>
      <c r="C720" s="11" t="inlineStr">
        <is>
          <t>Registered Nurse</t>
        </is>
      </c>
      <c r="D720" s="11" t="inlineStr">
        <is>
          <t>NSW Nurse EA</t>
        </is>
      </c>
      <c r="E720" s="11" t="inlineStr">
        <is>
          <t>CA - Casual</t>
        </is>
      </c>
      <c r="F720" s="11" t="inlineStr">
        <is>
          <t>Day Hospitals</t>
        </is>
      </c>
      <c r="G720" s="11" t="inlineStr">
        <is>
          <t>New South Wales</t>
        </is>
      </c>
      <c r="H720" s="13" t="inlineStr"/>
      <c r="I720" s="11" t="inlineStr">
        <is>
          <t>City West Day Surgery</t>
        </is>
      </c>
      <c r="J720" s="14" t="n">
        <v>19.13</v>
      </c>
      <c r="K720" s="13" t="inlineStr">
        <is>
          <t>19.13</t>
        </is>
      </c>
      <c r="L720" s="12" t="n">
        <v>45949</v>
      </c>
      <c r="M720" s="12" t="n">
        <v>44690</v>
      </c>
      <c r="N720" s="13" t="inlineStr"/>
      <c r="O720" s="13" t="inlineStr"/>
      <c r="P720" s="12" t="n"/>
    </row>
    <row r="721" ht="39.6" customHeight="1">
      <c r="A721" s="15" t="inlineStr">
        <is>
          <t>AU23186</t>
        </is>
      </c>
      <c r="B721" s="16" t="n">
        <v>45411</v>
      </c>
      <c r="C721" s="15" t="inlineStr">
        <is>
          <t>Nures Coordinator</t>
        </is>
      </c>
      <c r="D721" s="15" t="inlineStr">
        <is>
          <t>NSW Nurse EA</t>
        </is>
      </c>
      <c r="E721" s="15" t="inlineStr">
        <is>
          <t>PP - Part-time Waged</t>
        </is>
      </c>
      <c r="F721" s="15" t="inlineStr">
        <is>
          <t>IVFA</t>
        </is>
      </c>
      <c r="G721" s="15" t="inlineStr">
        <is>
          <t>Australian Capital Territory</t>
        </is>
      </c>
      <c r="H721" s="17" t="inlineStr">
        <is>
          <t>51.00</t>
        </is>
      </c>
      <c r="I721" s="15" t="inlineStr">
        <is>
          <t>IVF Australia Pty Ltd</t>
        </is>
      </c>
      <c r="J721" s="18" t="n">
        <v>19.19</v>
      </c>
      <c r="K721" s="17" t="inlineStr">
        <is>
          <t>19.19</t>
        </is>
      </c>
      <c r="L721" s="16" t="n">
        <v>45949</v>
      </c>
      <c r="M721" s="16" t="n">
        <v>45411</v>
      </c>
      <c r="N721" s="17" t="inlineStr"/>
      <c r="O721" s="17" t="inlineStr"/>
      <c r="P721" s="16" t="n"/>
    </row>
    <row r="722" ht="79.2" customHeight="1">
      <c r="A722" s="11" t="inlineStr">
        <is>
          <t>AU23486</t>
        </is>
      </c>
      <c r="B722" s="12" t="n">
        <v>45685</v>
      </c>
      <c r="C722" s="11" t="inlineStr">
        <is>
          <t xml:space="preserve">Senior Medical Administrator </t>
        </is>
      </c>
      <c r="D722" s="11" t="inlineStr">
        <is>
          <t>Health Professionals and Support Services Award</t>
        </is>
      </c>
      <c r="E722" s="11" t="inlineStr">
        <is>
          <t>PP - Part-time Waged</t>
        </is>
      </c>
      <c r="F722" s="11" t="inlineStr">
        <is>
          <t>Queensland Fertility Group</t>
        </is>
      </c>
      <c r="G722" s="11" t="inlineStr">
        <is>
          <t>Queensland</t>
        </is>
      </c>
      <c r="H722" s="13" t="inlineStr">
        <is>
          <t>52.00</t>
        </is>
      </c>
      <c r="I722" s="11" t="inlineStr">
        <is>
          <t>Queensland Fertility Group Pty Ltd</t>
        </is>
      </c>
      <c r="J722" s="14" t="n">
        <v>19.33</v>
      </c>
      <c r="K722" s="13" t="inlineStr">
        <is>
          <t>19.33</t>
        </is>
      </c>
      <c r="L722" s="12" t="n">
        <v>45949</v>
      </c>
      <c r="M722" s="12" t="n">
        <v>45685</v>
      </c>
      <c r="N722" s="13" t="inlineStr"/>
      <c r="O722" s="13" t="inlineStr"/>
      <c r="P722" s="12" t="n"/>
    </row>
    <row r="723" ht="39.6" customHeight="1">
      <c r="A723" s="15" t="n">
        <v>19813</v>
      </c>
      <c r="B723" s="16" t="n">
        <v>39826</v>
      </c>
      <c r="C723" s="15" t="inlineStr">
        <is>
          <t>Senior Embryologist</t>
        </is>
      </c>
      <c r="D723" s="15" t="inlineStr">
        <is>
          <t>IVFA Scientists EA</t>
        </is>
      </c>
      <c r="E723" s="15" t="inlineStr">
        <is>
          <t>PP - Part-time Waged</t>
        </is>
      </c>
      <c r="F723" s="15" t="inlineStr">
        <is>
          <t>IVFA</t>
        </is>
      </c>
      <c r="G723" s="15" t="inlineStr">
        <is>
          <t>New South Wales</t>
        </is>
      </c>
      <c r="H723" s="17" t="inlineStr">
        <is>
          <t>69.65</t>
        </is>
      </c>
      <c r="I723" s="15" t="inlineStr">
        <is>
          <t>IVF Australia Pty Ltd</t>
        </is>
      </c>
      <c r="J723" s="18" t="n">
        <v>316.15</v>
      </c>
      <c r="K723" s="17" t="inlineStr">
        <is>
          <t>19.44</t>
        </is>
      </c>
      <c r="L723" s="16" t="n">
        <v>45949</v>
      </c>
      <c r="M723" s="16" t="n">
        <v>45670</v>
      </c>
      <c r="N723" s="17" t="inlineStr">
        <is>
          <t>347.21</t>
        </is>
      </c>
      <c r="O723" s="17" t="inlineStr">
        <is>
          <t>50.50</t>
        </is>
      </c>
      <c r="P723" s="16" t="n"/>
    </row>
    <row r="724" ht="52.8" customHeight="1">
      <c r="A724" s="11" t="n">
        <v>80102</v>
      </c>
      <c r="B724" s="12" t="n">
        <v>32566</v>
      </c>
      <c r="C724" s="11" t="inlineStr">
        <is>
          <t>Embryologist</t>
        </is>
      </c>
      <c r="D724" s="11" t="inlineStr">
        <is>
          <t>QLD Scientists EA</t>
        </is>
      </c>
      <c r="E724" s="11" t="inlineStr">
        <is>
          <t>PP - Part-time Waged</t>
        </is>
      </c>
      <c r="F724" s="11" t="inlineStr">
        <is>
          <t>Queensland Fertility Group</t>
        </is>
      </c>
      <c r="G724" s="11" t="inlineStr">
        <is>
          <t>Queensland</t>
        </is>
      </c>
      <c r="H724" s="13" t="inlineStr">
        <is>
          <t>45.60</t>
        </is>
      </c>
      <c r="I724" s="11" t="inlineStr">
        <is>
          <t>Queensland Fertility Group Pty Ltd</t>
        </is>
      </c>
      <c r="J724" s="14" t="n">
        <v>459.46</v>
      </c>
      <c r="K724" s="13" t="inlineStr">
        <is>
          <t>19.44</t>
        </is>
      </c>
      <c r="L724" s="12" t="n">
        <v>45949</v>
      </c>
      <c r="M724" s="12" t="n">
        <v>45715</v>
      </c>
      <c r="N724" s="13" t="inlineStr">
        <is>
          <t>493.22</t>
        </is>
      </c>
      <c r="O724" s="13" t="inlineStr">
        <is>
          <t>53.20</t>
        </is>
      </c>
      <c r="P724" s="12" t="n"/>
    </row>
    <row r="725" ht="79.2" customHeight="1">
      <c r="A725" s="15" t="inlineStr">
        <is>
          <t>AU23404</t>
        </is>
      </c>
      <c r="B725" s="16" t="n">
        <v>45579</v>
      </c>
      <c r="C725" s="15" t="inlineStr">
        <is>
          <t>Administration</t>
        </is>
      </c>
      <c r="D725" s="15" t="inlineStr">
        <is>
          <t>Health Professionals and Support Services Award</t>
        </is>
      </c>
      <c r="E725" s="15" t="inlineStr">
        <is>
          <t>PP - Part-time Waged</t>
        </is>
      </c>
      <c r="F725" s="15" t="inlineStr">
        <is>
          <t>Queensland Fertility Group</t>
        </is>
      </c>
      <c r="G725" s="15" t="inlineStr">
        <is>
          <t>Queensland</t>
        </is>
      </c>
      <c r="H725" s="17" t="inlineStr">
        <is>
          <t>45.60</t>
        </is>
      </c>
      <c r="I725" s="15" t="inlineStr">
        <is>
          <t>Queensland Fertility Group Pty Ltd</t>
        </is>
      </c>
      <c r="J725" s="18" t="n">
        <v>19.44</v>
      </c>
      <c r="K725" s="17" t="inlineStr">
        <is>
          <t>19.44</t>
        </is>
      </c>
      <c r="L725" s="16" t="n">
        <v>45823</v>
      </c>
      <c r="M725" s="16" t="n">
        <v>45579</v>
      </c>
      <c r="N725" s="17" t="inlineStr"/>
      <c r="O725" s="17" t="inlineStr"/>
      <c r="P725" s="16" t="n"/>
    </row>
    <row r="726" ht="39.6" customHeight="1">
      <c r="A726" s="11" t="inlineStr">
        <is>
          <t>AU23564</t>
        </is>
      </c>
      <c r="B726" s="12" t="n">
        <v>45726</v>
      </c>
      <c r="C726" s="11" t="inlineStr">
        <is>
          <t>Nurse Coordinator</t>
        </is>
      </c>
      <c r="D726" s="11" t="inlineStr">
        <is>
          <t>NSW Nurse EA</t>
        </is>
      </c>
      <c r="E726" s="11" t="inlineStr">
        <is>
          <t>FT - Full-time Waged</t>
        </is>
      </c>
      <c r="F726" s="11" t="inlineStr">
        <is>
          <t>IVFA</t>
        </is>
      </c>
      <c r="G726" s="11" t="inlineStr">
        <is>
          <t>New South Wales</t>
        </is>
      </c>
      <c r="H726" s="13" t="inlineStr">
        <is>
          <t>76.00</t>
        </is>
      </c>
      <c r="I726" s="11" t="inlineStr">
        <is>
          <t>IVF Australia Pty Ltd</t>
        </is>
      </c>
      <c r="J726" s="14" t="n">
        <v>19.58</v>
      </c>
      <c r="K726" s="13" t="inlineStr">
        <is>
          <t>19.58</t>
        </is>
      </c>
      <c r="L726" s="12" t="n">
        <v>45949</v>
      </c>
      <c r="M726" s="12" t="n">
        <v>45726</v>
      </c>
      <c r="N726" s="13" t="inlineStr"/>
      <c r="O726" s="13" t="inlineStr"/>
      <c r="P726" s="12" t="n"/>
    </row>
    <row r="727" ht="52.8" customHeight="1">
      <c r="A727" s="15" t="inlineStr">
        <is>
          <t>AU23322</t>
        </is>
      </c>
      <c r="B727" s="16" t="n">
        <v>45558</v>
      </c>
      <c r="C727" s="15" t="inlineStr">
        <is>
          <t xml:space="preserve"> Embryologist</t>
        </is>
      </c>
      <c r="D727" s="15" t="inlineStr">
        <is>
          <t>QLD Scientists EA</t>
        </is>
      </c>
      <c r="E727" s="15" t="inlineStr">
        <is>
          <t>PP - Part-time Waged</t>
        </is>
      </c>
      <c r="F727" s="15" t="inlineStr">
        <is>
          <t>Queensland Fertility Group</t>
        </is>
      </c>
      <c r="G727" s="15" t="inlineStr">
        <is>
          <t>Queensland</t>
        </is>
      </c>
      <c r="H727" s="17" t="inlineStr">
        <is>
          <t>45.60</t>
        </is>
      </c>
      <c r="I727" s="15" t="inlineStr">
        <is>
          <t>Queensland Fertility Group Pty Ltd</t>
        </is>
      </c>
      <c r="J727" s="18" t="n">
        <v>19.81</v>
      </c>
      <c r="K727" s="17" t="inlineStr">
        <is>
          <t>19.81</t>
        </is>
      </c>
      <c r="L727" s="16" t="n">
        <v>45949</v>
      </c>
      <c r="M727" s="16" t="n">
        <v>45558</v>
      </c>
      <c r="N727" s="17" t="inlineStr"/>
      <c r="O727" s="17" t="inlineStr"/>
      <c r="P727" s="16" t="n"/>
    </row>
    <row r="728" ht="52.8" customHeight="1">
      <c r="A728" s="11" t="n">
        <v>80122</v>
      </c>
      <c r="B728" s="12" t="n">
        <v>40666</v>
      </c>
      <c r="C728" s="11" t="inlineStr">
        <is>
          <t>Genetic Scientist</t>
        </is>
      </c>
      <c r="D728" s="11" t="inlineStr">
        <is>
          <t>QLD Scientists EA</t>
        </is>
      </c>
      <c r="E728" s="11" t="inlineStr">
        <is>
          <t>PP - Part-time Waged</t>
        </is>
      </c>
      <c r="F728" s="11" t="inlineStr">
        <is>
          <t>Diagnostics</t>
        </is>
      </c>
      <c r="G728" s="11" t="inlineStr">
        <is>
          <t>Queensland</t>
        </is>
      </c>
      <c r="H728" s="13" t="inlineStr">
        <is>
          <t>60.80</t>
        </is>
      </c>
      <c r="I728" s="11" t="inlineStr">
        <is>
          <t>Queensland Fertility Group Pty Ltd</t>
        </is>
      </c>
      <c r="J728" s="14" t="n">
        <v>680.49</v>
      </c>
      <c r="K728" s="13" t="inlineStr">
        <is>
          <t>19.86</t>
        </is>
      </c>
      <c r="L728" s="12" t="n">
        <v>45949</v>
      </c>
      <c r="M728" s="12" t="n">
        <v>45780</v>
      </c>
      <c r="N728" s="13" t="inlineStr">
        <is>
          <t>660.63</t>
        </is>
      </c>
      <c r="O728" s="13" t="inlineStr"/>
      <c r="P728" s="12" t="n"/>
    </row>
    <row r="729" ht="26.4" customHeight="1">
      <c r="A729" s="15" t="n">
        <v>40013</v>
      </c>
      <c r="B729" s="16" t="n">
        <v>37058</v>
      </c>
      <c r="C729" s="15" t="inlineStr">
        <is>
          <t>Registered Nurse</t>
        </is>
      </c>
      <c r="D729" s="15" t="inlineStr">
        <is>
          <t>NSW Nurse EA</t>
        </is>
      </c>
      <c r="E729" s="15" t="inlineStr">
        <is>
          <t>CA - Casual</t>
        </is>
      </c>
      <c r="F729" s="15" t="inlineStr">
        <is>
          <t>Day Hospitals</t>
        </is>
      </c>
      <c r="G729" s="15" t="inlineStr">
        <is>
          <t>New South Wales</t>
        </is>
      </c>
      <c r="H729" s="17" t="inlineStr"/>
      <c r="I729" s="15" t="inlineStr">
        <is>
          <t>City West Day Surgery</t>
        </is>
      </c>
      <c r="J729" s="18" t="n">
        <v>139.04</v>
      </c>
      <c r="K729" s="17" t="inlineStr">
        <is>
          <t>19.95</t>
        </is>
      </c>
      <c r="L729" s="16" t="n">
        <v>45949</v>
      </c>
      <c r="M729" s="16" t="n">
        <v>45093</v>
      </c>
      <c r="N729" s="17" t="inlineStr">
        <is>
          <t>119.09</t>
        </is>
      </c>
      <c r="O729" s="17" t="inlineStr"/>
      <c r="P729" s="16" t="n"/>
    </row>
    <row r="730" ht="39.6" customHeight="1">
      <c r="A730" s="11" t="inlineStr">
        <is>
          <t>AU23257</t>
        </is>
      </c>
      <c r="B730" s="12" t="n">
        <v>45454</v>
      </c>
      <c r="C730" s="11" t="inlineStr">
        <is>
          <t>Administration</t>
        </is>
      </c>
      <c r="D730" s="11" t="inlineStr">
        <is>
          <t>NSW Support Services EA</t>
        </is>
      </c>
      <c r="E730" s="11" t="inlineStr">
        <is>
          <t>CA - Casual</t>
        </is>
      </c>
      <c r="F730" s="11" t="inlineStr">
        <is>
          <t>IVFA</t>
        </is>
      </c>
      <c r="G730" s="11" t="inlineStr">
        <is>
          <t>New South Wales</t>
        </is>
      </c>
      <c r="H730" s="13" t="inlineStr"/>
      <c r="I730" s="11" t="inlineStr">
        <is>
          <t>IVF Australia Pty Ltd</t>
        </is>
      </c>
      <c r="J730" s="14" t="n">
        <v>19.95</v>
      </c>
      <c r="K730" s="13" t="inlineStr">
        <is>
          <t>19.95</t>
        </is>
      </c>
      <c r="L730" s="12" t="n">
        <v>45949</v>
      </c>
      <c r="M730" s="12" t="n">
        <v>45454</v>
      </c>
      <c r="N730" s="13" t="inlineStr"/>
      <c r="O730" s="13" t="inlineStr"/>
      <c r="P730" s="12" t="n"/>
    </row>
    <row r="731" ht="52.8" customHeight="1">
      <c r="A731" s="15" t="inlineStr">
        <is>
          <t>AU23586</t>
        </is>
      </c>
      <c r="B731" s="16" t="n">
        <v>45754</v>
      </c>
      <c r="C731" s="15" t="inlineStr">
        <is>
          <t>Registered Nurse</t>
        </is>
      </c>
      <c r="D731" s="15" t="inlineStr">
        <is>
          <t>QLD Nurse EA</t>
        </is>
      </c>
      <c r="E731" s="15" t="inlineStr">
        <is>
          <t>Part Time</t>
        </is>
      </c>
      <c r="F731" s="15" t="inlineStr">
        <is>
          <t>Day Hospitals</t>
        </is>
      </c>
      <c r="G731" s="15" t="inlineStr">
        <is>
          <t>Queensland</t>
        </is>
      </c>
      <c r="H731" s="17" t="inlineStr">
        <is>
          <t>48.00</t>
        </is>
      </c>
      <c r="I731" s="15" t="inlineStr">
        <is>
          <t>Spring Hill Specialist Day Hospital</t>
        </is>
      </c>
      <c r="J731" s="18" t="n">
        <v>19.95</v>
      </c>
      <c r="K731" s="17" t="inlineStr">
        <is>
          <t>19.95</t>
        </is>
      </c>
      <c r="L731" s="16" t="n">
        <v>45949</v>
      </c>
      <c r="M731" s="16" t="n">
        <v>45617</v>
      </c>
      <c r="N731" s="17" t="inlineStr"/>
      <c r="O731" s="17" t="inlineStr"/>
      <c r="P731" s="16" t="n"/>
    </row>
    <row r="732" ht="39.6" customHeight="1">
      <c r="A732" s="11" t="inlineStr">
        <is>
          <t>AU23546</t>
        </is>
      </c>
      <c r="B732" s="12" t="n">
        <v>45726</v>
      </c>
      <c r="C732" s="11" t="inlineStr">
        <is>
          <t>Nurse Coordinator</t>
        </is>
      </c>
      <c r="D732" s="11" t="inlineStr">
        <is>
          <t>NSW Nurse EA</t>
        </is>
      </c>
      <c r="E732" s="11" t="inlineStr">
        <is>
          <t>CO - Contract</t>
        </is>
      </c>
      <c r="F732" s="11" t="inlineStr">
        <is>
          <t>IVFA</t>
        </is>
      </c>
      <c r="G732" s="11" t="inlineStr">
        <is>
          <t>New South Wales</t>
        </is>
      </c>
      <c r="H732" s="13" t="inlineStr">
        <is>
          <t>76.00</t>
        </is>
      </c>
      <c r="I732" s="11" t="inlineStr">
        <is>
          <t>IVF Australia Pty Ltd</t>
        </is>
      </c>
      <c r="J732" s="14" t="n">
        <v>19.98</v>
      </c>
      <c r="K732" s="13" t="inlineStr">
        <is>
          <t>19.98</t>
        </is>
      </c>
      <c r="L732" s="12" t="n">
        <v>45949</v>
      </c>
      <c r="M732" s="12" t="n">
        <v>45726</v>
      </c>
      <c r="N732" s="13" t="inlineStr"/>
      <c r="O732" s="13" t="inlineStr"/>
      <c r="P732" s="12" t="n"/>
    </row>
    <row r="733" ht="52.8" customHeight="1">
      <c r="A733" s="15" t="inlineStr">
        <is>
          <t>AU23513</t>
        </is>
      </c>
      <c r="B733" s="16" t="n">
        <v>45712</v>
      </c>
      <c r="C733" s="15" t="inlineStr">
        <is>
          <t>General Manager Day Hospitals</t>
        </is>
      </c>
      <c r="D733" s="15" t="inlineStr">
        <is>
          <t>Common Law Employment Contract</t>
        </is>
      </c>
      <c r="E733" s="15" t="inlineStr">
        <is>
          <t>FP - Full-time Salaried</t>
        </is>
      </c>
      <c r="F733" s="15" t="inlineStr">
        <is>
          <t>Corporate Services</t>
        </is>
      </c>
      <c r="G733" s="15" t="inlineStr">
        <is>
          <t>New South Wales</t>
        </is>
      </c>
      <c r="H733" s="17" t="inlineStr">
        <is>
          <t>76.00</t>
        </is>
      </c>
      <c r="I733" s="15" t="inlineStr">
        <is>
          <t>IVF Australia Pty Ltd</t>
        </is>
      </c>
      <c r="J733" s="18" t="n">
        <v>20.27</v>
      </c>
      <c r="K733" s="17" t="inlineStr">
        <is>
          <t>20.27</t>
        </is>
      </c>
      <c r="L733" s="16" t="n">
        <v>45949</v>
      </c>
      <c r="M733" s="16" t="n">
        <v>45712</v>
      </c>
      <c r="N733" s="17" t="inlineStr"/>
      <c r="O733" s="17" t="inlineStr"/>
      <c r="P733" s="16" t="n"/>
    </row>
    <row r="734" ht="52.8" customHeight="1">
      <c r="A734" s="11" t="inlineStr">
        <is>
          <t>AU23286</t>
        </is>
      </c>
      <c r="B734" s="12" t="n">
        <v>45488</v>
      </c>
      <c r="C734" s="11" t="inlineStr">
        <is>
          <t>Registered Nurse</t>
        </is>
      </c>
      <c r="D734" s="11" t="inlineStr">
        <is>
          <t>QLD Nurse EA</t>
        </is>
      </c>
      <c r="E734" s="11" t="inlineStr">
        <is>
          <t>CA - Casual</t>
        </is>
      </c>
      <c r="F734" s="11" t="inlineStr">
        <is>
          <t>Queensland Fertility Group</t>
        </is>
      </c>
      <c r="G734" s="11" t="inlineStr">
        <is>
          <t>Queensland</t>
        </is>
      </c>
      <c r="H734" s="13" t="inlineStr"/>
      <c r="I734" s="11" t="inlineStr">
        <is>
          <t>Queensland Fertility Group Pty Ltd</t>
        </is>
      </c>
      <c r="J734" s="14" t="n">
        <v>20.33</v>
      </c>
      <c r="K734" s="13" t="inlineStr">
        <is>
          <t>20.33</t>
        </is>
      </c>
      <c r="L734" s="12" t="n">
        <v>45949</v>
      </c>
      <c r="M734" s="12" t="n">
        <v>45488</v>
      </c>
      <c r="N734" s="13" t="inlineStr"/>
      <c r="O734" s="13" t="inlineStr"/>
      <c r="P734" s="12" t="n"/>
    </row>
    <row r="735" ht="66" customHeight="1">
      <c r="A735" s="15" t="inlineStr">
        <is>
          <t>AU23459</t>
        </is>
      </c>
      <c r="B735" s="16" t="n">
        <v>45628</v>
      </c>
      <c r="C735" s="15" t="inlineStr">
        <is>
          <t>Registered Nurse</t>
        </is>
      </c>
      <c r="D735" s="15" t="inlineStr">
        <is>
          <t>NSW Nurse EA</t>
        </is>
      </c>
      <c r="E735" s="15" t="inlineStr">
        <is>
          <t>CA - Casual</t>
        </is>
      </c>
      <c r="F735" s="15" t="inlineStr">
        <is>
          <t>Day Hospitals</t>
        </is>
      </c>
      <c r="G735" s="15" t="inlineStr">
        <is>
          <t>New South Wales</t>
        </is>
      </c>
      <c r="H735" s="17" t="inlineStr"/>
      <c r="I735" s="15" t="inlineStr">
        <is>
          <t>Alexandria Specialist Day Hospital Pty Ltd</t>
        </is>
      </c>
      <c r="J735" s="18" t="n">
        <v>20.6</v>
      </c>
      <c r="K735" s="17" t="inlineStr">
        <is>
          <t>20.60</t>
        </is>
      </c>
      <c r="L735" s="16" t="n">
        <v>45949</v>
      </c>
      <c r="M735" s="16" t="n">
        <v>45628</v>
      </c>
      <c r="N735" s="17" t="inlineStr"/>
      <c r="O735" s="17" t="inlineStr"/>
      <c r="P735" s="16" t="n"/>
    </row>
    <row r="736" ht="66" customHeight="1">
      <c r="A736" s="11" t="inlineStr">
        <is>
          <t>AU23297</t>
        </is>
      </c>
      <c r="B736" s="12" t="n">
        <v>45502</v>
      </c>
      <c r="C736" s="11" t="inlineStr">
        <is>
          <t>Enrolled Nurse</t>
        </is>
      </c>
      <c r="D736" s="11" t="inlineStr">
        <is>
          <t>NSW Nurse EA</t>
        </is>
      </c>
      <c r="E736" s="11" t="inlineStr">
        <is>
          <t>CA - Casual</t>
        </is>
      </c>
      <c r="F736" s="11" t="inlineStr">
        <is>
          <t>Day Hospitals</t>
        </is>
      </c>
      <c r="G736" s="11" t="inlineStr">
        <is>
          <t>New South Wales</t>
        </is>
      </c>
      <c r="H736" s="13" t="inlineStr"/>
      <c r="I736" s="11" t="inlineStr">
        <is>
          <t>Alexandria Specialist Day Hospital Pty Ltd</t>
        </is>
      </c>
      <c r="J736" s="14" t="n">
        <v>20.65</v>
      </c>
      <c r="K736" s="13" t="inlineStr">
        <is>
          <t>20.65</t>
        </is>
      </c>
      <c r="L736" s="12" t="n">
        <v>45949</v>
      </c>
      <c r="M736" s="12" t="n">
        <v>45502</v>
      </c>
      <c r="N736" s="13" t="inlineStr"/>
      <c r="O736" s="13" t="inlineStr"/>
      <c r="P736" s="12" t="n"/>
    </row>
    <row r="737" ht="26.4" customHeight="1">
      <c r="A737" s="15" t="inlineStr">
        <is>
          <t>AU22880</t>
        </is>
      </c>
      <c r="B737" s="16" t="n">
        <v>45082</v>
      </c>
      <c r="C737" s="15" t="inlineStr">
        <is>
          <t>Registered Nurse</t>
        </is>
      </c>
      <c r="D737" s="15" t="inlineStr">
        <is>
          <t>NSW Nurse EA</t>
        </is>
      </c>
      <c r="E737" s="15" t="inlineStr">
        <is>
          <t>CA - Casual</t>
        </is>
      </c>
      <c r="F737" s="15" t="inlineStr">
        <is>
          <t>Day Hospitals</t>
        </is>
      </c>
      <c r="G737" s="15" t="inlineStr">
        <is>
          <t>New South Wales</t>
        </is>
      </c>
      <c r="H737" s="17" t="inlineStr"/>
      <c r="I737" s="15" t="inlineStr">
        <is>
          <t>City West Day Surgery</t>
        </is>
      </c>
      <c r="J737" s="18" t="n">
        <v>20.83</v>
      </c>
      <c r="K737" s="17" t="inlineStr">
        <is>
          <t>20.83</t>
        </is>
      </c>
      <c r="L737" s="16" t="n">
        <v>45599</v>
      </c>
      <c r="M737" s="16" t="n">
        <v>45082</v>
      </c>
      <c r="N737" s="17" t="inlineStr"/>
      <c r="O737" s="17" t="inlineStr"/>
      <c r="P737" s="16" t="n"/>
    </row>
    <row r="738" ht="52.8" customHeight="1">
      <c r="A738" s="11" t="n">
        <v>80010</v>
      </c>
      <c r="B738" s="12" t="n">
        <v>39587</v>
      </c>
      <c r="C738" s="11" t="inlineStr">
        <is>
          <t>Pathology Scientist</t>
        </is>
      </c>
      <c r="D738" s="11" t="inlineStr">
        <is>
          <t>QLD Scientists EA</t>
        </is>
      </c>
      <c r="E738" s="11" t="inlineStr">
        <is>
          <t>FT - Full-time Waged</t>
        </is>
      </c>
      <c r="F738" s="11" t="inlineStr">
        <is>
          <t>Diagnostics</t>
        </is>
      </c>
      <c r="G738" s="11" t="inlineStr">
        <is>
          <t>Queensland</t>
        </is>
      </c>
      <c r="H738" s="13" t="inlineStr">
        <is>
          <t>76.00</t>
        </is>
      </c>
      <c r="I738" s="11" t="inlineStr">
        <is>
          <t>Queensland Fertility Group Pty Ltd</t>
        </is>
      </c>
      <c r="J738" s="14" t="n">
        <v>860.51</v>
      </c>
      <c r="K738" s="13" t="inlineStr">
        <is>
          <t>20.90</t>
        </is>
      </c>
      <c r="L738" s="12" t="n">
        <v>45949</v>
      </c>
      <c r="M738" s="12" t="n">
        <v>45796</v>
      </c>
      <c r="N738" s="13" t="inlineStr">
        <is>
          <t>839.61</t>
        </is>
      </c>
      <c r="O738" s="13" t="inlineStr"/>
      <c r="P738" s="12" t="n"/>
    </row>
    <row r="739" ht="39.6" customHeight="1">
      <c r="A739" s="15" t="inlineStr">
        <is>
          <t>AU23445</t>
        </is>
      </c>
      <c r="B739" s="16" t="n">
        <v>45617</v>
      </c>
      <c r="C739" s="15" t="inlineStr">
        <is>
          <t>Customer Call Operator</t>
        </is>
      </c>
      <c r="D739" s="15" t="inlineStr">
        <is>
          <t>NSW Support Services EA</t>
        </is>
      </c>
      <c r="E739" s="15" t="inlineStr">
        <is>
          <t>CA - Casual</t>
        </is>
      </c>
      <c r="F739" s="15" t="inlineStr">
        <is>
          <t>IVFA</t>
        </is>
      </c>
      <c r="G739" s="15" t="inlineStr">
        <is>
          <t>New South Wales</t>
        </is>
      </c>
      <c r="H739" s="17" t="inlineStr"/>
      <c r="I739" s="15" t="inlineStr">
        <is>
          <t>IVF Australia Pty Ltd</t>
        </is>
      </c>
      <c r="J739" s="18" t="n">
        <v>21</v>
      </c>
      <c r="K739" s="17" t="inlineStr">
        <is>
          <t>21.00</t>
        </is>
      </c>
      <c r="L739" s="16" t="n">
        <v>45949</v>
      </c>
      <c r="M739" s="16" t="n">
        <v>45617</v>
      </c>
      <c r="N739" s="17" t="inlineStr"/>
      <c r="O739" s="17" t="inlineStr"/>
      <c r="P739" s="16" t="n"/>
    </row>
    <row r="740" ht="52.8" customHeight="1">
      <c r="A740" s="11" t="inlineStr">
        <is>
          <t>AU23583</t>
        </is>
      </c>
      <c r="B740" s="12" t="n">
        <v>45754</v>
      </c>
      <c r="C740" s="11" t="inlineStr">
        <is>
          <t>Clinical Nurse Specialist</t>
        </is>
      </c>
      <c r="D740" s="11" t="inlineStr">
        <is>
          <t>QLD Nurse EA</t>
        </is>
      </c>
      <c r="E740" s="11" t="inlineStr">
        <is>
          <t>Part Time</t>
        </is>
      </c>
      <c r="F740" s="11" t="inlineStr">
        <is>
          <t>Day Hospitals</t>
        </is>
      </c>
      <c r="G740" s="11" t="inlineStr">
        <is>
          <t>Queensland</t>
        </is>
      </c>
      <c r="H740" s="13" t="inlineStr">
        <is>
          <t>60.00</t>
        </is>
      </c>
      <c r="I740" s="11" t="inlineStr">
        <is>
          <t>Spring Hill Specialist Day Hospital</t>
        </is>
      </c>
      <c r="J740" s="14" t="n">
        <v>21.47</v>
      </c>
      <c r="K740" s="13" t="inlineStr">
        <is>
          <t>21.47</t>
        </is>
      </c>
      <c r="L740" s="12" t="n">
        <v>45949</v>
      </c>
      <c r="M740" s="12" t="n">
        <v>45754</v>
      </c>
      <c r="N740" s="13" t="inlineStr"/>
      <c r="O740" s="13" t="inlineStr"/>
      <c r="P740" s="12" t="n"/>
    </row>
    <row r="741" ht="39.6" customHeight="1">
      <c r="A741" s="15" t="n">
        <v>20063</v>
      </c>
      <c r="B741" s="16" t="n">
        <v>37473</v>
      </c>
      <c r="C741" s="15" t="inlineStr">
        <is>
          <t>Administration</t>
        </is>
      </c>
      <c r="D741" s="15" t="inlineStr">
        <is>
          <t>NSW Support Services EA</t>
        </is>
      </c>
      <c r="E741" s="15" t="inlineStr">
        <is>
          <t>PP - Part-time Waged</t>
        </is>
      </c>
      <c r="F741" s="15" t="inlineStr">
        <is>
          <t>IVFA</t>
        </is>
      </c>
      <c r="G741" s="15" t="inlineStr">
        <is>
          <t>New South Wales</t>
        </is>
      </c>
      <c r="H741" s="17" t="inlineStr">
        <is>
          <t>38.00</t>
        </is>
      </c>
      <c r="I741" s="15" t="inlineStr">
        <is>
          <t>IVF Australia Pty Ltd</t>
        </is>
      </c>
      <c r="J741" s="18" t="n">
        <v>96.70999999999999</v>
      </c>
      <c r="K741" s="17" t="inlineStr">
        <is>
          <t>21.48</t>
        </is>
      </c>
      <c r="L741" s="16" t="n">
        <v>45949</v>
      </c>
      <c r="M741" s="16" t="n">
        <v>45509</v>
      </c>
      <c r="N741" s="17" t="inlineStr">
        <is>
          <t>75.23</t>
        </is>
      </c>
      <c r="O741" s="17" t="inlineStr"/>
      <c r="P741" s="16" t="n"/>
    </row>
    <row r="742" ht="52.8" customHeight="1">
      <c r="A742" s="11" t="inlineStr">
        <is>
          <t>AU23385</t>
        </is>
      </c>
      <c r="B742" s="12" t="n">
        <v>45558</v>
      </c>
      <c r="C742" s="11" t="inlineStr">
        <is>
          <t>Registered Nurse</t>
        </is>
      </c>
      <c r="D742" s="11" t="inlineStr">
        <is>
          <t>QLD Nurse EA</t>
        </is>
      </c>
      <c r="E742" s="11" t="inlineStr">
        <is>
          <t>PP - Part-time Waged</t>
        </is>
      </c>
      <c r="F742" s="11" t="inlineStr">
        <is>
          <t>Day Hospitals</t>
        </is>
      </c>
      <c r="G742" s="11" t="inlineStr">
        <is>
          <t>Queensland</t>
        </is>
      </c>
      <c r="H742" s="13" t="inlineStr">
        <is>
          <t>32.00</t>
        </is>
      </c>
      <c r="I742" s="11" t="inlineStr">
        <is>
          <t>MACKAY Specialist Day Hospital</t>
        </is>
      </c>
      <c r="J742" s="14" t="n">
        <v>21.48</v>
      </c>
      <c r="K742" s="13" t="inlineStr">
        <is>
          <t>21.48</t>
        </is>
      </c>
      <c r="L742" s="12" t="n">
        <v>45949</v>
      </c>
      <c r="M742" s="12" t="n">
        <v>45558</v>
      </c>
      <c r="N742" s="13" t="inlineStr"/>
      <c r="O742" s="13" t="inlineStr"/>
      <c r="P742" s="12" t="n"/>
    </row>
    <row r="743" ht="26.4" customHeight="1">
      <c r="A743" s="15" t="n">
        <v>40150</v>
      </c>
      <c r="B743" s="16" t="n">
        <v>44614</v>
      </c>
      <c r="C743" s="15" t="inlineStr">
        <is>
          <t>Registered Nurse</t>
        </is>
      </c>
      <c r="D743" s="15" t="inlineStr">
        <is>
          <t>NSW Nurse EA</t>
        </is>
      </c>
      <c r="E743" s="15" t="inlineStr">
        <is>
          <t>CA - Casual</t>
        </is>
      </c>
      <c r="F743" s="15" t="inlineStr">
        <is>
          <t>Day Hospitals</t>
        </is>
      </c>
      <c r="G743" s="15" t="inlineStr">
        <is>
          <t>New South Wales</t>
        </is>
      </c>
      <c r="H743" s="17" t="inlineStr"/>
      <c r="I743" s="15" t="inlineStr">
        <is>
          <t>City West Day Surgery</t>
        </is>
      </c>
      <c r="J743" s="18" t="n">
        <v>21.49</v>
      </c>
      <c r="K743" s="17" t="inlineStr">
        <is>
          <t>21.49</t>
        </is>
      </c>
      <c r="L743" s="16" t="n">
        <v>45907</v>
      </c>
      <c r="M743" s="16" t="n">
        <v>44614</v>
      </c>
      <c r="N743" s="17" t="inlineStr"/>
      <c r="O743" s="17" t="inlineStr"/>
      <c r="P743" s="16" t="n"/>
    </row>
    <row r="744" ht="39.6" customHeight="1">
      <c r="A744" s="11" t="inlineStr">
        <is>
          <t>AU23233</t>
        </is>
      </c>
      <c r="B744" s="12" t="n">
        <v>45454</v>
      </c>
      <c r="C744" s="11" t="inlineStr">
        <is>
          <t>Administration Manager</t>
        </is>
      </c>
      <c r="D744" s="11" t="inlineStr">
        <is>
          <t>NSW Support Services EA</t>
        </is>
      </c>
      <c r="E744" s="11" t="inlineStr">
        <is>
          <t>FT - Full-time Waged</t>
        </is>
      </c>
      <c r="F744" s="11" t="inlineStr">
        <is>
          <t>IVFA</t>
        </is>
      </c>
      <c r="G744" s="11" t="inlineStr">
        <is>
          <t>New South Wales</t>
        </is>
      </c>
      <c r="H744" s="13" t="inlineStr">
        <is>
          <t>76.00</t>
        </is>
      </c>
      <c r="I744" s="11" t="inlineStr">
        <is>
          <t>IVF Australia Pty Ltd</t>
        </is>
      </c>
      <c r="J744" s="14" t="n">
        <v>21.5</v>
      </c>
      <c r="K744" s="13" t="inlineStr">
        <is>
          <t>21.50</t>
        </is>
      </c>
      <c r="L744" s="12" t="n">
        <v>45949</v>
      </c>
      <c r="M744" s="12" t="n">
        <v>45454</v>
      </c>
      <c r="N744" s="13" t="inlineStr"/>
      <c r="O744" s="13" t="inlineStr"/>
      <c r="P744" s="12" t="n"/>
    </row>
    <row r="745" ht="52.8" customHeight="1">
      <c r="A745" s="15" t="inlineStr">
        <is>
          <t>AU23288</t>
        </is>
      </c>
      <c r="B745" s="16" t="n">
        <v>45502</v>
      </c>
      <c r="C745" s="15" t="inlineStr">
        <is>
          <t>Registered Nurse</t>
        </is>
      </c>
      <c r="D745" s="15" t="inlineStr">
        <is>
          <t>QLD Nurse EA</t>
        </is>
      </c>
      <c r="E745" s="15" t="inlineStr">
        <is>
          <t>CA - Casual</t>
        </is>
      </c>
      <c r="F745" s="15" t="inlineStr">
        <is>
          <t>Day Hospitals</t>
        </is>
      </c>
      <c r="G745" s="15" t="inlineStr">
        <is>
          <t>Queensland</t>
        </is>
      </c>
      <c r="H745" s="17" t="inlineStr"/>
      <c r="I745" s="15" t="inlineStr">
        <is>
          <t>MACKAY Specialist Day Hospital</t>
        </is>
      </c>
      <c r="J745" s="18" t="n">
        <v>277.49</v>
      </c>
      <c r="K745" s="17" t="inlineStr">
        <is>
          <t>21.53</t>
        </is>
      </c>
      <c r="L745" s="16" t="n">
        <v>45949</v>
      </c>
      <c r="M745" s="16" t="n">
        <v>45636</v>
      </c>
      <c r="N745" s="17" t="inlineStr">
        <is>
          <t>359.96</t>
        </is>
      </c>
      <c r="O745" s="17" t="inlineStr">
        <is>
          <t>104.00</t>
        </is>
      </c>
      <c r="P745" s="16" t="n"/>
    </row>
    <row r="746" ht="39.6" customHeight="1">
      <c r="A746" s="11" t="n">
        <v>20169</v>
      </c>
      <c r="B746" s="12" t="n">
        <v>39869</v>
      </c>
      <c r="C746" s="11" t="inlineStr">
        <is>
          <t>Territory Administration Manager</t>
        </is>
      </c>
      <c r="D746" s="11" t="inlineStr">
        <is>
          <t>NSW Support Services EA</t>
        </is>
      </c>
      <c r="E746" s="11" t="inlineStr">
        <is>
          <t>FT - Full-time Waged</t>
        </is>
      </c>
      <c r="F746" s="11" t="inlineStr">
        <is>
          <t>IVFA</t>
        </is>
      </c>
      <c r="G746" s="11" t="inlineStr">
        <is>
          <t>New South Wales</t>
        </is>
      </c>
      <c r="H746" s="13" t="inlineStr">
        <is>
          <t>76.00</t>
        </is>
      </c>
      <c r="I746" s="11" t="inlineStr">
        <is>
          <t>IVF Australia Pty Ltd</t>
        </is>
      </c>
      <c r="J746" s="14" t="n">
        <v>158.74</v>
      </c>
      <c r="K746" s="13" t="inlineStr">
        <is>
          <t>21.54</t>
        </is>
      </c>
      <c r="L746" s="12" t="n">
        <v>45949</v>
      </c>
      <c r="M746" s="12" t="n">
        <v>45713</v>
      </c>
      <c r="N746" s="13" t="inlineStr">
        <is>
          <t>175.20</t>
        </is>
      </c>
      <c r="O746" s="13" t="inlineStr">
        <is>
          <t>38.00</t>
        </is>
      </c>
      <c r="P746" s="12" t="n"/>
    </row>
    <row r="747" ht="66" customHeight="1">
      <c r="A747" s="15" t="inlineStr">
        <is>
          <t>AU23300</t>
        </is>
      </c>
      <c r="B747" s="16" t="n">
        <v>45502</v>
      </c>
      <c r="C747" s="15" t="inlineStr">
        <is>
          <t>Administration Clerk</t>
        </is>
      </c>
      <c r="D747" s="15" t="inlineStr">
        <is>
          <t>NSW Support Services EA</t>
        </is>
      </c>
      <c r="E747" s="15" t="inlineStr">
        <is>
          <t>CA - Casual</t>
        </is>
      </c>
      <c r="F747" s="15" t="inlineStr">
        <is>
          <t>Day Hospitals</t>
        </is>
      </c>
      <c r="G747" s="15" t="inlineStr">
        <is>
          <t>New South Wales</t>
        </is>
      </c>
      <c r="H747" s="17" t="inlineStr"/>
      <c r="I747" s="15" t="inlineStr">
        <is>
          <t>Alexandria Specialist Day Hospital Pty Ltd</t>
        </is>
      </c>
      <c r="J747" s="18" t="n">
        <v>21.64</v>
      </c>
      <c r="K747" s="17" t="inlineStr">
        <is>
          <t>21.64</t>
        </is>
      </c>
      <c r="L747" s="16" t="n">
        <v>45949</v>
      </c>
      <c r="M747" s="16" t="n">
        <v>45502</v>
      </c>
      <c r="N747" s="17" t="inlineStr"/>
      <c r="O747" s="17" t="inlineStr"/>
      <c r="P747" s="16" t="n"/>
    </row>
    <row r="748" ht="39.6" customHeight="1">
      <c r="A748" s="11" t="n">
        <v>20190</v>
      </c>
      <c r="B748" s="12" t="n">
        <v>40141</v>
      </c>
      <c r="C748" s="11" t="inlineStr">
        <is>
          <t>Medical Secretary</t>
        </is>
      </c>
      <c r="D748" s="11" t="inlineStr">
        <is>
          <t>NSW Support Services EA</t>
        </is>
      </c>
      <c r="E748" s="11" t="inlineStr">
        <is>
          <t>FT - Full-time Waged</t>
        </is>
      </c>
      <c r="F748" s="11" t="inlineStr">
        <is>
          <t>IVFA</t>
        </is>
      </c>
      <c r="G748" s="11" t="inlineStr">
        <is>
          <t>New South Wales</t>
        </is>
      </c>
      <c r="H748" s="13" t="inlineStr">
        <is>
          <t>76.00</t>
        </is>
      </c>
      <c r="I748" s="11" t="inlineStr">
        <is>
          <t>IVF Australia Pty Ltd</t>
        </is>
      </c>
      <c r="J748" s="14" t="n">
        <v>231.51</v>
      </c>
      <c r="K748" s="13" t="inlineStr">
        <is>
          <t>21.78</t>
        </is>
      </c>
      <c r="L748" s="12" t="n">
        <v>45949</v>
      </c>
      <c r="M748" s="12" t="n">
        <v>45620</v>
      </c>
      <c r="N748" s="13" t="inlineStr">
        <is>
          <t>209.73</t>
        </is>
      </c>
      <c r="O748" s="13" t="inlineStr"/>
      <c r="P748" s="12" t="n"/>
    </row>
    <row r="749" ht="39.6" customHeight="1">
      <c r="A749" s="15" t="n">
        <v>20428</v>
      </c>
      <c r="B749" s="16" t="n">
        <v>42065</v>
      </c>
      <c r="C749" s="15" t="inlineStr">
        <is>
          <t>Nurse Unit Manager</t>
        </is>
      </c>
      <c r="D749" s="15" t="inlineStr">
        <is>
          <t>NSW Nurse EA</t>
        </is>
      </c>
      <c r="E749" s="15" t="inlineStr">
        <is>
          <t>FT - Full-time Waged</t>
        </is>
      </c>
      <c r="F749" s="15" t="inlineStr">
        <is>
          <t>IVFA</t>
        </is>
      </c>
      <c r="G749" s="15" t="inlineStr">
        <is>
          <t>New South Wales</t>
        </is>
      </c>
      <c r="H749" s="17" t="inlineStr">
        <is>
          <t>76.00</t>
        </is>
      </c>
      <c r="I749" s="15" t="inlineStr">
        <is>
          <t>IVF Australia Pty Ltd</t>
        </is>
      </c>
      <c r="J749" s="18" t="n">
        <v>131.24</v>
      </c>
      <c r="K749" s="17" t="inlineStr">
        <is>
          <t>21.93</t>
        </is>
      </c>
      <c r="L749" s="16" t="n">
        <v>45949</v>
      </c>
      <c r="M749" s="16" t="n">
        <v>45718</v>
      </c>
      <c r="N749" s="17" t="inlineStr">
        <is>
          <t>270.81</t>
        </is>
      </c>
      <c r="O749" s="17" t="inlineStr">
        <is>
          <t>161.50</t>
        </is>
      </c>
      <c r="P749" s="16" t="n"/>
    </row>
    <row r="750" ht="79.2" customHeight="1">
      <c r="A750" s="11" t="inlineStr">
        <is>
          <t>AU23734</t>
        </is>
      </c>
      <c r="B750" s="12" t="n">
        <v>45866</v>
      </c>
      <c r="C750" s="11" t="inlineStr">
        <is>
          <t>Phlebotomist</t>
        </is>
      </c>
      <c r="D750" s="11" t="inlineStr">
        <is>
          <t>Health Professionals and Support Services Award</t>
        </is>
      </c>
      <c r="E750" s="11" t="inlineStr">
        <is>
          <t>PP - Part-time Waged</t>
        </is>
      </c>
      <c r="F750" s="11" t="inlineStr">
        <is>
          <t>Queensland Fertility Group</t>
        </is>
      </c>
      <c r="G750" s="11" t="inlineStr">
        <is>
          <t>Queensland</t>
        </is>
      </c>
      <c r="H750" s="13" t="inlineStr">
        <is>
          <t>40.00</t>
        </is>
      </c>
      <c r="I750" s="11" t="inlineStr">
        <is>
          <t>Queensland Fertility Group Pty Ltd</t>
        </is>
      </c>
      <c r="J750" s="14" t="n">
        <v>22.13</v>
      </c>
      <c r="K750" s="13" t="inlineStr">
        <is>
          <t>22.13</t>
        </is>
      </c>
      <c r="L750" s="12" t="n">
        <v>45949</v>
      </c>
      <c r="M750" s="12" t="n">
        <v>45390</v>
      </c>
      <c r="N750" s="13" t="inlineStr"/>
      <c r="O750" s="13" t="inlineStr"/>
      <c r="P750" s="12" t="n"/>
    </row>
    <row r="751" ht="79.2" customHeight="1">
      <c r="A751" s="15" t="inlineStr">
        <is>
          <t>AU23516</t>
        </is>
      </c>
      <c r="B751" s="16" t="n">
        <v>45700</v>
      </c>
      <c r="C751" s="15" t="inlineStr">
        <is>
          <t>Administration Team Leader</t>
        </is>
      </c>
      <c r="D751" s="15" t="inlineStr">
        <is>
          <t>Health Professionals and Support Services Award</t>
        </is>
      </c>
      <c r="E751" s="15" t="inlineStr">
        <is>
          <t>FT - Full-time Waged</t>
        </is>
      </c>
      <c r="F751" s="15" t="inlineStr">
        <is>
          <t>Day Hospitals</t>
        </is>
      </c>
      <c r="G751" s="15" t="inlineStr">
        <is>
          <t>Queensland</t>
        </is>
      </c>
      <c r="H751" s="17" t="inlineStr">
        <is>
          <t>76.00</t>
        </is>
      </c>
      <c r="I751" s="15" t="inlineStr">
        <is>
          <t>Spring Hill Specialist Day Hospital</t>
        </is>
      </c>
      <c r="J751" s="18" t="n">
        <v>22.15</v>
      </c>
      <c r="K751" s="17" t="inlineStr">
        <is>
          <t>22.15</t>
        </is>
      </c>
      <c r="L751" s="16" t="n">
        <v>45949</v>
      </c>
      <c r="M751" s="16" t="n">
        <v>45700</v>
      </c>
      <c r="N751" s="17" t="inlineStr"/>
      <c r="O751" s="17" t="inlineStr"/>
      <c r="P751" s="16" t="n"/>
    </row>
    <row r="752" ht="66" customHeight="1">
      <c r="A752" s="11" t="inlineStr">
        <is>
          <t>AU23494</t>
        </is>
      </c>
      <c r="B752" s="12" t="n">
        <v>45670</v>
      </c>
      <c r="C752" s="11" t="inlineStr">
        <is>
          <t>CSSD Tech</t>
        </is>
      </c>
      <c r="D752" s="11" t="inlineStr">
        <is>
          <t>NSW Support Services EA</t>
        </is>
      </c>
      <c r="E752" s="11" t="inlineStr">
        <is>
          <t>CA - Casual</t>
        </is>
      </c>
      <c r="F752" s="11" t="inlineStr">
        <is>
          <t>Day Hospitals</t>
        </is>
      </c>
      <c r="G752" s="11" t="inlineStr">
        <is>
          <t>New South Wales</t>
        </is>
      </c>
      <c r="H752" s="13" t="inlineStr"/>
      <c r="I752" s="11" t="inlineStr">
        <is>
          <t>Alexandria Specialist Day Hospital Pty Ltd</t>
        </is>
      </c>
      <c r="J752" s="14" t="n">
        <v>22.16</v>
      </c>
      <c r="K752" s="13" t="inlineStr">
        <is>
          <t>22.16</t>
        </is>
      </c>
      <c r="L752" s="12" t="n">
        <v>45949</v>
      </c>
      <c r="M752" s="12" t="n">
        <v>45152</v>
      </c>
      <c r="N752" s="13" t="inlineStr"/>
      <c r="O752" s="13" t="inlineStr"/>
      <c r="P752" s="12" t="n"/>
    </row>
    <row r="753" ht="66" customHeight="1">
      <c r="A753" s="15" t="inlineStr">
        <is>
          <t>AU23839</t>
        </is>
      </c>
      <c r="B753" s="16" t="n">
        <v>45908</v>
      </c>
      <c r="C753" s="15" t="inlineStr">
        <is>
          <t>Registered Nurse</t>
        </is>
      </c>
      <c r="D753" s="15" t="inlineStr">
        <is>
          <t>NSW Nurse EA</t>
        </is>
      </c>
      <c r="E753" s="15" t="inlineStr">
        <is>
          <t>PP - Part-time Waged</t>
        </is>
      </c>
      <c r="F753" s="15" t="inlineStr">
        <is>
          <t>Day Hospitals</t>
        </is>
      </c>
      <c r="G753" s="15" t="inlineStr">
        <is>
          <t>New South Wales</t>
        </is>
      </c>
      <c r="H753" s="17" t="inlineStr">
        <is>
          <t>14.00</t>
        </is>
      </c>
      <c r="I753" s="15" t="inlineStr">
        <is>
          <t>Alexandria Specialist Day Hospital Pty Ltd</t>
        </is>
      </c>
      <c r="J753" s="18" t="n">
        <v>22.26</v>
      </c>
      <c r="K753" s="17" t="inlineStr">
        <is>
          <t>22.26</t>
        </is>
      </c>
      <c r="L753" s="16" t="n">
        <v>45949</v>
      </c>
      <c r="M753" s="16" t="n">
        <v>45544</v>
      </c>
      <c r="N753" s="17" t="inlineStr"/>
      <c r="O753" s="17" t="inlineStr"/>
      <c r="P753" s="16" t="n"/>
    </row>
    <row r="754" ht="26.4" customHeight="1">
      <c r="A754" s="11" t="inlineStr">
        <is>
          <t>AU22727</t>
        </is>
      </c>
      <c r="B754" s="12" t="n">
        <v>44964</v>
      </c>
      <c r="C754" s="11" t="inlineStr">
        <is>
          <t>Registered Nurse</t>
        </is>
      </c>
      <c r="D754" s="11" t="inlineStr">
        <is>
          <t>NSW Nurse EA</t>
        </is>
      </c>
      <c r="E754" s="11" t="inlineStr">
        <is>
          <t>CA - Casual</t>
        </is>
      </c>
      <c r="F754" s="11" t="inlineStr">
        <is>
          <t>Day Hospitals</t>
        </is>
      </c>
      <c r="G754" s="11" t="inlineStr">
        <is>
          <t>New South Wales</t>
        </is>
      </c>
      <c r="H754" s="13" t="inlineStr"/>
      <c r="I754" s="11" t="inlineStr">
        <is>
          <t>City West Day Surgery</t>
        </is>
      </c>
      <c r="J754" s="14" t="n">
        <v>22.4</v>
      </c>
      <c r="K754" s="13" t="inlineStr">
        <is>
          <t>22.40</t>
        </is>
      </c>
      <c r="L754" s="12" t="n">
        <v>45949</v>
      </c>
      <c r="M754" s="12" t="n">
        <v>44964</v>
      </c>
      <c r="N754" s="13" t="inlineStr"/>
      <c r="O754" s="13" t="inlineStr"/>
      <c r="P754" s="12" t="n"/>
    </row>
    <row r="755" ht="52.8" customHeight="1">
      <c r="A755" s="15" t="inlineStr">
        <is>
          <t>AU23837</t>
        </is>
      </c>
      <c r="B755" s="16" t="n">
        <v>45915</v>
      </c>
      <c r="C755" s="15" t="inlineStr">
        <is>
          <t>Registered Nurse</t>
        </is>
      </c>
      <c r="D755" s="15" t="inlineStr">
        <is>
          <t>QLD Nurse EA</t>
        </is>
      </c>
      <c r="E755" s="15" t="inlineStr">
        <is>
          <t>CA - Casual</t>
        </is>
      </c>
      <c r="F755" s="15" t="inlineStr">
        <is>
          <t>Day Hospitals</t>
        </is>
      </c>
      <c r="G755" s="15" t="inlineStr">
        <is>
          <t>Queensland</t>
        </is>
      </c>
      <c r="H755" s="17" t="inlineStr"/>
      <c r="I755" s="15" t="inlineStr">
        <is>
          <t>Spring Hill Specialist Day Hospital</t>
        </is>
      </c>
      <c r="J755" s="18" t="n">
        <v>22.46</v>
      </c>
      <c r="K755" s="17" t="inlineStr">
        <is>
          <t>22.46</t>
        </is>
      </c>
      <c r="L755" s="16" t="n">
        <v>45949</v>
      </c>
      <c r="M755" s="16" t="n">
        <v>45685</v>
      </c>
      <c r="N755" s="17" t="inlineStr"/>
      <c r="O755" s="17" t="inlineStr"/>
      <c r="P755" s="16" t="n"/>
    </row>
    <row r="756" ht="52.8" customHeight="1">
      <c r="A756" s="11" t="n">
        <v>80047</v>
      </c>
      <c r="B756" s="12" t="n">
        <v>38013</v>
      </c>
      <c r="C756" s="11" t="inlineStr">
        <is>
          <t>Embryologist</t>
        </is>
      </c>
      <c r="D756" s="11" t="inlineStr">
        <is>
          <t>QLD Scientists EA</t>
        </is>
      </c>
      <c r="E756" s="11" t="inlineStr">
        <is>
          <t>PP - Part-time Waged</t>
        </is>
      </c>
      <c r="F756" s="11" t="inlineStr">
        <is>
          <t>Queensland Fertility Group</t>
        </is>
      </c>
      <c r="G756" s="11" t="inlineStr">
        <is>
          <t>Queensland</t>
        </is>
      </c>
      <c r="H756" s="13" t="inlineStr">
        <is>
          <t>45.60</t>
        </is>
      </c>
      <c r="I756" s="11" t="inlineStr">
        <is>
          <t>Queensland Fertility Group Pty Ltd</t>
        </is>
      </c>
      <c r="J756" s="14" t="n">
        <v>145.99</v>
      </c>
      <c r="K756" s="13" t="inlineStr">
        <is>
          <t>22.59</t>
        </is>
      </c>
      <c r="L756" s="12" t="n">
        <v>45949</v>
      </c>
      <c r="M756" s="12" t="n">
        <v>45684</v>
      </c>
      <c r="N756" s="13" t="inlineStr">
        <is>
          <t>123.40</t>
        </is>
      </c>
      <c r="O756" s="13" t="inlineStr"/>
      <c r="P756" s="12" t="n"/>
    </row>
    <row r="757" ht="66" customHeight="1">
      <c r="A757" s="15" t="n">
        <v>30003</v>
      </c>
      <c r="B757" s="16" t="n">
        <v>39923</v>
      </c>
      <c r="C757" s="15" t="inlineStr">
        <is>
          <t>Administration Clerk</t>
        </is>
      </c>
      <c r="D757" s="15" t="inlineStr">
        <is>
          <t>NSW Support Services EA</t>
        </is>
      </c>
      <c r="E757" s="15" t="inlineStr">
        <is>
          <t>FT - Full-time Waged</t>
        </is>
      </c>
      <c r="F757" s="15" t="inlineStr">
        <is>
          <t>Day Hospitals</t>
        </is>
      </c>
      <c r="G757" s="15" t="inlineStr">
        <is>
          <t>New South Wales</t>
        </is>
      </c>
      <c r="H757" s="17" t="inlineStr">
        <is>
          <t>76.00</t>
        </is>
      </c>
      <c r="I757" s="15" t="inlineStr">
        <is>
          <t>North Shore Specialist Day Hospital Pty Ltd</t>
        </is>
      </c>
      <c r="J757" s="18" t="n">
        <v>121.64</v>
      </c>
      <c r="K757" s="17" t="inlineStr">
        <is>
          <t>22.63</t>
        </is>
      </c>
      <c r="L757" s="16" t="n">
        <v>45949</v>
      </c>
      <c r="M757" s="16" t="n">
        <v>45612</v>
      </c>
      <c r="N757" s="17" t="inlineStr">
        <is>
          <t>99.01</t>
        </is>
      </c>
      <c r="O757" s="17" t="inlineStr"/>
      <c r="P757" s="16" t="n"/>
    </row>
    <row r="758" ht="66" customHeight="1">
      <c r="A758" s="11" t="n">
        <v>30006</v>
      </c>
      <c r="B758" s="12" t="n">
        <v>39498</v>
      </c>
      <c r="C758" s="11" t="inlineStr">
        <is>
          <t>Administration Clerk</t>
        </is>
      </c>
      <c r="D758" s="11" t="inlineStr">
        <is>
          <t>NSW Support Services EA</t>
        </is>
      </c>
      <c r="E758" s="11" t="inlineStr">
        <is>
          <t>PP - Part-time Waged</t>
        </is>
      </c>
      <c r="F758" s="11" t="inlineStr">
        <is>
          <t>Day Hospitals</t>
        </is>
      </c>
      <c r="G758" s="11" t="inlineStr">
        <is>
          <t>New South Wales</t>
        </is>
      </c>
      <c r="H758" s="13" t="inlineStr">
        <is>
          <t>24.00</t>
        </is>
      </c>
      <c r="I758" s="11" t="inlineStr">
        <is>
          <t>North Shore Specialist Day Hospital Pty Ltd</t>
        </is>
      </c>
      <c r="J758" s="14" t="n">
        <v>171.01</v>
      </c>
      <c r="K758" s="13" t="inlineStr">
        <is>
          <t>22.72</t>
        </is>
      </c>
      <c r="L758" s="12" t="n">
        <v>45949</v>
      </c>
      <c r="M758" s="12" t="n">
        <v>45646</v>
      </c>
      <c r="N758" s="13" t="inlineStr">
        <is>
          <t>148.29</t>
        </is>
      </c>
      <c r="O758" s="13" t="inlineStr"/>
      <c r="P758" s="12" t="n"/>
    </row>
    <row r="759" ht="52.8" customHeight="1">
      <c r="A759" s="15" t="n">
        <v>80137</v>
      </c>
      <c r="B759" s="16" t="n">
        <v>41771</v>
      </c>
      <c r="C759" s="15" t="inlineStr">
        <is>
          <t>Operation Projects</t>
        </is>
      </c>
      <c r="D759" s="15" t="inlineStr">
        <is>
          <t>Common Law Employment Contract</t>
        </is>
      </c>
      <c r="E759" s="15" t="inlineStr">
        <is>
          <t>FT - Full-time Waged</t>
        </is>
      </c>
      <c r="F759" s="15" t="inlineStr">
        <is>
          <t>Queensland Fertility Group</t>
        </is>
      </c>
      <c r="G759" s="15" t="inlineStr">
        <is>
          <t>Queensland</t>
        </is>
      </c>
      <c r="H759" s="17" t="inlineStr">
        <is>
          <t>76.00</t>
        </is>
      </c>
      <c r="I759" s="15" t="inlineStr">
        <is>
          <t>Queensland Fertility Group Pty Ltd</t>
        </is>
      </c>
      <c r="J759" s="18" t="n">
        <v>338.62</v>
      </c>
      <c r="K759" s="17" t="inlineStr">
        <is>
          <t>22.99</t>
        </is>
      </c>
      <c r="L759" s="16" t="n">
        <v>45949</v>
      </c>
      <c r="M759" s="16" t="n">
        <v>45789</v>
      </c>
      <c r="N759" s="17" t="inlineStr">
        <is>
          <t>315.63</t>
        </is>
      </c>
      <c r="O759" s="17" t="inlineStr"/>
      <c r="P759" s="16" t="n"/>
    </row>
    <row r="760" ht="79.2" customHeight="1">
      <c r="A760" s="11" t="inlineStr">
        <is>
          <t>AU23454</t>
        </is>
      </c>
      <c r="B760" s="12" t="n">
        <v>45636</v>
      </c>
      <c r="C760" s="11" t="inlineStr">
        <is>
          <t>New Patient Care Consultant</t>
        </is>
      </c>
      <c r="D760" s="11" t="inlineStr">
        <is>
          <t>Health Professionals and Support Services Award</t>
        </is>
      </c>
      <c r="E760" s="11" t="inlineStr">
        <is>
          <t>PP - Part-time Waged</t>
        </is>
      </c>
      <c r="F760" s="11" t="inlineStr">
        <is>
          <t>Queensland Fertility Group</t>
        </is>
      </c>
      <c r="G760" s="11" t="inlineStr">
        <is>
          <t>Queensland</t>
        </is>
      </c>
      <c r="H760" s="13" t="inlineStr">
        <is>
          <t>45.60</t>
        </is>
      </c>
      <c r="I760" s="11" t="inlineStr">
        <is>
          <t>Queensland Fertility Group Pty Ltd</t>
        </is>
      </c>
      <c r="J760" s="14" t="n">
        <v>23.31</v>
      </c>
      <c r="K760" s="13" t="inlineStr">
        <is>
          <t>23.31</t>
        </is>
      </c>
      <c r="L760" s="12" t="n">
        <v>45949</v>
      </c>
      <c r="M760" s="12" t="n">
        <v>45636</v>
      </c>
      <c r="N760" s="13" t="inlineStr"/>
      <c r="O760" s="13" t="inlineStr"/>
      <c r="P760" s="12" t="n"/>
    </row>
    <row r="761" ht="79.2" customHeight="1">
      <c r="A761" s="15" t="inlineStr">
        <is>
          <t>AU23479</t>
        </is>
      </c>
      <c r="B761" s="16" t="n">
        <v>45684</v>
      </c>
      <c r="C761" s="15" t="inlineStr">
        <is>
          <t>Brisbane Clinic Manager</t>
        </is>
      </c>
      <c r="D761" s="15" t="inlineStr">
        <is>
          <t>Health Professionals and Support Services Award</t>
        </is>
      </c>
      <c r="E761" s="15" t="inlineStr">
        <is>
          <t>FT - Full-time Waged</t>
        </is>
      </c>
      <c r="F761" s="15" t="inlineStr">
        <is>
          <t>Queensland Fertility Group</t>
        </is>
      </c>
      <c r="G761" s="15" t="inlineStr">
        <is>
          <t>Queensland</t>
        </is>
      </c>
      <c r="H761" s="17" t="inlineStr">
        <is>
          <t>76.00</t>
        </is>
      </c>
      <c r="I761" s="15" t="inlineStr">
        <is>
          <t>Queensland Fertility Group Pty Ltd</t>
        </is>
      </c>
      <c r="J761" s="18" t="n">
        <v>23.38</v>
      </c>
      <c r="K761" s="17" t="inlineStr">
        <is>
          <t>23.38</t>
        </is>
      </c>
      <c r="L761" s="16" t="n">
        <v>45949</v>
      </c>
      <c r="M761" s="16" t="n">
        <v>45684</v>
      </c>
      <c r="N761" s="17" t="inlineStr"/>
      <c r="O761" s="17" t="inlineStr"/>
      <c r="P761" s="16" t="n"/>
    </row>
    <row r="762" ht="52.8" customHeight="1">
      <c r="A762" s="11" t="inlineStr">
        <is>
          <t>AU23420</t>
        </is>
      </c>
      <c r="B762" s="12" t="n">
        <v>45689</v>
      </c>
      <c r="C762" s="11" t="inlineStr">
        <is>
          <t>Accredited CREI Trainee</t>
        </is>
      </c>
      <c r="D762" s="11" t="inlineStr">
        <is>
          <t>Common Law Employment Contract</t>
        </is>
      </c>
      <c r="E762" s="11" t="inlineStr">
        <is>
          <t>CO - Contract</t>
        </is>
      </c>
      <c r="F762" s="11" t="inlineStr">
        <is>
          <t>IVFA</t>
        </is>
      </c>
      <c r="G762" s="11" t="inlineStr">
        <is>
          <t>New South Wales</t>
        </is>
      </c>
      <c r="H762" s="13" t="inlineStr">
        <is>
          <t>76.00</t>
        </is>
      </c>
      <c r="I762" s="11" t="inlineStr">
        <is>
          <t>IVF Australia Pty Ltd</t>
        </is>
      </c>
      <c r="J762" s="14" t="n">
        <v>23.43</v>
      </c>
      <c r="K762" s="13" t="inlineStr">
        <is>
          <t>23.43</t>
        </is>
      </c>
      <c r="L762" s="12" t="n">
        <v>45949</v>
      </c>
      <c r="M762" s="12" t="n">
        <v>45689</v>
      </c>
      <c r="N762" s="13" t="inlineStr"/>
      <c r="O762" s="13" t="inlineStr"/>
      <c r="P762" s="12" t="n"/>
    </row>
    <row r="763" ht="39.6" customHeight="1">
      <c r="A763" s="15" t="inlineStr">
        <is>
          <t>AU22543</t>
        </is>
      </c>
      <c r="B763" s="16" t="n">
        <v>44788</v>
      </c>
      <c r="C763" s="15" t="inlineStr">
        <is>
          <t>Customer Call Operator</t>
        </is>
      </c>
      <c r="D763" s="15" t="inlineStr">
        <is>
          <t>NSW Support Services EA</t>
        </is>
      </c>
      <c r="E763" s="15" t="inlineStr">
        <is>
          <t>CA - Casual</t>
        </is>
      </c>
      <c r="F763" s="15" t="inlineStr">
        <is>
          <t>IVFA</t>
        </is>
      </c>
      <c r="G763" s="15" t="inlineStr">
        <is>
          <t>New South Wales</t>
        </is>
      </c>
      <c r="H763" s="17" t="inlineStr"/>
      <c r="I763" s="15" t="inlineStr">
        <is>
          <t>IVF Australia Pty Ltd</t>
        </is>
      </c>
      <c r="J763" s="18" t="n">
        <v>23.76</v>
      </c>
      <c r="K763" s="17" t="inlineStr">
        <is>
          <t>23.76</t>
        </is>
      </c>
      <c r="L763" s="16" t="n">
        <v>45837</v>
      </c>
      <c r="M763" s="16" t="n">
        <v>44788</v>
      </c>
      <c r="N763" s="17" t="inlineStr"/>
      <c r="O763" s="17" t="inlineStr"/>
      <c r="P763" s="16" t="n"/>
    </row>
    <row r="764" ht="66" customHeight="1">
      <c r="A764" s="11" t="inlineStr">
        <is>
          <t>AU22958</t>
        </is>
      </c>
      <c r="B764" s="12" t="n">
        <v>45140</v>
      </c>
      <c r="C764" s="11" t="inlineStr">
        <is>
          <t>Registered Nurse</t>
        </is>
      </c>
      <c r="D764" s="11" t="inlineStr">
        <is>
          <t>NSW Nurse EA</t>
        </is>
      </c>
      <c r="E764" s="11" t="inlineStr">
        <is>
          <t>CA - Casual</t>
        </is>
      </c>
      <c r="F764" s="11" t="inlineStr">
        <is>
          <t>Day Hospitals</t>
        </is>
      </c>
      <c r="G764" s="11" t="inlineStr">
        <is>
          <t>New South Wales</t>
        </is>
      </c>
      <c r="H764" s="13" t="inlineStr"/>
      <c r="I764" s="11" t="inlineStr">
        <is>
          <t>Alexandria Specialist Day Hospital Pty Ltd</t>
        </is>
      </c>
      <c r="J764" s="14" t="n">
        <v>23.87</v>
      </c>
      <c r="K764" s="13" t="inlineStr">
        <is>
          <t>23.87</t>
        </is>
      </c>
      <c r="L764" s="12" t="n">
        <v>45949</v>
      </c>
      <c r="M764" s="12" t="n">
        <v>45140</v>
      </c>
      <c r="N764" s="13" t="inlineStr"/>
      <c r="O764" s="13" t="inlineStr"/>
      <c r="P764" s="12" t="n"/>
    </row>
    <row r="765" ht="39.6" customHeight="1">
      <c r="A765" s="15" t="inlineStr">
        <is>
          <t>AU23501</t>
        </is>
      </c>
      <c r="B765" s="16" t="n">
        <v>45685</v>
      </c>
      <c r="C765" s="15" t="inlineStr">
        <is>
          <t>Medical Secretary</t>
        </is>
      </c>
      <c r="D765" s="15" t="inlineStr">
        <is>
          <t>NSW Support Services EA</t>
        </is>
      </c>
      <c r="E765" s="15" t="inlineStr">
        <is>
          <t>FT - Full-time Waged</t>
        </is>
      </c>
      <c r="F765" s="15" t="inlineStr">
        <is>
          <t>IVFA</t>
        </is>
      </c>
      <c r="G765" s="15" t="inlineStr">
        <is>
          <t>New South Wales</t>
        </is>
      </c>
      <c r="H765" s="17" t="inlineStr">
        <is>
          <t>76.00</t>
        </is>
      </c>
      <c r="I765" s="15" t="inlineStr">
        <is>
          <t>IVF Australia Pty Ltd</t>
        </is>
      </c>
      <c r="J765" s="18" t="n">
        <v>23.91</v>
      </c>
      <c r="K765" s="17" t="inlineStr">
        <is>
          <t>23.91</t>
        </is>
      </c>
      <c r="L765" s="16" t="n">
        <v>45949</v>
      </c>
      <c r="M765" s="16" t="n">
        <v>45685</v>
      </c>
      <c r="N765" s="17" t="inlineStr"/>
      <c r="O765" s="17" t="inlineStr"/>
      <c r="P765" s="16" t="n"/>
    </row>
    <row r="766" ht="66" customHeight="1">
      <c r="A766" s="11" t="n">
        <v>30356</v>
      </c>
      <c r="B766" s="12" t="n">
        <v>43873</v>
      </c>
      <c r="C766" s="11" t="inlineStr">
        <is>
          <t>Registered Nurse</t>
        </is>
      </c>
      <c r="D766" s="11" t="inlineStr">
        <is>
          <t>NSW Nurse EA</t>
        </is>
      </c>
      <c r="E766" s="11" t="inlineStr">
        <is>
          <t>CA - Casual</t>
        </is>
      </c>
      <c r="F766" s="11" t="inlineStr">
        <is>
          <t>Day Hospitals</t>
        </is>
      </c>
      <c r="G766" s="11" t="inlineStr">
        <is>
          <t>New South Wales</t>
        </is>
      </c>
      <c r="H766" s="13" t="inlineStr"/>
      <c r="I766" s="11" t="inlineStr">
        <is>
          <t>North Shore Specialist Day Hospital Pty Ltd</t>
        </is>
      </c>
      <c r="J766" s="14" t="n">
        <v>23.97</v>
      </c>
      <c r="K766" s="13" t="inlineStr">
        <is>
          <t>23.97</t>
        </is>
      </c>
      <c r="L766" s="12" t="n">
        <v>45921</v>
      </c>
      <c r="M766" s="12" t="n">
        <v>43873</v>
      </c>
      <c r="N766" s="13" t="inlineStr"/>
      <c r="O766" s="13" t="inlineStr"/>
      <c r="P766" s="12" t="n"/>
    </row>
    <row r="767" ht="66" customHeight="1">
      <c r="A767" s="15" t="inlineStr">
        <is>
          <t>AU23836</t>
        </is>
      </c>
      <c r="B767" s="16" t="n">
        <v>45908</v>
      </c>
      <c r="C767" s="15" t="inlineStr">
        <is>
          <t>Registered Nurse</t>
        </is>
      </c>
      <c r="D767" s="15" t="inlineStr">
        <is>
          <t>NSW Nurse EA</t>
        </is>
      </c>
      <c r="E767" s="15" t="inlineStr">
        <is>
          <t>PP - Part-time Waged</t>
        </is>
      </c>
      <c r="F767" s="15" t="inlineStr">
        <is>
          <t>Day Hospitals</t>
        </is>
      </c>
      <c r="G767" s="15" t="inlineStr">
        <is>
          <t>New South Wales</t>
        </is>
      </c>
      <c r="H767" s="17" t="inlineStr">
        <is>
          <t>14.00</t>
        </is>
      </c>
      <c r="I767" s="15" t="inlineStr">
        <is>
          <t>Alexandria Specialist Day Hospital Pty Ltd</t>
        </is>
      </c>
      <c r="J767" s="18" t="n">
        <v>24.04</v>
      </c>
      <c r="K767" s="17" t="inlineStr">
        <is>
          <t>24.04</t>
        </is>
      </c>
      <c r="L767" s="16" t="n">
        <v>45949</v>
      </c>
      <c r="M767" s="16" t="n">
        <v>45439</v>
      </c>
      <c r="N767" s="17" t="inlineStr"/>
      <c r="O767" s="17" t="inlineStr"/>
      <c r="P767" s="16" t="n"/>
    </row>
    <row r="768" ht="39.6" customHeight="1">
      <c r="A768" s="11" t="n">
        <v>19802</v>
      </c>
      <c r="B768" s="12" t="n">
        <v>37659</v>
      </c>
      <c r="C768" s="11" t="inlineStr">
        <is>
          <t>Nurse Unit Manager</t>
        </is>
      </c>
      <c r="D768" s="11" t="inlineStr">
        <is>
          <t>NSW Nurse EA</t>
        </is>
      </c>
      <c r="E768" s="11" t="inlineStr">
        <is>
          <t>FT - Full-time Waged</t>
        </is>
      </c>
      <c r="F768" s="11" t="inlineStr">
        <is>
          <t>IVFA</t>
        </is>
      </c>
      <c r="G768" s="11" t="inlineStr">
        <is>
          <t>New South Wales</t>
        </is>
      </c>
      <c r="H768" s="13" t="inlineStr">
        <is>
          <t>76.00</t>
        </is>
      </c>
      <c r="I768" s="11" t="inlineStr">
        <is>
          <t>IVF Australia Pty Ltd</t>
        </is>
      </c>
      <c r="J768" s="14" t="n">
        <v>343.48</v>
      </c>
      <c r="K768" s="13" t="inlineStr">
        <is>
          <t>24.07</t>
        </is>
      </c>
      <c r="L768" s="12" t="n">
        <v>45949</v>
      </c>
      <c r="M768" s="12" t="n">
        <v>45695</v>
      </c>
      <c r="N768" s="13" t="inlineStr">
        <is>
          <t>319.41</t>
        </is>
      </c>
      <c r="O768" s="13" t="inlineStr"/>
      <c r="P768" s="12" t="n"/>
    </row>
    <row r="769" ht="52.8" customHeight="1">
      <c r="A769" s="15" t="inlineStr">
        <is>
          <t>AU23109</t>
        </is>
      </c>
      <c r="B769" s="16" t="n">
        <v>45355</v>
      </c>
      <c r="C769" s="15" t="inlineStr">
        <is>
          <t>Genetic Scientist</t>
        </is>
      </c>
      <c r="D769" s="15" t="inlineStr">
        <is>
          <t>QLD Scientists EA</t>
        </is>
      </c>
      <c r="E769" s="15" t="inlineStr">
        <is>
          <t>CA - Casual</t>
        </is>
      </c>
      <c r="F769" s="15" t="inlineStr">
        <is>
          <t>Diagnostics</t>
        </is>
      </c>
      <c r="G769" s="15" t="inlineStr">
        <is>
          <t>Queensland</t>
        </is>
      </c>
      <c r="H769" s="17" t="inlineStr"/>
      <c r="I769" s="15" t="inlineStr">
        <is>
          <t>Queensland Fertility Group Pty Ltd</t>
        </is>
      </c>
      <c r="J769" s="18" t="n">
        <v>24.15</v>
      </c>
      <c r="K769" s="17" t="inlineStr">
        <is>
          <t>24.15</t>
        </is>
      </c>
      <c r="L769" s="16" t="n">
        <v>45949</v>
      </c>
      <c r="M769" s="16" t="n">
        <v>45355</v>
      </c>
      <c r="N769" s="17" t="inlineStr"/>
      <c r="O769" s="17" t="inlineStr"/>
      <c r="P769" s="16" t="n"/>
    </row>
    <row r="770" ht="39.6" customHeight="1">
      <c r="A770" s="11" t="inlineStr">
        <is>
          <t>AU22796</t>
        </is>
      </c>
      <c r="B770" s="12" t="n">
        <v>45006</v>
      </c>
      <c r="C770" s="11" t="inlineStr">
        <is>
          <t>Administration Clerk</t>
        </is>
      </c>
      <c r="D770" s="11" t="inlineStr">
        <is>
          <t>NSW Support Services EA</t>
        </is>
      </c>
      <c r="E770" s="11" t="inlineStr">
        <is>
          <t>CA - Casual</t>
        </is>
      </c>
      <c r="F770" s="11" t="inlineStr">
        <is>
          <t>Day Hospitals</t>
        </is>
      </c>
      <c r="G770" s="11" t="inlineStr">
        <is>
          <t>New South Wales</t>
        </is>
      </c>
      <c r="H770" s="13" t="inlineStr"/>
      <c r="I770" s="11" t="inlineStr">
        <is>
          <t>City West Day Surgery</t>
        </is>
      </c>
      <c r="J770" s="14" t="n">
        <v>24.29</v>
      </c>
      <c r="K770" s="13" t="inlineStr">
        <is>
          <t>24.29</t>
        </is>
      </c>
      <c r="L770" s="12" t="n">
        <v>45935</v>
      </c>
      <c r="M770" s="12" t="n">
        <v>45006</v>
      </c>
      <c r="N770" s="13" t="inlineStr"/>
      <c r="O770" s="13" t="inlineStr"/>
      <c r="P770" s="12" t="n"/>
    </row>
    <row r="771" ht="66" customHeight="1">
      <c r="A771" s="15" t="inlineStr">
        <is>
          <t>AU22980</t>
        </is>
      </c>
      <c r="B771" s="16" t="n">
        <v>45165</v>
      </c>
      <c r="C771" s="15" t="inlineStr">
        <is>
          <t>Enrolled Nurse</t>
        </is>
      </c>
      <c r="D771" s="15" t="inlineStr">
        <is>
          <t>NSW Nurse EA</t>
        </is>
      </c>
      <c r="E771" s="15" t="inlineStr">
        <is>
          <t>CA - Casual</t>
        </is>
      </c>
      <c r="F771" s="15" t="inlineStr">
        <is>
          <t>Day Hospitals</t>
        </is>
      </c>
      <c r="G771" s="15" t="inlineStr">
        <is>
          <t>New South Wales</t>
        </is>
      </c>
      <c r="H771" s="17" t="inlineStr"/>
      <c r="I771" s="15" t="inlineStr">
        <is>
          <t>Alexandria Specialist Day Hospital Pty Ltd</t>
        </is>
      </c>
      <c r="J771" s="18" t="n">
        <v>24.56</v>
      </c>
      <c r="K771" s="17" t="inlineStr">
        <is>
          <t>24.56</t>
        </is>
      </c>
      <c r="L771" s="16" t="n">
        <v>45935</v>
      </c>
      <c r="M771" s="16" t="n">
        <v>45165</v>
      </c>
      <c r="N771" s="17" t="inlineStr"/>
      <c r="O771" s="17" t="inlineStr"/>
      <c r="P771" s="16" t="n"/>
    </row>
    <row r="772" ht="52.8" customHeight="1">
      <c r="A772" s="11" t="inlineStr">
        <is>
          <t>AU23553</t>
        </is>
      </c>
      <c r="B772" s="12" t="n">
        <v>45754</v>
      </c>
      <c r="C772" s="11" t="inlineStr">
        <is>
          <t>Registered Nurse</t>
        </is>
      </c>
      <c r="D772" s="11" t="inlineStr">
        <is>
          <t>QLD Nurse EA</t>
        </is>
      </c>
      <c r="E772" s="11" t="inlineStr">
        <is>
          <t>PP - Part-time Waged</t>
        </is>
      </c>
      <c r="F772" s="11" t="inlineStr">
        <is>
          <t>Queensland Fertility Group</t>
        </is>
      </c>
      <c r="G772" s="11" t="inlineStr">
        <is>
          <t>Queensland</t>
        </is>
      </c>
      <c r="H772" s="13" t="inlineStr">
        <is>
          <t>60.80</t>
        </is>
      </c>
      <c r="I772" s="11" t="inlineStr">
        <is>
          <t>Queensland Fertility Group Pty Ltd</t>
        </is>
      </c>
      <c r="J772" s="14" t="n">
        <v>24.56</v>
      </c>
      <c r="K772" s="13" t="inlineStr">
        <is>
          <t>24.56</t>
        </is>
      </c>
      <c r="L772" s="12" t="n">
        <v>45949</v>
      </c>
      <c r="M772" s="12" t="n">
        <v>45754</v>
      </c>
      <c r="N772" s="13" t="inlineStr"/>
      <c r="O772" s="13" t="inlineStr"/>
      <c r="P772" s="12" t="n"/>
    </row>
    <row r="773" ht="52.8" customHeight="1">
      <c r="A773" s="15" t="inlineStr">
        <is>
          <t>AU23455</t>
        </is>
      </c>
      <c r="B773" s="16" t="n">
        <v>45677</v>
      </c>
      <c r="C773" s="15" t="inlineStr">
        <is>
          <t>Head of Donor Program</t>
        </is>
      </c>
      <c r="D773" s="15" t="inlineStr">
        <is>
          <t>Common Law Employment Contract</t>
        </is>
      </c>
      <c r="E773" s="15" t="inlineStr">
        <is>
          <t>FP - Full-time Salaried</t>
        </is>
      </c>
      <c r="F773" s="15" t="inlineStr">
        <is>
          <t>Corporate Services</t>
        </is>
      </c>
      <c r="G773" s="15" t="inlineStr">
        <is>
          <t>Victoria</t>
        </is>
      </c>
      <c r="H773" s="17" t="inlineStr">
        <is>
          <t>76.00</t>
        </is>
      </c>
      <c r="I773" s="15" t="inlineStr">
        <is>
          <t>IVF Australia Pty Ltd</t>
        </is>
      </c>
      <c r="J773" s="18" t="n">
        <v>678.1</v>
      </c>
      <c r="K773" s="17" t="inlineStr">
        <is>
          <t>24.70</t>
        </is>
      </c>
      <c r="L773" s="16" t="n">
        <v>45949</v>
      </c>
      <c r="M773" s="16" t="n">
        <v>45677</v>
      </c>
      <c r="N773" s="17" t="inlineStr">
        <is>
          <t>653.40</t>
        </is>
      </c>
      <c r="O773" s="17" t="inlineStr"/>
      <c r="P773" s="16" t="n"/>
    </row>
    <row r="774" ht="79.2" customHeight="1">
      <c r="A774" s="11" t="inlineStr">
        <is>
          <t>AU23389</t>
        </is>
      </c>
      <c r="B774" s="12" t="n">
        <v>45670</v>
      </c>
      <c r="C774" s="11" t="inlineStr">
        <is>
          <t>National Quality Manager (Virtus Diagnostics)</t>
        </is>
      </c>
      <c r="D774" s="11" t="inlineStr">
        <is>
          <t>Common Law Employment Contract</t>
        </is>
      </c>
      <c r="E774" s="11" t="inlineStr">
        <is>
          <t>FP - Full-time Salaried</t>
        </is>
      </c>
      <c r="F774" s="11" t="inlineStr">
        <is>
          <t>Diagnostics</t>
        </is>
      </c>
      <c r="G774" s="11" t="inlineStr">
        <is>
          <t>New South Wales</t>
        </is>
      </c>
      <c r="H774" s="13" t="inlineStr">
        <is>
          <t>76.00</t>
        </is>
      </c>
      <c r="I774" s="11" t="inlineStr">
        <is>
          <t>Virtus Health Specialist Diagnostics</t>
        </is>
      </c>
      <c r="J774" s="14" t="n">
        <v>25.08</v>
      </c>
      <c r="K774" s="13" t="inlineStr">
        <is>
          <t>25.08</t>
        </is>
      </c>
      <c r="L774" s="12" t="n">
        <v>45949</v>
      </c>
      <c r="M774" s="12" t="n">
        <v>45670</v>
      </c>
      <c r="N774" s="13" t="inlineStr"/>
      <c r="O774" s="13" t="inlineStr"/>
      <c r="P774" s="12" t="n"/>
    </row>
    <row r="775" ht="39.6" customHeight="1">
      <c r="A775" s="15" t="inlineStr">
        <is>
          <t>AU23002</t>
        </is>
      </c>
      <c r="B775" s="16" t="n">
        <v>45215</v>
      </c>
      <c r="C775" s="15" t="inlineStr">
        <is>
          <t>Medical Secretary</t>
        </is>
      </c>
      <c r="D775" s="15" t="inlineStr">
        <is>
          <t>NSW Support Services EA</t>
        </is>
      </c>
      <c r="E775" s="15" t="inlineStr">
        <is>
          <t>PP - Part-time Waged</t>
        </is>
      </c>
      <c r="F775" s="15" t="inlineStr">
        <is>
          <t>IVFA</t>
        </is>
      </c>
      <c r="G775" s="15" t="inlineStr">
        <is>
          <t>New South Wales</t>
        </is>
      </c>
      <c r="H775" s="17" t="inlineStr">
        <is>
          <t>57.00</t>
        </is>
      </c>
      <c r="I775" s="15" t="inlineStr">
        <is>
          <t>IVF Australia Pty Ltd</t>
        </is>
      </c>
      <c r="J775" s="18" t="n">
        <v>25.27</v>
      </c>
      <c r="K775" s="17" t="inlineStr">
        <is>
          <t>25.27</t>
        </is>
      </c>
      <c r="L775" s="16" t="n">
        <v>45949</v>
      </c>
      <c r="M775" s="16" t="n">
        <v>45215</v>
      </c>
      <c r="N775" s="17" t="inlineStr"/>
      <c r="O775" s="17" t="inlineStr"/>
      <c r="P775" s="16" t="n"/>
    </row>
    <row r="776" ht="52.8" customHeight="1">
      <c r="A776" s="11" t="inlineStr">
        <is>
          <t>AU23540</t>
        </is>
      </c>
      <c r="B776" s="12" t="n">
        <v>45712</v>
      </c>
      <c r="C776" s="11" t="inlineStr">
        <is>
          <t>Assistant in Nursing</t>
        </is>
      </c>
      <c r="D776" s="11" t="inlineStr">
        <is>
          <t>QLD Nurse EA</t>
        </is>
      </c>
      <c r="E776" s="11" t="inlineStr">
        <is>
          <t>CA - Casual</t>
        </is>
      </c>
      <c r="F776" s="11" t="inlineStr">
        <is>
          <t>Day Hospitals</t>
        </is>
      </c>
      <c r="G776" s="11" t="inlineStr">
        <is>
          <t>Queensland</t>
        </is>
      </c>
      <c r="H776" s="13" t="inlineStr"/>
      <c r="I776" s="11" t="inlineStr">
        <is>
          <t>Spring Hill Specialist Day Hospital</t>
        </is>
      </c>
      <c r="J776" s="14" t="n">
        <v>25.3</v>
      </c>
      <c r="K776" s="13" t="inlineStr">
        <is>
          <t>25.30</t>
        </is>
      </c>
      <c r="L776" s="12" t="n">
        <v>45949</v>
      </c>
      <c r="M776" s="12" t="n">
        <v>45348</v>
      </c>
      <c r="N776" s="13" t="inlineStr"/>
      <c r="O776" s="13" t="inlineStr"/>
      <c r="P776" s="12" t="n"/>
    </row>
    <row r="777" ht="52.8" customHeight="1">
      <c r="A777" s="15" t="inlineStr">
        <is>
          <t>AU23478</t>
        </is>
      </c>
      <c r="B777" s="16" t="n">
        <v>45670</v>
      </c>
      <c r="C777" s="15" t="inlineStr">
        <is>
          <t>Managing Director IVF Australia</t>
        </is>
      </c>
      <c r="D777" s="15" t="inlineStr">
        <is>
          <t>Common Law Employment Contract</t>
        </is>
      </c>
      <c r="E777" s="15" t="inlineStr">
        <is>
          <t>FP - Full-time Salaried</t>
        </is>
      </c>
      <c r="F777" s="15" t="inlineStr">
        <is>
          <t>Corporate Services</t>
        </is>
      </c>
      <c r="G777" s="15" t="inlineStr">
        <is>
          <t>New South Wales</t>
        </is>
      </c>
      <c r="H777" s="17" t="inlineStr">
        <is>
          <t>76.00</t>
        </is>
      </c>
      <c r="I777" s="15" t="inlineStr">
        <is>
          <t>IVF Australia Pty Ltd</t>
        </is>
      </c>
      <c r="J777" s="18" t="n">
        <v>25.33</v>
      </c>
      <c r="K777" s="17" t="inlineStr">
        <is>
          <t>25.33</t>
        </is>
      </c>
      <c r="L777" s="16" t="n">
        <v>45949</v>
      </c>
      <c r="M777" s="16" t="n">
        <v>45670</v>
      </c>
      <c r="N777" s="17" t="inlineStr"/>
      <c r="O777" s="17" t="inlineStr"/>
      <c r="P777" s="16" t="n"/>
    </row>
    <row r="778" ht="26.4" customHeight="1">
      <c r="A778" s="11" t="inlineStr">
        <is>
          <t>AU22728</t>
        </is>
      </c>
      <c r="B778" s="12" t="n">
        <v>44963</v>
      </c>
      <c r="C778" s="11" t="inlineStr">
        <is>
          <t>Registered Nurse</t>
        </is>
      </c>
      <c r="D778" s="11" t="inlineStr">
        <is>
          <t>NSW Nurse EA</t>
        </is>
      </c>
      <c r="E778" s="11" t="inlineStr">
        <is>
          <t>CA - Casual</t>
        </is>
      </c>
      <c r="F778" s="11" t="inlineStr">
        <is>
          <t>Day Hospitals</t>
        </is>
      </c>
      <c r="G778" s="11" t="inlineStr">
        <is>
          <t>New South Wales</t>
        </is>
      </c>
      <c r="H778" s="13" t="inlineStr"/>
      <c r="I778" s="11" t="inlineStr">
        <is>
          <t>City West Day Surgery</t>
        </is>
      </c>
      <c r="J778" s="14" t="n">
        <v>25.38</v>
      </c>
      <c r="K778" s="13" t="inlineStr">
        <is>
          <t>25.38</t>
        </is>
      </c>
      <c r="L778" s="12" t="n">
        <v>45949</v>
      </c>
      <c r="M778" s="12" t="n">
        <v>44963</v>
      </c>
      <c r="N778" s="13" t="inlineStr"/>
      <c r="O778" s="13" t="inlineStr"/>
      <c r="P778" s="12" t="n"/>
    </row>
    <row r="779" ht="52.8" customHeight="1">
      <c r="A779" s="15" t="inlineStr">
        <is>
          <t>AU23435</t>
        </is>
      </c>
      <c r="B779" s="16" t="n">
        <v>45663</v>
      </c>
      <c r="C779" s="15" t="inlineStr">
        <is>
          <t xml:space="preserve">Senior Scientists Team Leader </t>
        </is>
      </c>
      <c r="D779" s="15" t="inlineStr">
        <is>
          <t>QLD Scientists EA</t>
        </is>
      </c>
      <c r="E779" s="15" t="inlineStr">
        <is>
          <t>FT - Full-time Waged</t>
        </is>
      </c>
      <c r="F779" s="15" t="inlineStr">
        <is>
          <t>Queensland Fertility Group</t>
        </is>
      </c>
      <c r="G779" s="15" t="inlineStr">
        <is>
          <t>Queensland</t>
        </is>
      </c>
      <c r="H779" s="17" t="inlineStr">
        <is>
          <t>76.00</t>
        </is>
      </c>
      <c r="I779" s="15" t="inlineStr">
        <is>
          <t>Queensland Fertility Group Pty Ltd</t>
        </is>
      </c>
      <c r="J779" s="18" t="n">
        <v>25.58</v>
      </c>
      <c r="K779" s="17" t="inlineStr">
        <is>
          <t>25.58</t>
        </is>
      </c>
      <c r="L779" s="16" t="n">
        <v>45949</v>
      </c>
      <c r="M779" s="16" t="n">
        <v>45663</v>
      </c>
      <c r="N779" s="17" t="inlineStr"/>
      <c r="O779" s="17" t="inlineStr"/>
      <c r="P779" s="16" t="n"/>
    </row>
    <row r="780" ht="52.8" customHeight="1">
      <c r="A780" s="11" t="inlineStr">
        <is>
          <t>AU23386</t>
        </is>
      </c>
      <c r="B780" s="12" t="n">
        <v>45558</v>
      </c>
      <c r="C780" s="11" t="inlineStr">
        <is>
          <t>Enrolled Nurse</t>
        </is>
      </c>
      <c r="D780" s="11" t="inlineStr">
        <is>
          <t>QLD Nurse EA</t>
        </is>
      </c>
      <c r="E780" s="11" t="inlineStr">
        <is>
          <t>CA - Casual</t>
        </is>
      </c>
      <c r="F780" s="11" t="inlineStr">
        <is>
          <t>Day Hospitals</t>
        </is>
      </c>
      <c r="G780" s="11" t="inlineStr">
        <is>
          <t>Queensland</t>
        </is>
      </c>
      <c r="H780" s="13" t="inlineStr"/>
      <c r="I780" s="11" t="inlineStr">
        <is>
          <t>Spring Hill Specialist Day Hospital</t>
        </is>
      </c>
      <c r="J780" s="14" t="n">
        <v>25.81</v>
      </c>
      <c r="K780" s="13" t="inlineStr">
        <is>
          <t>25.81</t>
        </is>
      </c>
      <c r="L780" s="12" t="n">
        <v>45935</v>
      </c>
      <c r="M780" s="12" t="n">
        <v>45558</v>
      </c>
      <c r="N780" s="13" t="inlineStr"/>
      <c r="O780" s="13" t="inlineStr"/>
      <c r="P780" s="12" t="n"/>
    </row>
    <row r="781" ht="66" customHeight="1">
      <c r="A781" s="15" t="n">
        <v>30076</v>
      </c>
      <c r="B781" s="16" t="n">
        <v>40800</v>
      </c>
      <c r="C781" s="15" t="inlineStr">
        <is>
          <t>Administration Clerk</t>
        </is>
      </c>
      <c r="D781" s="15" t="inlineStr">
        <is>
          <t>NSW Support Services EA</t>
        </is>
      </c>
      <c r="E781" s="15" t="inlineStr">
        <is>
          <t>CA - Casual</t>
        </is>
      </c>
      <c r="F781" s="15" t="inlineStr">
        <is>
          <t>Day Hospitals</t>
        </is>
      </c>
      <c r="G781" s="15" t="inlineStr">
        <is>
          <t>New South Wales</t>
        </is>
      </c>
      <c r="H781" s="17" t="inlineStr"/>
      <c r="I781" s="15" t="inlineStr">
        <is>
          <t>North Shore Specialist Day Hospital Pty Ltd</t>
        </is>
      </c>
      <c r="J781" s="18" t="n">
        <v>68.43000000000001</v>
      </c>
      <c r="K781" s="17" t="inlineStr">
        <is>
          <t>25.82</t>
        </is>
      </c>
      <c r="L781" s="16" t="n">
        <v>45949</v>
      </c>
      <c r="M781" s="16" t="n">
        <v>44453</v>
      </c>
      <c r="N781" s="17" t="inlineStr">
        <is>
          <t>42.61</t>
        </is>
      </c>
      <c r="O781" s="17" t="inlineStr"/>
      <c r="P781" s="16" t="n"/>
    </row>
    <row r="782" ht="52.8" customHeight="1">
      <c r="A782" s="11" t="n">
        <v>60162</v>
      </c>
      <c r="B782" s="12" t="n">
        <v>44025</v>
      </c>
      <c r="C782" s="11" t="inlineStr">
        <is>
          <t>Registered Nurse</t>
        </is>
      </c>
      <c r="D782" s="11" t="inlineStr">
        <is>
          <t>QLD Nurse EA</t>
        </is>
      </c>
      <c r="E782" s="11" t="inlineStr">
        <is>
          <t>CA - Casual</t>
        </is>
      </c>
      <c r="F782" s="11" t="inlineStr">
        <is>
          <t>Day Hospitals</t>
        </is>
      </c>
      <c r="G782" s="11" t="inlineStr">
        <is>
          <t>Queensland</t>
        </is>
      </c>
      <c r="H782" s="13" t="inlineStr"/>
      <c r="I782" s="11" t="inlineStr">
        <is>
          <t>Spring Hill Specialist Day Hospital</t>
        </is>
      </c>
      <c r="J782" s="14" t="n">
        <v>25.87</v>
      </c>
      <c r="K782" s="13" t="inlineStr">
        <is>
          <t>25.87</t>
        </is>
      </c>
      <c r="L782" s="12" t="n">
        <v>45949</v>
      </c>
      <c r="M782" s="12" t="n">
        <v>44025</v>
      </c>
      <c r="N782" s="13" t="inlineStr"/>
      <c r="O782" s="13" t="inlineStr"/>
      <c r="P782" s="12" t="n"/>
    </row>
    <row r="783" ht="39.6" customHeight="1">
      <c r="A783" s="15" t="inlineStr">
        <is>
          <t>AU23178</t>
        </is>
      </c>
      <c r="B783" s="16" t="n">
        <v>45406</v>
      </c>
      <c r="C783" s="15" t="inlineStr">
        <is>
          <t>Administration Officer</t>
        </is>
      </c>
      <c r="D783" s="15" t="inlineStr">
        <is>
          <t>NSW Support Services EA</t>
        </is>
      </c>
      <c r="E783" s="15" t="inlineStr">
        <is>
          <t>CA - Casual</t>
        </is>
      </c>
      <c r="F783" s="15" t="inlineStr">
        <is>
          <t>IVFA</t>
        </is>
      </c>
      <c r="G783" s="15" t="inlineStr">
        <is>
          <t>New South Wales</t>
        </is>
      </c>
      <c r="H783" s="17" t="inlineStr"/>
      <c r="I783" s="15" t="inlineStr">
        <is>
          <t>IVF Australia Pty Ltd</t>
        </is>
      </c>
      <c r="J783" s="18" t="n">
        <v>25.92</v>
      </c>
      <c r="K783" s="17" t="inlineStr">
        <is>
          <t>25.92</t>
        </is>
      </c>
      <c r="L783" s="16" t="n">
        <v>45949</v>
      </c>
      <c r="M783" s="16" t="n">
        <v>45406</v>
      </c>
      <c r="N783" s="17" t="inlineStr"/>
      <c r="O783" s="17" t="inlineStr"/>
      <c r="P783" s="16" t="n"/>
    </row>
    <row r="784" ht="66" customHeight="1">
      <c r="A784" s="11" t="inlineStr">
        <is>
          <t>AU23324</t>
        </is>
      </c>
      <c r="B784" s="12" t="n">
        <v>45530</v>
      </c>
      <c r="C784" s="11" t="inlineStr">
        <is>
          <t>Registered Nurse</t>
        </is>
      </c>
      <c r="D784" s="11" t="inlineStr">
        <is>
          <t>NSW Nurse EA</t>
        </is>
      </c>
      <c r="E784" s="11" t="inlineStr">
        <is>
          <t>CO - Contract</t>
        </is>
      </c>
      <c r="F784" s="11" t="inlineStr">
        <is>
          <t>Day Hospitals</t>
        </is>
      </c>
      <c r="G784" s="11" t="inlineStr">
        <is>
          <t>New South Wales</t>
        </is>
      </c>
      <c r="H784" s="13" t="inlineStr">
        <is>
          <t>64.00</t>
        </is>
      </c>
      <c r="I784" s="11" t="inlineStr">
        <is>
          <t>North Shore Specialist Day Hospital Pty Ltd</t>
        </is>
      </c>
      <c r="J784" s="14" t="n">
        <v>26.72</v>
      </c>
      <c r="K784" s="13" t="inlineStr">
        <is>
          <t>26.72</t>
        </is>
      </c>
      <c r="L784" s="12" t="n">
        <v>45949</v>
      </c>
      <c r="M784" s="12" t="n">
        <v>45530</v>
      </c>
      <c r="N784" s="13" t="inlineStr"/>
      <c r="O784" s="13" t="inlineStr"/>
      <c r="P784" s="12" t="n"/>
    </row>
    <row r="785" ht="79.2" customHeight="1">
      <c r="A785" s="15" t="inlineStr">
        <is>
          <t>AU23421</t>
        </is>
      </c>
      <c r="B785" s="16" t="n">
        <v>45600</v>
      </c>
      <c r="C785" s="15" t="inlineStr">
        <is>
          <t>Administration</t>
        </is>
      </c>
      <c r="D785" s="15" t="inlineStr">
        <is>
          <t>Health Professionals and Support Services Award</t>
        </is>
      </c>
      <c r="E785" s="15" t="inlineStr">
        <is>
          <t>PP - Part-time Waged</t>
        </is>
      </c>
      <c r="F785" s="15" t="inlineStr">
        <is>
          <t>The Fertility Centre</t>
        </is>
      </c>
      <c r="G785" s="15" t="inlineStr">
        <is>
          <t>Queensland</t>
        </is>
      </c>
      <c r="H785" s="17" t="inlineStr">
        <is>
          <t>64.00</t>
        </is>
      </c>
      <c r="I785" s="15" t="inlineStr">
        <is>
          <t>Queensland Fertility Group Pty Ltd</t>
        </is>
      </c>
      <c r="J785" s="18" t="n">
        <v>26.74</v>
      </c>
      <c r="K785" s="17" t="inlineStr">
        <is>
          <t>26.74</t>
        </is>
      </c>
      <c r="L785" s="16" t="n">
        <v>45949</v>
      </c>
      <c r="M785" s="16" t="n">
        <v>45530</v>
      </c>
      <c r="N785" s="17" t="inlineStr"/>
      <c r="O785" s="17" t="inlineStr"/>
      <c r="P785" s="16" t="n"/>
    </row>
    <row r="786" ht="39.6" customHeight="1">
      <c r="A786" s="11" t="inlineStr">
        <is>
          <t>AU23419</t>
        </is>
      </c>
      <c r="B786" s="12" t="n">
        <v>45628</v>
      </c>
      <c r="C786" s="11" t="inlineStr">
        <is>
          <t>Nurse Coordinator</t>
        </is>
      </c>
      <c r="D786" s="11" t="inlineStr">
        <is>
          <t>NSW Nurse EA</t>
        </is>
      </c>
      <c r="E786" s="11" t="inlineStr">
        <is>
          <t>CO - Contract</t>
        </is>
      </c>
      <c r="F786" s="11" t="inlineStr">
        <is>
          <t>IVFA</t>
        </is>
      </c>
      <c r="G786" s="11" t="inlineStr">
        <is>
          <t>New South Wales</t>
        </is>
      </c>
      <c r="H786" s="13" t="inlineStr">
        <is>
          <t>57.00</t>
        </is>
      </c>
      <c r="I786" s="11" t="inlineStr">
        <is>
          <t>IVF Australia Pty Ltd</t>
        </is>
      </c>
      <c r="J786" s="14" t="n">
        <v>27.08</v>
      </c>
      <c r="K786" s="13" t="inlineStr">
        <is>
          <t>27.08</t>
        </is>
      </c>
      <c r="L786" s="12" t="n">
        <v>45949</v>
      </c>
      <c r="M786" s="12" t="n">
        <v>45628</v>
      </c>
      <c r="N786" s="13" t="inlineStr"/>
      <c r="O786" s="13" t="inlineStr"/>
      <c r="P786" s="12" t="n"/>
    </row>
    <row r="787" ht="39.6" customHeight="1">
      <c r="A787" s="15" t="inlineStr">
        <is>
          <t>AU23418</t>
        </is>
      </c>
      <c r="B787" s="16" t="n">
        <v>45593</v>
      </c>
      <c r="C787" s="15" t="inlineStr">
        <is>
          <t>Registered Nurse</t>
        </is>
      </c>
      <c r="D787" s="15" t="inlineStr">
        <is>
          <t>NSW Nurse EA</t>
        </is>
      </c>
      <c r="E787" s="15" t="inlineStr">
        <is>
          <t>PP - Part-time Waged</t>
        </is>
      </c>
      <c r="F787" s="15" t="inlineStr">
        <is>
          <t>The Fertility Centre</t>
        </is>
      </c>
      <c r="G787" s="15" t="inlineStr">
        <is>
          <t>New South Wales</t>
        </is>
      </c>
      <c r="H787" s="17" t="inlineStr">
        <is>
          <t>68.00</t>
        </is>
      </c>
      <c r="I787" s="15" t="inlineStr">
        <is>
          <t>IVF Australia Pty Ltd</t>
        </is>
      </c>
      <c r="J787" s="18" t="n">
        <v>27.48</v>
      </c>
      <c r="K787" s="17" t="inlineStr">
        <is>
          <t>27.48</t>
        </is>
      </c>
      <c r="L787" s="16" t="n">
        <v>45949</v>
      </c>
      <c r="M787" s="16" t="n">
        <v>45593</v>
      </c>
      <c r="N787" s="17" t="inlineStr"/>
      <c r="O787" s="17" t="inlineStr"/>
      <c r="P787" s="16" t="n"/>
    </row>
    <row r="788" ht="39.6" customHeight="1">
      <c r="A788" s="11" t="inlineStr">
        <is>
          <t>AU23359</t>
        </is>
      </c>
      <c r="B788" s="12" t="n">
        <v>45551</v>
      </c>
      <c r="C788" s="11" t="inlineStr">
        <is>
          <t>Registered Nurse</t>
        </is>
      </c>
      <c r="D788" s="11" t="inlineStr">
        <is>
          <t>NSW Nurse EA</t>
        </is>
      </c>
      <c r="E788" s="11" t="inlineStr">
        <is>
          <t>PP - Part-time Waged</t>
        </is>
      </c>
      <c r="F788" s="11" t="inlineStr">
        <is>
          <t>IVFA</t>
        </is>
      </c>
      <c r="G788" s="11" t="inlineStr">
        <is>
          <t>Australian Capital Territory</t>
        </is>
      </c>
      <c r="H788" s="13" t="inlineStr">
        <is>
          <t>68.00</t>
        </is>
      </c>
      <c r="I788" s="11" t="inlineStr">
        <is>
          <t>IVF Australia Pty Ltd</t>
        </is>
      </c>
      <c r="J788" s="14" t="n">
        <v>27.5</v>
      </c>
      <c r="K788" s="13" t="inlineStr">
        <is>
          <t>27.50</t>
        </is>
      </c>
      <c r="L788" s="12" t="n">
        <v>45949</v>
      </c>
      <c r="M788" s="12" t="n">
        <v>45551</v>
      </c>
      <c r="N788" s="13" t="inlineStr"/>
      <c r="O788" s="13" t="inlineStr"/>
      <c r="P788" s="12" t="n"/>
    </row>
    <row r="789" ht="52.8" customHeight="1">
      <c r="A789" s="15" t="inlineStr">
        <is>
          <t>AU23033</t>
        </is>
      </c>
      <c r="B789" s="16" t="n">
        <v>45259</v>
      </c>
      <c r="C789" s="15" t="inlineStr">
        <is>
          <t>Assistant in Nursing</t>
        </is>
      </c>
      <c r="D789" s="15" t="inlineStr">
        <is>
          <t>QLD Nurse EA</t>
        </is>
      </c>
      <c r="E789" s="15" t="inlineStr">
        <is>
          <t>CA - Casual</t>
        </is>
      </c>
      <c r="F789" s="15" t="inlineStr">
        <is>
          <t>Day Hospitals</t>
        </is>
      </c>
      <c r="G789" s="15" t="inlineStr">
        <is>
          <t>Queensland</t>
        </is>
      </c>
      <c r="H789" s="17" t="inlineStr"/>
      <c r="I789" s="15" t="inlineStr">
        <is>
          <t>Spring Hill Specialist Day Hospital</t>
        </is>
      </c>
      <c r="J789" s="18" t="n">
        <v>27.74</v>
      </c>
      <c r="K789" s="17" t="inlineStr">
        <is>
          <t>27.74</t>
        </is>
      </c>
      <c r="L789" s="16" t="n">
        <v>45949</v>
      </c>
      <c r="M789" s="16" t="n">
        <v>45259</v>
      </c>
      <c r="N789" s="17" t="inlineStr"/>
      <c r="O789" s="17" t="inlineStr"/>
      <c r="P789" s="16" t="n"/>
    </row>
    <row r="790" ht="52.8" customHeight="1">
      <c r="A790" s="11" t="n">
        <v>80527</v>
      </c>
      <c r="B790" s="12" t="n">
        <v>42891</v>
      </c>
      <c r="C790" s="11" t="inlineStr">
        <is>
          <t>Genetics Scientist</t>
        </is>
      </c>
      <c r="D790" s="11" t="inlineStr">
        <is>
          <t>QLD Scientists EA</t>
        </is>
      </c>
      <c r="E790" s="11" t="inlineStr">
        <is>
          <t>FT - Full-time Waged</t>
        </is>
      </c>
      <c r="F790" s="11" t="inlineStr">
        <is>
          <t>Diagnostics</t>
        </is>
      </c>
      <c r="G790" s="11" t="inlineStr">
        <is>
          <t>Queensland</t>
        </is>
      </c>
      <c r="H790" s="13" t="inlineStr">
        <is>
          <t>76.00</t>
        </is>
      </c>
      <c r="I790" s="11" t="inlineStr">
        <is>
          <t>Queensland Fertility Group Pty Ltd</t>
        </is>
      </c>
      <c r="J790" s="14" t="n">
        <v>275.69</v>
      </c>
      <c r="K790" s="13" t="inlineStr">
        <is>
          <t>27.75</t>
        </is>
      </c>
      <c r="L790" s="12" t="n">
        <v>45949</v>
      </c>
      <c r="M790" s="12" t="n">
        <v>45655</v>
      </c>
      <c r="N790" s="13" t="inlineStr">
        <is>
          <t>247.94</t>
        </is>
      </c>
      <c r="O790" s="13" t="inlineStr"/>
      <c r="P790" s="12" t="n"/>
    </row>
    <row r="791" ht="39.6" customHeight="1">
      <c r="A791" s="15" t="inlineStr">
        <is>
          <t>AU23195</t>
        </is>
      </c>
      <c r="B791" s="16" t="n">
        <v>45411</v>
      </c>
      <c r="C791" s="15" t="inlineStr">
        <is>
          <t>Assistant in Nursing</t>
        </is>
      </c>
      <c r="D791" s="15" t="inlineStr">
        <is>
          <t>NSW Nurse EA</t>
        </is>
      </c>
      <c r="E791" s="15" t="inlineStr">
        <is>
          <t>PP - Part-time Waged</t>
        </is>
      </c>
      <c r="F791" s="15" t="inlineStr">
        <is>
          <t>IVFA</t>
        </is>
      </c>
      <c r="G791" s="15" t="inlineStr">
        <is>
          <t>New South Wales</t>
        </is>
      </c>
      <c r="H791" s="17" t="inlineStr">
        <is>
          <t>57.00</t>
        </is>
      </c>
      <c r="I791" s="15" t="inlineStr">
        <is>
          <t>IVF Australia Pty Ltd</t>
        </is>
      </c>
      <c r="J791" s="18" t="n">
        <v>27.75</v>
      </c>
      <c r="K791" s="17" t="inlineStr">
        <is>
          <t>27.75</t>
        </is>
      </c>
      <c r="L791" s="16" t="n">
        <v>45949</v>
      </c>
      <c r="M791" s="16" t="n">
        <v>45411</v>
      </c>
      <c r="N791" s="17" t="inlineStr"/>
      <c r="O791" s="17" t="inlineStr"/>
      <c r="P791" s="16" t="n"/>
    </row>
    <row r="792" ht="39.6" customHeight="1">
      <c r="A792" s="11" t="inlineStr">
        <is>
          <t>AU23084</t>
        </is>
      </c>
      <c r="B792" s="12" t="n">
        <v>45334</v>
      </c>
      <c r="C792" s="11" t="inlineStr">
        <is>
          <t>New Patient Care Consultant</t>
        </is>
      </c>
      <c r="D792" s="11" t="inlineStr">
        <is>
          <t>NSW Support Services EA</t>
        </is>
      </c>
      <c r="E792" s="11" t="inlineStr">
        <is>
          <t>PP - Part-time Waged</t>
        </is>
      </c>
      <c r="F792" s="11" t="inlineStr">
        <is>
          <t>IVFA</t>
        </is>
      </c>
      <c r="G792" s="11" t="inlineStr">
        <is>
          <t>New South Wales</t>
        </is>
      </c>
      <c r="H792" s="13" t="inlineStr">
        <is>
          <t>38.40</t>
        </is>
      </c>
      <c r="I792" s="11" t="inlineStr">
        <is>
          <t>IVF Australia Pty Ltd</t>
        </is>
      </c>
      <c r="J792" s="14" t="n">
        <v>27.79</v>
      </c>
      <c r="K792" s="13" t="inlineStr">
        <is>
          <t>27.79</t>
        </is>
      </c>
      <c r="L792" s="12" t="n">
        <v>45949</v>
      </c>
      <c r="M792" s="12" t="n">
        <v>45334</v>
      </c>
      <c r="N792" s="13" t="inlineStr"/>
      <c r="O792" s="13" t="inlineStr"/>
      <c r="P792" s="12" t="n"/>
    </row>
    <row r="793" ht="79.2" customHeight="1">
      <c r="A793" s="15" t="inlineStr">
        <is>
          <t>AU23177</t>
        </is>
      </c>
      <c r="B793" s="16" t="n">
        <v>45404</v>
      </c>
      <c r="C793" s="15" t="inlineStr">
        <is>
          <t>Medical Receptionist</t>
        </is>
      </c>
      <c r="D793" s="15" t="inlineStr">
        <is>
          <t>Health Professionals and Support Services Award</t>
        </is>
      </c>
      <c r="E793" s="15" t="inlineStr">
        <is>
          <t>PP - Part-time Waged</t>
        </is>
      </c>
      <c r="F793" s="15" t="inlineStr">
        <is>
          <t>Queensland Fertility Group</t>
        </is>
      </c>
      <c r="G793" s="15" t="inlineStr">
        <is>
          <t>Queensland</t>
        </is>
      </c>
      <c r="H793" s="17" t="inlineStr">
        <is>
          <t>45.00</t>
        </is>
      </c>
      <c r="I793" s="15" t="inlineStr">
        <is>
          <t>Queensland Fertility Group Pty Ltd</t>
        </is>
      </c>
      <c r="J793" s="18" t="n">
        <v>28.48</v>
      </c>
      <c r="K793" s="17" t="inlineStr">
        <is>
          <t>28.48</t>
        </is>
      </c>
      <c r="L793" s="16" t="n">
        <v>45949</v>
      </c>
      <c r="M793" s="16" t="n">
        <v>45404</v>
      </c>
      <c r="N793" s="17" t="inlineStr"/>
      <c r="O793" s="17" t="inlineStr"/>
      <c r="P793" s="16" t="n"/>
    </row>
    <row r="794" ht="79.2" customHeight="1">
      <c r="A794" s="11" t="inlineStr">
        <is>
          <t>AU23057</t>
        </is>
      </c>
      <c r="B794" s="12" t="n">
        <v>45282</v>
      </c>
      <c r="C794" s="11" t="inlineStr">
        <is>
          <t>Administration</t>
        </is>
      </c>
      <c r="D794" s="11" t="inlineStr">
        <is>
          <t>Health Professionals and Support Services Award</t>
        </is>
      </c>
      <c r="E794" s="11" t="inlineStr">
        <is>
          <t>CA - Casual</t>
        </is>
      </c>
      <c r="F794" s="11" t="inlineStr">
        <is>
          <t>The Fertility Centre</t>
        </is>
      </c>
      <c r="G794" s="11" t="inlineStr">
        <is>
          <t>Queensland</t>
        </is>
      </c>
      <c r="H794" s="13" t="inlineStr"/>
      <c r="I794" s="11" t="inlineStr">
        <is>
          <t>Queensland Fertility Group Pty Ltd</t>
        </is>
      </c>
      <c r="J794" s="14" t="n">
        <v>28.49</v>
      </c>
      <c r="K794" s="13" t="inlineStr">
        <is>
          <t>28.49</t>
        </is>
      </c>
      <c r="L794" s="12" t="n">
        <v>45949</v>
      </c>
      <c r="M794" s="12" t="n">
        <v>45282</v>
      </c>
      <c r="N794" s="13" t="inlineStr"/>
      <c r="O794" s="13" t="inlineStr"/>
      <c r="P794" s="12" t="n"/>
    </row>
    <row r="795" ht="66" customHeight="1">
      <c r="A795" s="15" t="inlineStr">
        <is>
          <t>AU23318</t>
        </is>
      </c>
      <c r="B795" s="16" t="n">
        <v>45516</v>
      </c>
      <c r="C795" s="15" t="inlineStr">
        <is>
          <t>Head Of Department - Endocrinology Labs</t>
        </is>
      </c>
      <c r="D795" s="15" t="inlineStr">
        <is>
          <t>Common Law Employment Contract</t>
        </is>
      </c>
      <c r="E795" s="15" t="inlineStr">
        <is>
          <t>FP - Full-time Salaried</t>
        </is>
      </c>
      <c r="F795" s="15" t="inlineStr">
        <is>
          <t>Diagnostics</t>
        </is>
      </c>
      <c r="G795" s="15" t="inlineStr">
        <is>
          <t>Victoria</t>
        </is>
      </c>
      <c r="H795" s="17" t="inlineStr">
        <is>
          <t>76.00</t>
        </is>
      </c>
      <c r="I795" s="15" t="inlineStr">
        <is>
          <t>Virtus Health Specialist Diagnostics</t>
        </is>
      </c>
      <c r="J795" s="18" t="n">
        <v>676.91</v>
      </c>
      <c r="K795" s="17" t="inlineStr">
        <is>
          <t>28.56</t>
        </is>
      </c>
      <c r="L795" s="16" t="n">
        <v>45949</v>
      </c>
      <c r="M795" s="16" t="n">
        <v>45577</v>
      </c>
      <c r="N795" s="17" t="inlineStr">
        <is>
          <t>762.35</t>
        </is>
      </c>
      <c r="O795" s="17" t="inlineStr">
        <is>
          <t>114.00</t>
        </is>
      </c>
      <c r="P795" s="16" t="n"/>
    </row>
    <row r="796" ht="79.2" customHeight="1">
      <c r="A796" s="11" t="inlineStr">
        <is>
          <t>AU23425</t>
        </is>
      </c>
      <c r="B796" s="12" t="n">
        <v>45614</v>
      </c>
      <c r="C796" s="11" t="inlineStr">
        <is>
          <t>Donor Administrator</t>
        </is>
      </c>
      <c r="D796" s="11" t="inlineStr">
        <is>
          <t>Health Professionals and Support Services Award</t>
        </is>
      </c>
      <c r="E796" s="11" t="inlineStr">
        <is>
          <t>FT - Full-time Waged</t>
        </is>
      </c>
      <c r="F796" s="11" t="inlineStr">
        <is>
          <t>Queensland Fertility Group</t>
        </is>
      </c>
      <c r="G796" s="11" t="inlineStr">
        <is>
          <t>Queensland</t>
        </is>
      </c>
      <c r="H796" s="13" t="inlineStr">
        <is>
          <t>76.00</t>
        </is>
      </c>
      <c r="I796" s="11" t="inlineStr">
        <is>
          <t>Queensland Fertility Group Pty Ltd</t>
        </is>
      </c>
      <c r="J796" s="14" t="n">
        <v>28.63</v>
      </c>
      <c r="K796" s="13" t="inlineStr">
        <is>
          <t>28.63</t>
        </is>
      </c>
      <c r="L796" s="12" t="n">
        <v>45949</v>
      </c>
      <c r="M796" s="12" t="n">
        <v>45614</v>
      </c>
      <c r="N796" s="13" t="inlineStr"/>
      <c r="O796" s="13" t="inlineStr"/>
      <c r="P796" s="12" t="n"/>
    </row>
    <row r="797" ht="39.6" customHeight="1">
      <c r="A797" s="15" t="inlineStr">
        <is>
          <t>AU23413</t>
        </is>
      </c>
      <c r="B797" s="16" t="n">
        <v>45593</v>
      </c>
      <c r="C797" s="15" t="inlineStr">
        <is>
          <t xml:space="preserve"> Embryologist</t>
        </is>
      </c>
      <c r="D797" s="15" t="inlineStr">
        <is>
          <t>IVFA Scientists EA</t>
        </is>
      </c>
      <c r="E797" s="15" t="inlineStr">
        <is>
          <t>FT - Full-time Waged</t>
        </is>
      </c>
      <c r="F797" s="15" t="inlineStr">
        <is>
          <t>IVFA</t>
        </is>
      </c>
      <c r="G797" s="15" t="inlineStr">
        <is>
          <t>New South Wales</t>
        </is>
      </c>
      <c r="H797" s="17" t="inlineStr">
        <is>
          <t>76.00</t>
        </is>
      </c>
      <c r="I797" s="15" t="inlineStr">
        <is>
          <t>IVF Australia Pty Ltd</t>
        </is>
      </c>
      <c r="J797" s="18" t="n">
        <v>28.75</v>
      </c>
      <c r="K797" s="17" t="inlineStr">
        <is>
          <t>28.75</t>
        </is>
      </c>
      <c r="L797" s="16" t="n">
        <v>45949</v>
      </c>
      <c r="M797" s="16" t="n">
        <v>45593</v>
      </c>
      <c r="N797" s="17" t="inlineStr"/>
      <c r="O797" s="17" t="inlineStr"/>
      <c r="P797" s="16" t="n"/>
    </row>
    <row r="798" ht="39.6" customHeight="1">
      <c r="A798" s="11" t="inlineStr">
        <is>
          <t>AU23147</t>
        </is>
      </c>
      <c r="B798" s="12" t="n">
        <v>45384</v>
      </c>
      <c r="C798" s="11" t="inlineStr">
        <is>
          <t>Assistant in Nursing</t>
        </is>
      </c>
      <c r="D798" s="11" t="inlineStr">
        <is>
          <t>NSW Nurse EA</t>
        </is>
      </c>
      <c r="E798" s="11" t="inlineStr">
        <is>
          <t>PP - Part-time Waged</t>
        </is>
      </c>
      <c r="F798" s="11" t="inlineStr">
        <is>
          <t>IVFA</t>
        </is>
      </c>
      <c r="G798" s="11" t="inlineStr">
        <is>
          <t>New South Wales</t>
        </is>
      </c>
      <c r="H798" s="13" t="inlineStr">
        <is>
          <t>47.50</t>
        </is>
      </c>
      <c r="I798" s="11" t="inlineStr">
        <is>
          <t>IVF Australia Pty Ltd</t>
        </is>
      </c>
      <c r="J798" s="14" t="n">
        <v>28.79</v>
      </c>
      <c r="K798" s="13" t="inlineStr">
        <is>
          <t>28.79</t>
        </is>
      </c>
      <c r="L798" s="12" t="n">
        <v>45949</v>
      </c>
      <c r="M798" s="12" t="n">
        <v>45384</v>
      </c>
      <c r="N798" s="13" t="inlineStr"/>
      <c r="O798" s="13" t="inlineStr"/>
      <c r="P798" s="12" t="n"/>
    </row>
    <row r="799" ht="39.6" customHeight="1">
      <c r="A799" s="15" t="n">
        <v>20175</v>
      </c>
      <c r="B799" s="16" t="n">
        <v>39637</v>
      </c>
      <c r="C799" s="15" t="inlineStr">
        <is>
          <t>Registered Nurse</t>
        </is>
      </c>
      <c r="D799" s="15" t="inlineStr">
        <is>
          <t>NSW Nurse EA</t>
        </is>
      </c>
      <c r="E799" s="15" t="inlineStr">
        <is>
          <t>PP - Part-time Waged</t>
        </is>
      </c>
      <c r="F799" s="15" t="inlineStr">
        <is>
          <t>IVFA</t>
        </is>
      </c>
      <c r="G799" s="15" t="inlineStr">
        <is>
          <t>New South Wales</t>
        </is>
      </c>
      <c r="H799" s="17" t="inlineStr">
        <is>
          <t>42.00</t>
        </is>
      </c>
      <c r="I799" s="15" t="inlineStr">
        <is>
          <t>IVF Australia Pty Ltd</t>
        </is>
      </c>
      <c r="J799" s="18" t="n">
        <v>46</v>
      </c>
      <c r="K799" s="17" t="inlineStr">
        <is>
          <t>29.06</t>
        </is>
      </c>
      <c r="L799" s="16" t="n">
        <v>45949</v>
      </c>
      <c r="M799" s="16" t="n">
        <v>45481</v>
      </c>
      <c r="N799" s="17" t="inlineStr">
        <is>
          <t>16.94</t>
        </is>
      </c>
      <c r="O799" s="17" t="inlineStr"/>
      <c r="P799" s="16" t="n"/>
    </row>
    <row r="800" ht="39.6" customHeight="1">
      <c r="A800" s="11" t="inlineStr">
        <is>
          <t>AU23245</t>
        </is>
      </c>
      <c r="B800" s="12" t="n">
        <v>45446</v>
      </c>
      <c r="C800" s="11" t="inlineStr">
        <is>
          <t>Administration</t>
        </is>
      </c>
      <c r="D800" s="11" t="inlineStr">
        <is>
          <t>NSW Support Services EA</t>
        </is>
      </c>
      <c r="E800" s="11" t="inlineStr">
        <is>
          <t>PP - Part-time Waged</t>
        </is>
      </c>
      <c r="F800" s="11" t="inlineStr">
        <is>
          <t>The Fertility Centre</t>
        </is>
      </c>
      <c r="G800" s="11" t="inlineStr">
        <is>
          <t>New South Wales</t>
        </is>
      </c>
      <c r="H800" s="13" t="inlineStr">
        <is>
          <t>51.00</t>
        </is>
      </c>
      <c r="I800" s="11" t="inlineStr">
        <is>
          <t>IVF Australia Pty Ltd</t>
        </is>
      </c>
      <c r="J800" s="14" t="n">
        <v>29.11</v>
      </c>
      <c r="K800" s="13" t="inlineStr">
        <is>
          <t>29.11</t>
        </is>
      </c>
      <c r="L800" s="12" t="n">
        <v>45949</v>
      </c>
      <c r="M800" s="12" t="n">
        <v>45446</v>
      </c>
      <c r="N800" s="13" t="inlineStr"/>
      <c r="O800" s="13" t="inlineStr"/>
      <c r="P800" s="12" t="n"/>
    </row>
    <row r="801" ht="52.8" customHeight="1">
      <c r="A801" s="15" t="n">
        <v>100018</v>
      </c>
      <c r="B801" s="16" t="n">
        <v>40884</v>
      </c>
      <c r="C801" s="15" t="inlineStr">
        <is>
          <t>CIinic Manager</t>
        </is>
      </c>
      <c r="D801" s="15" t="inlineStr">
        <is>
          <t>Common Law Employment Contract</t>
        </is>
      </c>
      <c r="E801" s="15" t="inlineStr">
        <is>
          <t>FP - Full-time Salaried</t>
        </is>
      </c>
      <c r="F801" s="15" t="inlineStr">
        <is>
          <t>IVFA</t>
        </is>
      </c>
      <c r="G801" s="15" t="inlineStr">
        <is>
          <t>Australian Capital Territory</t>
        </is>
      </c>
      <c r="H801" s="17" t="inlineStr">
        <is>
          <t>76.00</t>
        </is>
      </c>
      <c r="I801" s="15" t="inlineStr">
        <is>
          <t>IVF Australia Pty Ltd</t>
        </is>
      </c>
      <c r="J801" s="18" t="n">
        <v>457.08</v>
      </c>
      <c r="K801" s="17" t="inlineStr">
        <is>
          <t>29.19</t>
        </is>
      </c>
      <c r="L801" s="16" t="n">
        <v>45949</v>
      </c>
      <c r="M801" s="16" t="n">
        <v>45633</v>
      </c>
      <c r="N801" s="17" t="inlineStr">
        <is>
          <t>427.89</t>
        </is>
      </c>
      <c r="O801" s="17" t="inlineStr"/>
      <c r="P801" s="16" t="n"/>
    </row>
    <row r="802" ht="39.6" customHeight="1">
      <c r="A802" s="11" t="inlineStr">
        <is>
          <t>AU23384</t>
        </is>
      </c>
      <c r="B802" s="12" t="n">
        <v>45573</v>
      </c>
      <c r="C802" s="11" t="inlineStr">
        <is>
          <t>Patient Support Officer</t>
        </is>
      </c>
      <c r="D802" s="11" t="inlineStr">
        <is>
          <t>NSW Support Services EA</t>
        </is>
      </c>
      <c r="E802" s="11" t="inlineStr">
        <is>
          <t>FT - Full-time Waged</t>
        </is>
      </c>
      <c r="F802" s="11" t="inlineStr">
        <is>
          <t>IVFA</t>
        </is>
      </c>
      <c r="G802" s="11" t="inlineStr">
        <is>
          <t>New South Wales</t>
        </is>
      </c>
      <c r="H802" s="13" t="inlineStr">
        <is>
          <t>76.00</t>
        </is>
      </c>
      <c r="I802" s="11" t="inlineStr">
        <is>
          <t>IVF Australia Pty Ltd</t>
        </is>
      </c>
      <c r="J802" s="14" t="n">
        <v>29.32</v>
      </c>
      <c r="K802" s="13" t="inlineStr">
        <is>
          <t>29.32</t>
        </is>
      </c>
      <c r="L802" s="12" t="n">
        <v>45949</v>
      </c>
      <c r="M802" s="12" t="n">
        <v>45551</v>
      </c>
      <c r="N802" s="13" t="inlineStr"/>
      <c r="O802" s="13" t="inlineStr"/>
      <c r="P802" s="12" t="n"/>
    </row>
    <row r="803" ht="52.8" customHeight="1">
      <c r="A803" s="15" t="inlineStr">
        <is>
          <t>AU23407</t>
        </is>
      </c>
      <c r="B803" s="16" t="n">
        <v>45597</v>
      </c>
      <c r="C803" s="15" t="inlineStr">
        <is>
          <t>Chief Legal and Risk Officer</t>
        </is>
      </c>
      <c r="D803" s="15" t="inlineStr">
        <is>
          <t>Common Law Employment Contract</t>
        </is>
      </c>
      <c r="E803" s="15" t="inlineStr">
        <is>
          <t>FP - Full-time Salaried</t>
        </is>
      </c>
      <c r="F803" s="15" t="inlineStr">
        <is>
          <t>Corporate Services</t>
        </is>
      </c>
      <c r="G803" s="15" t="inlineStr">
        <is>
          <t>Victoria</t>
        </is>
      </c>
      <c r="H803" s="17" t="inlineStr">
        <is>
          <t>76.00</t>
        </is>
      </c>
      <c r="I803" s="15" t="inlineStr">
        <is>
          <t>IVF Australia Pty Ltd</t>
        </is>
      </c>
      <c r="J803" s="18" t="n">
        <v>29.32</v>
      </c>
      <c r="K803" s="17" t="inlineStr">
        <is>
          <t>29.32</t>
        </is>
      </c>
      <c r="L803" s="16" t="n">
        <v>45949</v>
      </c>
      <c r="M803" s="16" t="n">
        <v>45597</v>
      </c>
      <c r="N803" s="17" t="inlineStr"/>
      <c r="O803" s="17" t="inlineStr"/>
      <c r="P803" s="16" t="n"/>
    </row>
    <row r="804" ht="39.6" customHeight="1">
      <c r="A804" s="11" t="inlineStr">
        <is>
          <t>AU23704</t>
        </is>
      </c>
      <c r="B804" s="12" t="n">
        <v>45831</v>
      </c>
      <c r="C804" s="11" t="inlineStr">
        <is>
          <t>Donor Coordinator</t>
        </is>
      </c>
      <c r="D804" s="11" t="inlineStr">
        <is>
          <t>NSW Support Services EA</t>
        </is>
      </c>
      <c r="E804" s="11" t="inlineStr">
        <is>
          <t>CO - Contract</t>
        </is>
      </c>
      <c r="F804" s="11" t="inlineStr">
        <is>
          <t>IVFA</t>
        </is>
      </c>
      <c r="G804" s="11" t="inlineStr">
        <is>
          <t>New South Wales</t>
        </is>
      </c>
      <c r="H804" s="13" t="inlineStr">
        <is>
          <t>76.00</t>
        </is>
      </c>
      <c r="I804" s="11" t="inlineStr">
        <is>
          <t>IVF Australia Pty Ltd</t>
        </is>
      </c>
      <c r="J804" s="14" t="n">
        <v>29.63</v>
      </c>
      <c r="K804" s="13" t="inlineStr">
        <is>
          <t>29.63</t>
        </is>
      </c>
      <c r="L804" s="12" t="n">
        <v>45949</v>
      </c>
      <c r="M804" s="12" t="n">
        <v>45755</v>
      </c>
      <c r="N804" s="13" t="inlineStr"/>
      <c r="O804" s="13" t="inlineStr"/>
      <c r="P804" s="12" t="n"/>
    </row>
    <row r="805" ht="66" customHeight="1">
      <c r="A805" s="15" t="n">
        <v>30349</v>
      </c>
      <c r="B805" s="16" t="n">
        <v>43682</v>
      </c>
      <c r="C805" s="15" t="inlineStr">
        <is>
          <t>Registered Nurse</t>
        </is>
      </c>
      <c r="D805" s="15" t="inlineStr">
        <is>
          <t>NSW Nurse EA</t>
        </is>
      </c>
      <c r="E805" s="15" t="inlineStr">
        <is>
          <t>PP - Part-time Waged</t>
        </is>
      </c>
      <c r="F805" s="15" t="inlineStr">
        <is>
          <t>Day Hospitals</t>
        </is>
      </c>
      <c r="G805" s="15" t="inlineStr">
        <is>
          <t>New South Wales</t>
        </is>
      </c>
      <c r="H805" s="17" t="inlineStr">
        <is>
          <t>20.00</t>
        </is>
      </c>
      <c r="I805" s="15" t="inlineStr">
        <is>
          <t>North Shore Specialist Day Hospital Pty Ltd</t>
        </is>
      </c>
      <c r="J805" s="18" t="n">
        <v>29.64</v>
      </c>
      <c r="K805" s="17" t="inlineStr">
        <is>
          <t>29.64</t>
        </is>
      </c>
      <c r="L805" s="16" t="n">
        <v>45851</v>
      </c>
      <c r="M805" s="16" t="n">
        <v>43689</v>
      </c>
      <c r="N805" s="17" t="inlineStr"/>
      <c r="O805" s="17" t="inlineStr"/>
      <c r="P805" s="16" t="n"/>
    </row>
    <row r="806" ht="39.6" customHeight="1">
      <c r="A806" s="11" t="inlineStr">
        <is>
          <t>AU23327</t>
        </is>
      </c>
      <c r="B806" s="12" t="n">
        <v>45530</v>
      </c>
      <c r="C806" s="11" t="inlineStr">
        <is>
          <t>Assistant in Nursing</t>
        </is>
      </c>
      <c r="D806" s="11" t="inlineStr">
        <is>
          <t>NSW Nurse EA</t>
        </is>
      </c>
      <c r="E806" s="11" t="inlineStr">
        <is>
          <t>PP - Part-time Waged</t>
        </is>
      </c>
      <c r="F806" s="11" t="inlineStr">
        <is>
          <t>IVFA</t>
        </is>
      </c>
      <c r="G806" s="11" t="inlineStr">
        <is>
          <t>New South Wales</t>
        </is>
      </c>
      <c r="H806" s="13" t="inlineStr">
        <is>
          <t>38.00</t>
        </is>
      </c>
      <c r="I806" s="11" t="inlineStr">
        <is>
          <t>IVF Australia Pty Ltd</t>
        </is>
      </c>
      <c r="J806" s="14" t="n">
        <v>29.98</v>
      </c>
      <c r="K806" s="13" t="inlineStr">
        <is>
          <t>29.98</t>
        </is>
      </c>
      <c r="L806" s="12" t="n">
        <v>45949</v>
      </c>
      <c r="M806" s="12" t="n">
        <v>45530</v>
      </c>
      <c r="N806" s="13" t="inlineStr"/>
      <c r="O806" s="13" t="inlineStr"/>
      <c r="P806" s="12" t="n"/>
    </row>
    <row r="807" ht="79.2" customHeight="1">
      <c r="A807" s="15" t="n">
        <v>90145</v>
      </c>
      <c r="B807" s="16" t="n">
        <v>35370</v>
      </c>
      <c r="C807" s="15" t="inlineStr">
        <is>
          <t>Supervising Scientist</t>
        </is>
      </c>
      <c r="D807" s="15" t="inlineStr">
        <is>
          <t>Health Professionals and Support Services Award</t>
        </is>
      </c>
      <c r="E807" s="15" t="inlineStr">
        <is>
          <t>PP - Part-time Waged</t>
        </is>
      </c>
      <c r="F807" s="15" t="inlineStr">
        <is>
          <t>Diagnostics</t>
        </is>
      </c>
      <c r="G807" s="15" t="inlineStr">
        <is>
          <t>New South Wales</t>
        </is>
      </c>
      <c r="H807" s="17" t="inlineStr">
        <is>
          <t>67.50</t>
        </is>
      </c>
      <c r="I807" s="15" t="inlineStr">
        <is>
          <t>Virtus Health Specialist Diagnostics</t>
        </is>
      </c>
      <c r="J807" s="20" t="n">
        <v>1098.26</v>
      </c>
      <c r="K807" s="17" t="inlineStr">
        <is>
          <t>30.23</t>
        </is>
      </c>
      <c r="L807" s="16" t="n">
        <v>45949</v>
      </c>
      <c r="M807" s="16" t="n">
        <v>45597</v>
      </c>
      <c r="N807" s="17" t="inlineStr">
        <is>
          <t>1,068.03</t>
        </is>
      </c>
      <c r="O807" s="17" t="inlineStr"/>
      <c r="P807" s="16" t="n"/>
    </row>
    <row r="808" ht="79.2" customHeight="1">
      <c r="A808" s="11" t="inlineStr">
        <is>
          <t>AU23254</t>
        </is>
      </c>
      <c r="B808" s="12" t="n">
        <v>45467</v>
      </c>
      <c r="C808" s="11" t="inlineStr">
        <is>
          <t>Medical Receptionist</t>
        </is>
      </c>
      <c r="D808" s="11" t="inlineStr">
        <is>
          <t>Health Professionals and Support Services Award</t>
        </is>
      </c>
      <c r="E808" s="11" t="inlineStr">
        <is>
          <t>Part Time</t>
        </is>
      </c>
      <c r="F808" s="11" t="inlineStr">
        <is>
          <t>Queensland Fertility Group</t>
        </is>
      </c>
      <c r="G808" s="11" t="inlineStr">
        <is>
          <t>Queensland</t>
        </is>
      </c>
      <c r="H808" s="13" t="inlineStr">
        <is>
          <t>37.50</t>
        </is>
      </c>
      <c r="I808" s="11" t="inlineStr">
        <is>
          <t>Queensland Fertility Group Pty Ltd</t>
        </is>
      </c>
      <c r="J808" s="14" t="n">
        <v>30.51</v>
      </c>
      <c r="K808" s="13" t="inlineStr">
        <is>
          <t>30.51</t>
        </is>
      </c>
      <c r="L808" s="12" t="n">
        <v>45949</v>
      </c>
      <c r="M808" s="12" t="n">
        <v>45467</v>
      </c>
      <c r="N808" s="13" t="inlineStr"/>
      <c r="O808" s="13" t="inlineStr"/>
      <c r="P808" s="12" t="n"/>
    </row>
    <row r="809" ht="52.8" customHeight="1">
      <c r="A809" s="15" t="inlineStr">
        <is>
          <t>AU23399</t>
        </is>
      </c>
      <c r="B809" s="16" t="n">
        <v>45573</v>
      </c>
      <c r="C809" s="15" t="inlineStr">
        <is>
          <t>Head of Growth</t>
        </is>
      </c>
      <c r="D809" s="15" t="inlineStr">
        <is>
          <t>Common Law Employment Contract</t>
        </is>
      </c>
      <c r="E809" s="15" t="inlineStr">
        <is>
          <t>FP - Full-time Salaried</t>
        </is>
      </c>
      <c r="F809" s="15" t="inlineStr">
        <is>
          <t>Corporate Services</t>
        </is>
      </c>
      <c r="G809" s="15" t="inlineStr">
        <is>
          <t>Victoria</t>
        </is>
      </c>
      <c r="H809" s="17" t="inlineStr">
        <is>
          <t>76.00</t>
        </is>
      </c>
      <c r="I809" s="15" t="inlineStr">
        <is>
          <t>IVF Australia Pty Ltd</t>
        </is>
      </c>
      <c r="J809" s="18" t="n">
        <v>30.59</v>
      </c>
      <c r="K809" s="17" t="inlineStr">
        <is>
          <t>30.59</t>
        </is>
      </c>
      <c r="L809" s="16" t="n">
        <v>45949</v>
      </c>
      <c r="M809" s="16" t="n">
        <v>45573</v>
      </c>
      <c r="N809" s="17" t="inlineStr"/>
      <c r="O809" s="17" t="inlineStr"/>
      <c r="P809" s="16" t="n"/>
    </row>
    <row r="810" ht="52.8" customHeight="1">
      <c r="A810" s="11" t="n">
        <v>80065</v>
      </c>
      <c r="B810" s="12" t="n">
        <v>40966</v>
      </c>
      <c r="C810" s="11" t="inlineStr">
        <is>
          <t>Clinical Nurse</t>
        </is>
      </c>
      <c r="D810" s="11" t="inlineStr">
        <is>
          <t>QLD Nurse EA</t>
        </is>
      </c>
      <c r="E810" s="11" t="inlineStr">
        <is>
          <t>PP - Part-time Waged</t>
        </is>
      </c>
      <c r="F810" s="11" t="inlineStr">
        <is>
          <t>The Fertility Centre</t>
        </is>
      </c>
      <c r="G810" s="11" t="inlineStr">
        <is>
          <t>Queensland</t>
        </is>
      </c>
      <c r="H810" s="13" t="inlineStr">
        <is>
          <t>72.00</t>
        </is>
      </c>
      <c r="I810" s="11" t="inlineStr">
        <is>
          <t>Queensland Fertility Group Pty Ltd</t>
        </is>
      </c>
      <c r="J810" s="14" t="n">
        <v>457.77</v>
      </c>
      <c r="K810" s="13" t="inlineStr">
        <is>
          <t>30.63</t>
        </is>
      </c>
      <c r="L810" s="12" t="n">
        <v>45949</v>
      </c>
      <c r="M810" s="12" t="n">
        <v>45715</v>
      </c>
      <c r="N810" s="13" t="inlineStr">
        <is>
          <t>491.14</t>
        </is>
      </c>
      <c r="O810" s="13" t="inlineStr">
        <is>
          <t>64.00</t>
        </is>
      </c>
      <c r="P810" s="12" t="n"/>
    </row>
    <row r="811" ht="52.8" customHeight="1">
      <c r="A811" s="15" t="n">
        <v>80146</v>
      </c>
      <c r="B811" s="16" t="n">
        <v>41211</v>
      </c>
      <c r="C811" s="15" t="inlineStr">
        <is>
          <t>Nurse Coordinator</t>
        </is>
      </c>
      <c r="D811" s="15" t="inlineStr">
        <is>
          <t>QLD Nurse EA</t>
        </is>
      </c>
      <c r="E811" s="15" t="inlineStr">
        <is>
          <t>PP - Part-time Waged</t>
        </is>
      </c>
      <c r="F811" s="15" t="inlineStr">
        <is>
          <t>The Fertility Centre</t>
        </is>
      </c>
      <c r="G811" s="15" t="inlineStr">
        <is>
          <t>Queensland</t>
        </is>
      </c>
      <c r="H811" s="17" t="inlineStr">
        <is>
          <t>45.60</t>
        </is>
      </c>
      <c r="I811" s="15" t="inlineStr">
        <is>
          <t>Queensland Fertility Group Pty Ltd</t>
        </is>
      </c>
      <c r="J811" s="18" t="n">
        <v>270.29</v>
      </c>
      <c r="K811" s="17" t="inlineStr">
        <is>
          <t>30.65</t>
        </is>
      </c>
      <c r="L811" s="16" t="n">
        <v>45949</v>
      </c>
      <c r="M811" s="16" t="n">
        <v>45594</v>
      </c>
      <c r="N811" s="17" t="inlineStr">
        <is>
          <t>308.04</t>
        </is>
      </c>
      <c r="O811" s="17" t="inlineStr">
        <is>
          <t>68.40</t>
        </is>
      </c>
      <c r="P811" s="16" t="n"/>
    </row>
    <row r="812" ht="52.8" customHeight="1">
      <c r="A812" s="11" t="inlineStr">
        <is>
          <t>AU23438</t>
        </is>
      </c>
      <c r="B812" s="12" t="n">
        <v>45610</v>
      </c>
      <c r="C812" s="11" t="inlineStr">
        <is>
          <t>Marketing Optimisation Specialist</t>
        </is>
      </c>
      <c r="D812" s="11" t="inlineStr">
        <is>
          <t>Common Law Employment Contract</t>
        </is>
      </c>
      <c r="E812" s="11" t="inlineStr">
        <is>
          <t>FP - Full-time Salaried</t>
        </is>
      </c>
      <c r="F812" s="11" t="inlineStr">
        <is>
          <t>Corporate Services</t>
        </is>
      </c>
      <c r="G812" s="11" t="inlineStr">
        <is>
          <t>New South Wales</t>
        </is>
      </c>
      <c r="H812" s="13" t="inlineStr">
        <is>
          <t>76.00</t>
        </is>
      </c>
      <c r="I812" s="11" t="inlineStr">
        <is>
          <t>IVF Australia Pty Ltd</t>
        </is>
      </c>
      <c r="J812" s="14" t="n">
        <v>30.65</v>
      </c>
      <c r="K812" s="13" t="inlineStr">
        <is>
          <t>30.65</t>
        </is>
      </c>
      <c r="L812" s="12" t="n">
        <v>45949</v>
      </c>
      <c r="M812" s="12" t="n">
        <v>45610</v>
      </c>
      <c r="N812" s="13" t="inlineStr"/>
      <c r="O812" s="13" t="inlineStr"/>
      <c r="P812" s="12" t="n"/>
    </row>
    <row r="813" ht="79.2" customHeight="1">
      <c r="A813" s="15" t="inlineStr">
        <is>
          <t>AU23422</t>
        </is>
      </c>
      <c r="B813" s="16" t="n">
        <v>45607</v>
      </c>
      <c r="C813" s="15" t="inlineStr">
        <is>
          <t>Manager Fertility Preservation, Performance &amp; Anal</t>
        </is>
      </c>
      <c r="D813" s="15" t="inlineStr">
        <is>
          <t>Common Law Employment Contract</t>
        </is>
      </c>
      <c r="E813" s="15" t="inlineStr">
        <is>
          <t>FP - Full-time Salaried</t>
        </is>
      </c>
      <c r="F813" s="15" t="inlineStr">
        <is>
          <t>Corporate Services</t>
        </is>
      </c>
      <c r="G813" s="15" t="inlineStr">
        <is>
          <t>New South Wales</t>
        </is>
      </c>
      <c r="H813" s="17" t="inlineStr">
        <is>
          <t>76.00</t>
        </is>
      </c>
      <c r="I813" s="15" t="inlineStr">
        <is>
          <t>IVF Australia Pty Ltd</t>
        </is>
      </c>
      <c r="J813" s="18" t="n">
        <v>31.03</v>
      </c>
      <c r="K813" s="17" t="inlineStr">
        <is>
          <t>31.03</t>
        </is>
      </c>
      <c r="L813" s="16" t="n">
        <v>45949</v>
      </c>
      <c r="M813" s="16" t="n">
        <v>45607</v>
      </c>
      <c r="N813" s="17" t="inlineStr"/>
      <c r="O813" s="17" t="inlineStr"/>
      <c r="P813" s="16" t="n"/>
    </row>
    <row r="814" ht="39.6" customHeight="1">
      <c r="A814" s="11" t="inlineStr">
        <is>
          <t>AU23392</t>
        </is>
      </c>
      <c r="B814" s="12" t="n">
        <v>45573</v>
      </c>
      <c r="C814" s="11" t="inlineStr">
        <is>
          <t>Administration Officer</t>
        </is>
      </c>
      <c r="D814" s="11" t="inlineStr">
        <is>
          <t>NSW Support Services EA</t>
        </is>
      </c>
      <c r="E814" s="11" t="inlineStr">
        <is>
          <t>FT - Full-time Waged</t>
        </is>
      </c>
      <c r="F814" s="11" t="inlineStr">
        <is>
          <t>Day Hospitals</t>
        </is>
      </c>
      <c r="G814" s="11" t="inlineStr">
        <is>
          <t>New South Wales</t>
        </is>
      </c>
      <c r="H814" s="13" t="inlineStr">
        <is>
          <t>76.00</t>
        </is>
      </c>
      <c r="I814" s="11" t="inlineStr">
        <is>
          <t>City West Day Surgery</t>
        </is>
      </c>
      <c r="J814" s="14" t="n">
        <v>31.6</v>
      </c>
      <c r="K814" s="13" t="inlineStr">
        <is>
          <t>31.60</t>
        </is>
      </c>
      <c r="L814" s="12" t="n">
        <v>45949</v>
      </c>
      <c r="M814" s="12" t="n">
        <v>45573</v>
      </c>
      <c r="N814" s="13" t="inlineStr"/>
      <c r="O814" s="13" t="inlineStr"/>
      <c r="P814" s="12" t="n"/>
    </row>
    <row r="815" ht="39.6" customHeight="1">
      <c r="A815" s="15" t="n">
        <v>40064</v>
      </c>
      <c r="B815" s="16" t="n">
        <v>41841</v>
      </c>
      <c r="C815" s="15" t="inlineStr">
        <is>
          <t>Registered Nurse</t>
        </is>
      </c>
      <c r="D815" s="15" t="inlineStr">
        <is>
          <t>NSW Nurse EA</t>
        </is>
      </c>
      <c r="E815" s="15" t="inlineStr">
        <is>
          <t>PP - Part-time Waged</t>
        </is>
      </c>
      <c r="F815" s="15" t="inlineStr">
        <is>
          <t>Day Hospitals</t>
        </is>
      </c>
      <c r="G815" s="15" t="inlineStr">
        <is>
          <t>New South Wales</t>
        </is>
      </c>
      <c r="H815" s="17" t="inlineStr">
        <is>
          <t>48.00</t>
        </is>
      </c>
      <c r="I815" s="15" t="inlineStr">
        <is>
          <t>City West Day Surgery</t>
        </is>
      </c>
      <c r="J815" s="18" t="n">
        <v>228.81</v>
      </c>
      <c r="K815" s="17" t="inlineStr">
        <is>
          <t>31.63</t>
        </is>
      </c>
      <c r="L815" s="16" t="n">
        <v>45949</v>
      </c>
      <c r="M815" s="16" t="n">
        <v>45494</v>
      </c>
      <c r="N815" s="17" t="inlineStr">
        <is>
          <t>257.18</t>
        </is>
      </c>
      <c r="O815" s="17" t="inlineStr">
        <is>
          <t>60.00</t>
        </is>
      </c>
      <c r="P815" s="16" t="n"/>
    </row>
    <row r="816" ht="66" customHeight="1">
      <c r="A816" s="11" t="inlineStr">
        <is>
          <t>AU22849</t>
        </is>
      </c>
      <c r="B816" s="12" t="n">
        <v>45035</v>
      </c>
      <c r="C816" s="11" t="inlineStr">
        <is>
          <t>Registered Nurse</t>
        </is>
      </c>
      <c r="D816" s="11" t="inlineStr">
        <is>
          <t>NSW Nurse EA</t>
        </is>
      </c>
      <c r="E816" s="11" t="inlineStr">
        <is>
          <t>PP - Part-time Waged</t>
        </is>
      </c>
      <c r="F816" s="11" t="inlineStr">
        <is>
          <t>Day Hospitals</t>
        </is>
      </c>
      <c r="G816" s="11" t="inlineStr">
        <is>
          <t>New South Wales</t>
        </is>
      </c>
      <c r="H816" s="13" t="inlineStr">
        <is>
          <t>32.00</t>
        </is>
      </c>
      <c r="I816" s="11" t="inlineStr">
        <is>
          <t>North Shore Specialist Day Hospital Pty Ltd</t>
        </is>
      </c>
      <c r="J816" s="14" t="n">
        <v>31.63</v>
      </c>
      <c r="K816" s="13" t="inlineStr">
        <is>
          <t>31.63</t>
        </is>
      </c>
      <c r="L816" s="12" t="n">
        <v>45949</v>
      </c>
      <c r="M816" s="12" t="n">
        <v>45035</v>
      </c>
      <c r="N816" s="13" t="inlineStr"/>
      <c r="O816" s="13" t="inlineStr"/>
      <c r="P816" s="12" t="n"/>
    </row>
    <row r="817" ht="52.8" customHeight="1">
      <c r="A817" s="15" t="inlineStr">
        <is>
          <t>AU23750</t>
        </is>
      </c>
      <c r="B817" s="16" t="n">
        <v>45866</v>
      </c>
      <c r="C817" s="15" t="inlineStr">
        <is>
          <t>Laboratory Technician</t>
        </is>
      </c>
      <c r="D817" s="15" t="inlineStr">
        <is>
          <t>QLD Scientists EA</t>
        </is>
      </c>
      <c r="E817" s="15" t="inlineStr">
        <is>
          <t>FT - Full-time Waged</t>
        </is>
      </c>
      <c r="F817" s="15" t="inlineStr">
        <is>
          <t>Queensland Fertility Group</t>
        </is>
      </c>
      <c r="G817" s="15" t="inlineStr">
        <is>
          <t>Queensland</t>
        </is>
      </c>
      <c r="H817" s="17" t="inlineStr">
        <is>
          <t>76.00</t>
        </is>
      </c>
      <c r="I817" s="15" t="inlineStr">
        <is>
          <t>Queensland Fertility Group Pty Ltd</t>
        </is>
      </c>
      <c r="J817" s="18" t="n">
        <v>31.66</v>
      </c>
      <c r="K817" s="17" t="inlineStr">
        <is>
          <t>31.66</t>
        </is>
      </c>
      <c r="L817" s="16" t="n">
        <v>45949</v>
      </c>
      <c r="M817" s="16" t="n">
        <v>45551</v>
      </c>
      <c r="N817" s="17" t="inlineStr"/>
      <c r="O817" s="17" t="inlineStr"/>
      <c r="P817" s="16" t="n"/>
    </row>
    <row r="818" ht="39.6" customHeight="1">
      <c r="A818" s="11" t="n">
        <v>20192</v>
      </c>
      <c r="B818" s="12" t="n">
        <v>38243</v>
      </c>
      <c r="C818" s="11" t="inlineStr">
        <is>
          <t>Medical Secretary/Team Leader</t>
        </is>
      </c>
      <c r="D818" s="11" t="inlineStr">
        <is>
          <t>NSW Support Services EA</t>
        </is>
      </c>
      <c r="E818" s="11" t="inlineStr">
        <is>
          <t>FT - Full-time Waged</t>
        </is>
      </c>
      <c r="F818" s="11" t="inlineStr">
        <is>
          <t>IVFA</t>
        </is>
      </c>
      <c r="G818" s="11" t="inlineStr">
        <is>
          <t>New South Wales</t>
        </is>
      </c>
      <c r="H818" s="13" t="inlineStr">
        <is>
          <t>76.00</t>
        </is>
      </c>
      <c r="I818" s="11" t="inlineStr">
        <is>
          <t>IVF Australia Pty Ltd</t>
        </is>
      </c>
      <c r="J818" s="14" t="n">
        <v>76.68000000000001</v>
      </c>
      <c r="K818" s="13" t="inlineStr">
        <is>
          <t>31.67</t>
        </is>
      </c>
      <c r="L818" s="12" t="n">
        <v>45949</v>
      </c>
      <c r="M818" s="12" t="n">
        <v>45548</v>
      </c>
      <c r="N818" s="13" t="inlineStr">
        <is>
          <t>263.51</t>
        </is>
      </c>
      <c r="O818" s="13" t="inlineStr">
        <is>
          <t>218.50</t>
        </is>
      </c>
      <c r="P818" s="12" t="n"/>
    </row>
    <row r="819" ht="52.8" customHeight="1">
      <c r="A819" s="15" t="inlineStr">
        <is>
          <t>AU23350</t>
        </is>
      </c>
      <c r="B819" s="16" t="n">
        <v>45586</v>
      </c>
      <c r="C819" s="15" t="inlineStr">
        <is>
          <t>Digital Analyst</t>
        </is>
      </c>
      <c r="D819" s="15" t="inlineStr">
        <is>
          <t>Common Law Employment Contract</t>
        </is>
      </c>
      <c r="E819" s="15" t="inlineStr">
        <is>
          <t>FP - Full-time Salaried</t>
        </is>
      </c>
      <c r="F819" s="15" t="inlineStr">
        <is>
          <t>Corporate Services</t>
        </is>
      </c>
      <c r="G819" s="15" t="inlineStr">
        <is>
          <t>New South Wales</t>
        </is>
      </c>
      <c r="H819" s="17" t="inlineStr">
        <is>
          <t>76.00</t>
        </is>
      </c>
      <c r="I819" s="15" t="inlineStr">
        <is>
          <t>IVF Australia Pty Ltd</t>
        </is>
      </c>
      <c r="J819" s="18" t="n">
        <v>31.67</v>
      </c>
      <c r="K819" s="17" t="inlineStr">
        <is>
          <t>31.67</t>
        </is>
      </c>
      <c r="L819" s="16" t="n">
        <v>45949</v>
      </c>
      <c r="M819" s="16" t="n">
        <v>45586</v>
      </c>
      <c r="N819" s="17" t="inlineStr"/>
      <c r="O819" s="17" t="inlineStr"/>
      <c r="P819" s="16" t="n"/>
    </row>
    <row r="820" ht="52.8" customHeight="1">
      <c r="A820" s="11" t="inlineStr">
        <is>
          <t>AU23391</t>
        </is>
      </c>
      <c r="B820" s="12" t="n">
        <v>45573</v>
      </c>
      <c r="C820" s="11" t="inlineStr">
        <is>
          <t>Group Procurement Officer</t>
        </is>
      </c>
      <c r="D820" s="11" t="inlineStr">
        <is>
          <t>Common Law Employment Contract</t>
        </is>
      </c>
      <c r="E820" s="11" t="inlineStr">
        <is>
          <t>FP - Full-time Salaried</t>
        </is>
      </c>
      <c r="F820" s="11" t="inlineStr">
        <is>
          <t>Corporate Services</t>
        </is>
      </c>
      <c r="G820" s="11" t="inlineStr">
        <is>
          <t>New South Wales</t>
        </is>
      </c>
      <c r="H820" s="13" t="inlineStr">
        <is>
          <t>76.00</t>
        </is>
      </c>
      <c r="I820" s="11" t="inlineStr">
        <is>
          <t>IVF Australia Pty Ltd</t>
        </is>
      </c>
      <c r="J820" s="14" t="n">
        <v>31.79</v>
      </c>
      <c r="K820" s="13" t="inlineStr">
        <is>
          <t>31.79</t>
        </is>
      </c>
      <c r="L820" s="12" t="n">
        <v>45949</v>
      </c>
      <c r="M820" s="12" t="n">
        <v>45573</v>
      </c>
      <c r="N820" s="13" t="inlineStr"/>
      <c r="O820" s="13" t="inlineStr"/>
      <c r="P820" s="12" t="n"/>
    </row>
    <row r="821" ht="39.6" customHeight="1">
      <c r="A821" s="15" t="inlineStr">
        <is>
          <t>AU23403</t>
        </is>
      </c>
      <c r="B821" s="16" t="n">
        <v>45593</v>
      </c>
      <c r="C821" s="15" t="inlineStr">
        <is>
          <t>Nurse Coordinator</t>
        </is>
      </c>
      <c r="D821" s="15" t="inlineStr">
        <is>
          <t>NSW Nurse EA</t>
        </is>
      </c>
      <c r="E821" s="15" t="inlineStr">
        <is>
          <t>CO - Contract</t>
        </is>
      </c>
      <c r="F821" s="15" t="inlineStr">
        <is>
          <t>IVFA</t>
        </is>
      </c>
      <c r="G821" s="15" t="inlineStr">
        <is>
          <t>New South Wales</t>
        </is>
      </c>
      <c r="H821" s="17" t="inlineStr">
        <is>
          <t>76.00</t>
        </is>
      </c>
      <c r="I821" s="15" t="inlineStr">
        <is>
          <t>IVF Australia Pty Ltd</t>
        </is>
      </c>
      <c r="J821" s="18" t="n">
        <v>32.13</v>
      </c>
      <c r="K821" s="17" t="inlineStr">
        <is>
          <t>32.13</t>
        </is>
      </c>
      <c r="L821" s="16" t="n">
        <v>45949</v>
      </c>
      <c r="M821" s="16" t="n">
        <v>45593</v>
      </c>
      <c r="N821" s="17" t="inlineStr"/>
      <c r="O821" s="17" t="inlineStr"/>
      <c r="P821" s="16" t="n"/>
    </row>
    <row r="822" ht="79.2" customHeight="1">
      <c r="A822" s="11" t="inlineStr">
        <is>
          <t>AU22829</t>
        </is>
      </c>
      <c r="B822" s="12" t="n">
        <v>45019</v>
      </c>
      <c r="C822" s="11" t="inlineStr">
        <is>
          <t>Genetic Counseling Manager</t>
        </is>
      </c>
      <c r="D822" s="11" t="inlineStr">
        <is>
          <t>Health Professionals and Support Services Award</t>
        </is>
      </c>
      <c r="E822" s="11" t="inlineStr">
        <is>
          <t>PP - Part-time Waged</t>
        </is>
      </c>
      <c r="F822" s="11" t="inlineStr">
        <is>
          <t>Diagnostics</t>
        </is>
      </c>
      <c r="G822" s="11" t="inlineStr">
        <is>
          <t>Western Australia</t>
        </is>
      </c>
      <c r="H822" s="13" t="inlineStr">
        <is>
          <t>45.60</t>
        </is>
      </c>
      <c r="I822" s="11" t="inlineStr">
        <is>
          <t>Virtus Health Specialist Diagnostics</t>
        </is>
      </c>
      <c r="J822" s="14" t="n">
        <v>32.26</v>
      </c>
      <c r="K822" s="13" t="inlineStr">
        <is>
          <t>32.26</t>
        </is>
      </c>
      <c r="L822" s="12" t="n">
        <v>45949</v>
      </c>
      <c r="M822" s="12" t="n">
        <v>44726</v>
      </c>
      <c r="N822" s="13" t="inlineStr"/>
      <c r="O822" s="13" t="inlineStr"/>
      <c r="P822" s="12" t="n"/>
    </row>
    <row r="823" ht="52.8" customHeight="1">
      <c r="A823" s="15" t="inlineStr">
        <is>
          <t>AU23406</t>
        </is>
      </c>
      <c r="B823" s="16" t="n">
        <v>45586</v>
      </c>
      <c r="C823" s="15" t="inlineStr">
        <is>
          <t>Laboratory Assistant</t>
        </is>
      </c>
      <c r="D823" s="15" t="inlineStr">
        <is>
          <t>QLD Scientists EA</t>
        </is>
      </c>
      <c r="E823" s="15" t="inlineStr">
        <is>
          <t>CO - Contract</t>
        </is>
      </c>
      <c r="F823" s="15" t="inlineStr">
        <is>
          <t>Diagnostics</t>
        </is>
      </c>
      <c r="G823" s="15" t="inlineStr">
        <is>
          <t>Queensland</t>
        </is>
      </c>
      <c r="H823" s="17" t="inlineStr">
        <is>
          <t>76.00</t>
        </is>
      </c>
      <c r="I823" s="15" t="inlineStr">
        <is>
          <t>Queensland Fertility Group Pty Ltd</t>
        </is>
      </c>
      <c r="J823" s="18" t="n">
        <v>32.55</v>
      </c>
      <c r="K823" s="17" t="inlineStr">
        <is>
          <t>32.55</t>
        </is>
      </c>
      <c r="L823" s="16" t="n">
        <v>45949</v>
      </c>
      <c r="M823" s="16" t="n">
        <v>45586</v>
      </c>
      <c r="N823" s="17" t="inlineStr"/>
      <c r="O823" s="17" t="inlineStr"/>
      <c r="P823" s="16" t="n"/>
    </row>
    <row r="824" ht="52.8" customHeight="1">
      <c r="A824" s="11" t="n">
        <v>80103</v>
      </c>
      <c r="B824" s="12" t="n">
        <v>39881</v>
      </c>
      <c r="C824" s="11" t="inlineStr">
        <is>
          <t>Embryologist</t>
        </is>
      </c>
      <c r="D824" s="11" t="inlineStr">
        <is>
          <t>QLD Scientists EA</t>
        </is>
      </c>
      <c r="E824" s="11" t="inlineStr">
        <is>
          <t>FT - Full-time Waged</t>
        </is>
      </c>
      <c r="F824" s="11" t="inlineStr">
        <is>
          <t>Queensland Fertility Group</t>
        </is>
      </c>
      <c r="G824" s="11" t="inlineStr">
        <is>
          <t>Queensland</t>
        </is>
      </c>
      <c r="H824" s="13" t="inlineStr">
        <is>
          <t>76.00</t>
        </is>
      </c>
      <c r="I824" s="11" t="inlineStr">
        <is>
          <t>Queensland Fertility Group Pty Ltd</t>
        </is>
      </c>
      <c r="J824" s="14" t="n">
        <v>781.4299999999999</v>
      </c>
      <c r="K824" s="13" t="inlineStr">
        <is>
          <t>32.59</t>
        </is>
      </c>
      <c r="L824" s="12" t="n">
        <v>45949</v>
      </c>
      <c r="M824" s="12" t="n">
        <v>45725</v>
      </c>
      <c r="N824" s="13" t="inlineStr">
        <is>
          <t>748.84</t>
        </is>
      </c>
      <c r="O824" s="13" t="inlineStr"/>
      <c r="P824" s="12" t="n"/>
    </row>
    <row r="825" ht="79.2" customHeight="1">
      <c r="A825" s="15" t="n">
        <v>90001</v>
      </c>
      <c r="B825" s="16" t="n">
        <v>41939</v>
      </c>
      <c r="C825" s="15" t="inlineStr">
        <is>
          <t>Administration</t>
        </is>
      </c>
      <c r="D825" s="15" t="inlineStr">
        <is>
          <t>Health Professionals and Support Services Award</t>
        </is>
      </c>
      <c r="E825" s="15" t="inlineStr">
        <is>
          <t>FT - Full-time Waged</t>
        </is>
      </c>
      <c r="F825" s="15" t="inlineStr">
        <is>
          <t>Diagnostics</t>
        </is>
      </c>
      <c r="G825" s="15" t="inlineStr">
        <is>
          <t>New South Wales</t>
        </is>
      </c>
      <c r="H825" s="17" t="inlineStr">
        <is>
          <t>76.00</t>
        </is>
      </c>
      <c r="I825" s="15" t="inlineStr">
        <is>
          <t>Virtus Health Specialist Diagnostics</t>
        </is>
      </c>
      <c r="J825" s="18" t="n">
        <v>171.46</v>
      </c>
      <c r="K825" s="17" t="inlineStr">
        <is>
          <t>32.84</t>
        </is>
      </c>
      <c r="L825" s="16" t="n">
        <v>45949</v>
      </c>
      <c r="M825" s="16" t="n">
        <v>45592</v>
      </c>
      <c r="N825" s="17" t="inlineStr">
        <is>
          <t>252.62</t>
        </is>
      </c>
      <c r="O825" s="17" t="inlineStr">
        <is>
          <t>114.00</t>
        </is>
      </c>
      <c r="P825" s="16" t="n"/>
    </row>
    <row r="826" ht="52.8" customHeight="1">
      <c r="A826" s="11" t="inlineStr">
        <is>
          <t>AU23395</t>
        </is>
      </c>
      <c r="B826" s="12" t="n">
        <v>45579</v>
      </c>
      <c r="C826" s="11" t="inlineStr">
        <is>
          <t>Head of Information Technology</t>
        </is>
      </c>
      <c r="D826" s="11" t="inlineStr">
        <is>
          <t>Common Law Employment Contract</t>
        </is>
      </c>
      <c r="E826" s="11" t="inlineStr">
        <is>
          <t>FP - Full-time Salaried</t>
        </is>
      </c>
      <c r="F826" s="11" t="inlineStr">
        <is>
          <t>Corporate Services</t>
        </is>
      </c>
      <c r="G826" s="11" t="inlineStr">
        <is>
          <t>Victoria</t>
        </is>
      </c>
      <c r="H826" s="13" t="inlineStr">
        <is>
          <t>76.00</t>
        </is>
      </c>
      <c r="I826" s="11" t="inlineStr">
        <is>
          <t>IVF Australia Pty Ltd</t>
        </is>
      </c>
      <c r="J826" s="14" t="n">
        <v>32.87</v>
      </c>
      <c r="K826" s="13" t="inlineStr">
        <is>
          <t>32.87</t>
        </is>
      </c>
      <c r="L826" s="12" t="n">
        <v>45949</v>
      </c>
      <c r="M826" s="12" t="n">
        <v>45579</v>
      </c>
      <c r="N826" s="13" t="inlineStr"/>
      <c r="O826" s="13" t="inlineStr"/>
      <c r="P826" s="12" t="n"/>
    </row>
    <row r="827" ht="39.6" customHeight="1">
      <c r="A827" s="15" t="n">
        <v>100016</v>
      </c>
      <c r="B827" s="16" t="n">
        <v>40841</v>
      </c>
      <c r="C827" s="15" t="inlineStr">
        <is>
          <t>Administration</t>
        </is>
      </c>
      <c r="D827" s="15" t="inlineStr">
        <is>
          <t>NSW Support Services EA</t>
        </is>
      </c>
      <c r="E827" s="15" t="inlineStr">
        <is>
          <t>FT - Full-time Waged</t>
        </is>
      </c>
      <c r="F827" s="15" t="inlineStr">
        <is>
          <t>IVFA</t>
        </is>
      </c>
      <c r="G827" s="15" t="inlineStr">
        <is>
          <t>Australian Capital Territory</t>
        </is>
      </c>
      <c r="H827" s="17" t="inlineStr">
        <is>
          <t>76.00</t>
        </is>
      </c>
      <c r="I827" s="15" t="inlineStr">
        <is>
          <t>IVF Australia Pty Ltd</t>
        </is>
      </c>
      <c r="J827" s="18" t="n">
        <v>303.85</v>
      </c>
      <c r="K827" s="17" t="inlineStr">
        <is>
          <t>32.93</t>
        </is>
      </c>
      <c r="L827" s="16" t="n">
        <v>45949</v>
      </c>
      <c r="M827" s="16" t="n">
        <v>45590</v>
      </c>
      <c r="N827" s="17" t="inlineStr">
        <is>
          <t>270.92</t>
        </is>
      </c>
      <c r="O827" s="17" t="inlineStr"/>
      <c r="P827" s="16" t="n"/>
    </row>
    <row r="828" ht="39.6" customHeight="1">
      <c r="A828" s="11" t="n">
        <v>20182</v>
      </c>
      <c r="B828" s="12" t="n">
        <v>40117</v>
      </c>
      <c r="C828" s="11" t="inlineStr">
        <is>
          <t>Embryologist</t>
        </is>
      </c>
      <c r="D828" s="11" t="inlineStr">
        <is>
          <t>IVFA Scientists EA</t>
        </is>
      </c>
      <c r="E828" s="11" t="inlineStr">
        <is>
          <t>FT - Full-time Waged</t>
        </is>
      </c>
      <c r="F828" s="11" t="inlineStr">
        <is>
          <t>IVFA</t>
        </is>
      </c>
      <c r="G828" s="11" t="inlineStr">
        <is>
          <t>New South Wales</t>
        </is>
      </c>
      <c r="H828" s="13" t="inlineStr">
        <is>
          <t>76.00</t>
        </is>
      </c>
      <c r="I828" s="11" t="inlineStr">
        <is>
          <t>IVF Australia Pty Ltd</t>
        </is>
      </c>
      <c r="J828" s="14" t="n">
        <v>165.67</v>
      </c>
      <c r="K828" s="13" t="inlineStr">
        <is>
          <t>32.94</t>
        </is>
      </c>
      <c r="L828" s="12" t="n">
        <v>45949</v>
      </c>
      <c r="M828" s="12" t="n">
        <v>45596</v>
      </c>
      <c r="N828" s="13" t="inlineStr">
        <is>
          <t>132.73</t>
        </is>
      </c>
      <c r="O828" s="13" t="inlineStr"/>
      <c r="P828" s="12" t="n"/>
    </row>
    <row r="829" ht="79.2" customHeight="1">
      <c r="A829" s="15" t="n">
        <v>80066</v>
      </c>
      <c r="B829" s="16" t="n">
        <v>41479</v>
      </c>
      <c r="C829" s="15" t="inlineStr">
        <is>
          <t>Administration</t>
        </is>
      </c>
      <c r="D829" s="15" t="inlineStr">
        <is>
          <t>Health Professionals and Support Services Award</t>
        </is>
      </c>
      <c r="E829" s="15" t="inlineStr">
        <is>
          <t>PP - Part-time Waged</t>
        </is>
      </c>
      <c r="F829" s="15" t="inlineStr">
        <is>
          <t>The Fertility Centre</t>
        </is>
      </c>
      <c r="G829" s="15" t="inlineStr">
        <is>
          <t>Queensland</t>
        </is>
      </c>
      <c r="H829" s="17" t="inlineStr">
        <is>
          <t>29.00</t>
        </is>
      </c>
      <c r="I829" s="15" t="inlineStr">
        <is>
          <t>Queensland Fertility Group Pty Ltd</t>
        </is>
      </c>
      <c r="J829" s="18" t="n">
        <v>150.92</v>
      </c>
      <c r="K829" s="17" t="inlineStr">
        <is>
          <t>33.00</t>
        </is>
      </c>
      <c r="L829" s="16" t="n">
        <v>45949</v>
      </c>
      <c r="M829" s="16" t="n">
        <v>45131</v>
      </c>
      <c r="N829" s="17" t="inlineStr">
        <is>
          <t>117.92</t>
        </is>
      </c>
      <c r="O829" s="17" t="inlineStr"/>
      <c r="P829" s="16" t="n"/>
    </row>
    <row r="830" ht="39.6" customHeight="1">
      <c r="A830" s="11" t="inlineStr">
        <is>
          <t>AU23323</t>
        </is>
      </c>
      <c r="B830" s="12" t="n">
        <v>45530</v>
      </c>
      <c r="C830" s="11" t="inlineStr">
        <is>
          <t>Nurse Coordinator</t>
        </is>
      </c>
      <c r="D830" s="11" t="inlineStr">
        <is>
          <t>NSW Nurse EA</t>
        </is>
      </c>
      <c r="E830" s="11" t="inlineStr">
        <is>
          <t>FT - Full-time Waged</t>
        </is>
      </c>
      <c r="F830" s="11" t="inlineStr">
        <is>
          <t>IVFA</t>
        </is>
      </c>
      <c r="G830" s="11" t="inlineStr">
        <is>
          <t>New South Wales</t>
        </is>
      </c>
      <c r="H830" s="13" t="inlineStr">
        <is>
          <t>76.00</t>
        </is>
      </c>
      <c r="I830" s="11" t="inlineStr">
        <is>
          <t>IVF Australia Pty Ltd</t>
        </is>
      </c>
      <c r="J830" s="14" t="n">
        <v>33.06</v>
      </c>
      <c r="K830" s="13" t="inlineStr">
        <is>
          <t>33.06</t>
        </is>
      </c>
      <c r="L830" s="12" t="n">
        <v>45949</v>
      </c>
      <c r="M830" s="12" t="n">
        <v>45530</v>
      </c>
      <c r="N830" s="13" t="inlineStr"/>
      <c r="O830" s="13" t="inlineStr"/>
      <c r="P830" s="12" t="n"/>
    </row>
    <row r="831" ht="39.6" customHeight="1">
      <c r="A831" s="15" t="inlineStr">
        <is>
          <t>AU23280</t>
        </is>
      </c>
      <c r="B831" s="16" t="n">
        <v>45511</v>
      </c>
      <c r="C831" s="15" t="inlineStr">
        <is>
          <t xml:space="preserve"> Embryologist</t>
        </is>
      </c>
      <c r="D831" s="15" t="inlineStr">
        <is>
          <t>IVFA Scientists EA</t>
        </is>
      </c>
      <c r="E831" s="15" t="inlineStr">
        <is>
          <t>PP - Part-time Waged</t>
        </is>
      </c>
      <c r="F831" s="15" t="inlineStr">
        <is>
          <t>IVFA</t>
        </is>
      </c>
      <c r="G831" s="15" t="inlineStr">
        <is>
          <t>New South Wales</t>
        </is>
      </c>
      <c r="H831" s="17" t="inlineStr">
        <is>
          <t>61.00</t>
        </is>
      </c>
      <c r="I831" s="15" t="inlineStr">
        <is>
          <t>IVF Australia Pty Ltd</t>
        </is>
      </c>
      <c r="J831" s="18" t="n">
        <v>33.31</v>
      </c>
      <c r="K831" s="17" t="inlineStr">
        <is>
          <t>33.31</t>
        </is>
      </c>
      <c r="L831" s="16" t="n">
        <v>45949</v>
      </c>
      <c r="M831" s="16" t="n">
        <v>45511</v>
      </c>
      <c r="N831" s="17" t="inlineStr"/>
      <c r="O831" s="17" t="inlineStr"/>
      <c r="P831" s="16" t="n"/>
    </row>
    <row r="832" ht="79.2" customHeight="1">
      <c r="A832" s="11" t="inlineStr">
        <is>
          <t>AU22836</t>
        </is>
      </c>
      <c r="B832" s="12" t="n">
        <v>45019</v>
      </c>
      <c r="C832" s="11" t="inlineStr">
        <is>
          <t>Genetic Counsellor</t>
        </is>
      </c>
      <c r="D832" s="11" t="inlineStr">
        <is>
          <t>Health Professionals and Support Services Award</t>
        </is>
      </c>
      <c r="E832" s="11" t="inlineStr">
        <is>
          <t>PP - Part-time Waged</t>
        </is>
      </c>
      <c r="F832" s="11" t="inlineStr">
        <is>
          <t>Diagnostics</t>
        </is>
      </c>
      <c r="G832" s="11" t="inlineStr">
        <is>
          <t>Queensland</t>
        </is>
      </c>
      <c r="H832" s="13" t="inlineStr">
        <is>
          <t>30.40</t>
        </is>
      </c>
      <c r="I832" s="11" t="inlineStr">
        <is>
          <t>Virtus Health Specialist Diagnostics</t>
        </is>
      </c>
      <c r="J832" s="14" t="n">
        <v>33.37</v>
      </c>
      <c r="K832" s="13" t="inlineStr">
        <is>
          <t>33.37</t>
        </is>
      </c>
      <c r="L832" s="12" t="n">
        <v>45949</v>
      </c>
      <c r="M832" s="12" t="n">
        <v>44706</v>
      </c>
      <c r="N832" s="13" t="inlineStr"/>
      <c r="O832" s="13" t="inlineStr"/>
      <c r="P832" s="12" t="n"/>
    </row>
    <row r="833" ht="79.2" customHeight="1">
      <c r="A833" s="15" t="n">
        <v>90105</v>
      </c>
      <c r="B833" s="16" t="n">
        <v>43731</v>
      </c>
      <c r="C833" s="15" t="inlineStr">
        <is>
          <t>Courier</t>
        </is>
      </c>
      <c r="D833" s="15" t="inlineStr">
        <is>
          <t>Health Professionals and Support Services Award</t>
        </is>
      </c>
      <c r="E833" s="15" t="inlineStr">
        <is>
          <t>CA - Casual</t>
        </is>
      </c>
      <c r="F833" s="15" t="inlineStr">
        <is>
          <t>Diagnostics</t>
        </is>
      </c>
      <c r="G833" s="15" t="inlineStr">
        <is>
          <t>New South Wales</t>
        </is>
      </c>
      <c r="H833" s="17" t="inlineStr"/>
      <c r="I833" s="15" t="inlineStr">
        <is>
          <t>Virtus Health Specialist Diagnostics</t>
        </is>
      </c>
      <c r="J833" s="18" t="n">
        <v>33.39</v>
      </c>
      <c r="K833" s="17" t="inlineStr">
        <is>
          <t>33.39</t>
        </is>
      </c>
      <c r="L833" s="16" t="n">
        <v>45949</v>
      </c>
      <c r="M833" s="16" t="n">
        <v>43731</v>
      </c>
      <c r="N833" s="17" t="inlineStr"/>
      <c r="O833" s="17" t="inlineStr"/>
      <c r="P833" s="16" t="n"/>
    </row>
    <row r="834" ht="52.8" customHeight="1">
      <c r="A834" s="11" t="inlineStr">
        <is>
          <t>AU23401</t>
        </is>
      </c>
      <c r="B834" s="12" t="n">
        <v>45607</v>
      </c>
      <c r="C834" s="11" t="inlineStr">
        <is>
          <t>Nurse Coordinator</t>
        </is>
      </c>
      <c r="D834" s="11" t="inlineStr">
        <is>
          <t>QLD Nurse EA</t>
        </is>
      </c>
      <c r="E834" s="11" t="inlineStr">
        <is>
          <t>PP - Part-time Waged</t>
        </is>
      </c>
      <c r="F834" s="11" t="inlineStr">
        <is>
          <t>Queensland Fertility Group</t>
        </is>
      </c>
      <c r="G834" s="11" t="inlineStr">
        <is>
          <t>Queensland</t>
        </is>
      </c>
      <c r="H834" s="13" t="inlineStr">
        <is>
          <t>60.80</t>
        </is>
      </c>
      <c r="I834" s="11" t="inlineStr">
        <is>
          <t>Queensland Fertility Group Pty Ltd</t>
        </is>
      </c>
      <c r="J834" s="14" t="n">
        <v>33.52</v>
      </c>
      <c r="K834" s="13" t="inlineStr">
        <is>
          <t>33.52</t>
        </is>
      </c>
      <c r="L834" s="12" t="n">
        <v>45949</v>
      </c>
      <c r="M834" s="12" t="n">
        <v>45607</v>
      </c>
      <c r="N834" s="13" t="inlineStr"/>
      <c r="O834" s="13" t="inlineStr"/>
      <c r="P834" s="12" t="n"/>
    </row>
    <row r="835" ht="39.6" customHeight="1">
      <c r="A835" s="15" t="inlineStr">
        <is>
          <t>AU23367</t>
        </is>
      </c>
      <c r="B835" s="16" t="n">
        <v>45573</v>
      </c>
      <c r="C835" s="15" t="inlineStr">
        <is>
          <t>Registered Nurse</t>
        </is>
      </c>
      <c r="D835" s="15" t="inlineStr">
        <is>
          <t>NSW Nurse EA</t>
        </is>
      </c>
      <c r="E835" s="15" t="inlineStr">
        <is>
          <t>FT - Full-time Waged</t>
        </is>
      </c>
      <c r="F835" s="15" t="inlineStr">
        <is>
          <t>IVFA</t>
        </is>
      </c>
      <c r="G835" s="15" t="inlineStr">
        <is>
          <t>New South Wales</t>
        </is>
      </c>
      <c r="H835" s="17" t="inlineStr">
        <is>
          <t>76.00</t>
        </is>
      </c>
      <c r="I835" s="15" t="inlineStr">
        <is>
          <t>IVF Australia Pty Ltd</t>
        </is>
      </c>
      <c r="J835" s="18" t="n">
        <v>33.57</v>
      </c>
      <c r="K835" s="17" t="inlineStr">
        <is>
          <t>33.57</t>
        </is>
      </c>
      <c r="L835" s="16" t="n">
        <v>45949</v>
      </c>
      <c r="M835" s="16" t="n">
        <v>45573</v>
      </c>
      <c r="N835" s="17" t="inlineStr"/>
      <c r="O835" s="17" t="inlineStr"/>
      <c r="P835" s="16" t="n"/>
    </row>
    <row r="836" ht="66" customHeight="1">
      <c r="A836" s="11" t="n">
        <v>80026</v>
      </c>
      <c r="B836" s="12" t="n">
        <v>37073</v>
      </c>
      <c r="C836" s="11" t="inlineStr">
        <is>
          <t>Regional Clinic Manager/Clinical Nurse Specialist</t>
        </is>
      </c>
      <c r="D836" s="11" t="inlineStr">
        <is>
          <t>Common Law Employment Contract</t>
        </is>
      </c>
      <c r="E836" s="11" t="inlineStr">
        <is>
          <t>PT - Part-time Salary</t>
        </is>
      </c>
      <c r="F836" s="11" t="inlineStr">
        <is>
          <t>Queensland Fertility Group</t>
        </is>
      </c>
      <c r="G836" s="11" t="inlineStr">
        <is>
          <t>Queensland</t>
        </is>
      </c>
      <c r="H836" s="13" t="inlineStr">
        <is>
          <t>64.00</t>
        </is>
      </c>
      <c r="I836" s="11" t="inlineStr">
        <is>
          <t>Queensland Fertility Group Pty Ltd</t>
        </is>
      </c>
      <c r="J836" s="14" t="n">
        <v>288.59</v>
      </c>
      <c r="K836" s="13" t="inlineStr">
        <is>
          <t>33.60</t>
        </is>
      </c>
      <c r="L836" s="12" t="n">
        <v>45949</v>
      </c>
      <c r="M836" s="12" t="n">
        <v>45664</v>
      </c>
      <c r="N836" s="13" t="inlineStr">
        <is>
          <t>254.99</t>
        </is>
      </c>
      <c r="O836" s="13" t="inlineStr"/>
      <c r="P836" s="12" t="n"/>
    </row>
    <row r="837" ht="39.6" customHeight="1">
      <c r="A837" s="15" t="n">
        <v>20413</v>
      </c>
      <c r="B837" s="16" t="n">
        <v>41891</v>
      </c>
      <c r="C837" s="15" t="inlineStr">
        <is>
          <t>Nurse Unit Manager</t>
        </is>
      </c>
      <c r="D837" s="15" t="inlineStr">
        <is>
          <t>NSW Nurse EA</t>
        </is>
      </c>
      <c r="E837" s="15" t="inlineStr">
        <is>
          <t>FT - Full-time Waged</t>
        </is>
      </c>
      <c r="F837" s="15" t="inlineStr">
        <is>
          <t>The Fertility Centre</t>
        </is>
      </c>
      <c r="G837" s="15" t="inlineStr">
        <is>
          <t>New South Wales</t>
        </is>
      </c>
      <c r="H837" s="17" t="inlineStr">
        <is>
          <t>76.00</t>
        </is>
      </c>
      <c r="I837" s="15" t="inlineStr">
        <is>
          <t>IVF Australia Pty Ltd</t>
        </is>
      </c>
      <c r="J837" s="18" t="n">
        <v>257.6</v>
      </c>
      <c r="K837" s="17" t="inlineStr">
        <is>
          <t>33.60</t>
        </is>
      </c>
      <c r="L837" s="16" t="n">
        <v>45949</v>
      </c>
      <c r="M837" s="16" t="n">
        <v>45544</v>
      </c>
      <c r="N837" s="17" t="inlineStr">
        <is>
          <t>224.00</t>
        </is>
      </c>
      <c r="O837" s="17" t="inlineStr"/>
      <c r="P837" s="16" t="n"/>
    </row>
    <row r="838" ht="79.2" customHeight="1">
      <c r="A838" s="11" t="inlineStr">
        <is>
          <t>AU23382</t>
        </is>
      </c>
      <c r="B838" s="12" t="n">
        <v>45572</v>
      </c>
      <c r="C838" s="11" t="inlineStr">
        <is>
          <t>Genetic Counsellor</t>
        </is>
      </c>
      <c r="D838" s="11" t="inlineStr">
        <is>
          <t>Health Professionals and Support Services Award</t>
        </is>
      </c>
      <c r="E838" s="11" t="inlineStr">
        <is>
          <t>FT - Full-time Waged</t>
        </is>
      </c>
      <c r="F838" s="11" t="inlineStr">
        <is>
          <t>IVFA</t>
        </is>
      </c>
      <c r="G838" s="11" t="inlineStr">
        <is>
          <t>New South Wales</t>
        </is>
      </c>
      <c r="H838" s="13" t="inlineStr">
        <is>
          <t>76.00</t>
        </is>
      </c>
      <c r="I838" s="11" t="inlineStr">
        <is>
          <t>IVF Australia Pty Ltd</t>
        </is>
      </c>
      <c r="J838" s="14" t="n">
        <v>33.69</v>
      </c>
      <c r="K838" s="13" t="inlineStr">
        <is>
          <t>33.69</t>
        </is>
      </c>
      <c r="L838" s="12" t="n">
        <v>45949</v>
      </c>
      <c r="M838" s="12" t="n">
        <v>45572</v>
      </c>
      <c r="N838" s="13" t="inlineStr"/>
      <c r="O838" s="13" t="inlineStr"/>
      <c r="P838" s="12" t="n"/>
    </row>
    <row r="839" ht="79.2" customHeight="1">
      <c r="A839" s="15" t="inlineStr">
        <is>
          <t>AU23270</t>
        </is>
      </c>
      <c r="B839" s="16" t="n">
        <v>45474</v>
      </c>
      <c r="C839" s="15" t="inlineStr">
        <is>
          <t>Courier</t>
        </is>
      </c>
      <c r="D839" s="15" t="inlineStr">
        <is>
          <t>Health Professionals and Support Services Award</t>
        </is>
      </c>
      <c r="E839" s="15" t="inlineStr">
        <is>
          <t>CA - Casual</t>
        </is>
      </c>
      <c r="F839" s="15" t="inlineStr">
        <is>
          <t>Diagnostics</t>
        </is>
      </c>
      <c r="G839" s="15" t="inlineStr">
        <is>
          <t>New South Wales</t>
        </is>
      </c>
      <c r="H839" s="17" t="inlineStr"/>
      <c r="I839" s="15" t="inlineStr">
        <is>
          <t>Virtus Health Specialist Diagnostics</t>
        </is>
      </c>
      <c r="J839" s="18" t="n">
        <v>33.79</v>
      </c>
      <c r="K839" s="17" t="inlineStr">
        <is>
          <t>33.79</t>
        </is>
      </c>
      <c r="L839" s="16" t="n">
        <v>45949</v>
      </c>
      <c r="M839" s="16" t="n">
        <v>45474</v>
      </c>
      <c r="N839" s="17" t="inlineStr"/>
      <c r="O839" s="17" t="inlineStr"/>
      <c r="P839" s="16" t="n"/>
    </row>
    <row r="840" ht="52.8" customHeight="1">
      <c r="A840" s="11" t="inlineStr">
        <is>
          <t>AU23079</t>
        </is>
      </c>
      <c r="B840" s="12" t="n">
        <v>45334</v>
      </c>
      <c r="C840" s="11" t="inlineStr">
        <is>
          <t>Registered Nurse</t>
        </is>
      </c>
      <c r="D840" s="11" t="inlineStr">
        <is>
          <t>QLD Nurse EA</t>
        </is>
      </c>
      <c r="E840" s="11" t="inlineStr">
        <is>
          <t>CA - Casual</t>
        </is>
      </c>
      <c r="F840" s="11" t="inlineStr">
        <is>
          <t>Day Hospitals</t>
        </is>
      </c>
      <c r="G840" s="11" t="inlineStr">
        <is>
          <t>Queensland</t>
        </is>
      </c>
      <c r="H840" s="13" t="inlineStr"/>
      <c r="I840" s="11" t="inlineStr">
        <is>
          <t>MACKAY Specialist Day Hospital</t>
        </is>
      </c>
      <c r="J840" s="14" t="n">
        <v>34.06</v>
      </c>
      <c r="K840" s="13" t="inlineStr">
        <is>
          <t>34.06</t>
        </is>
      </c>
      <c r="L840" s="12" t="n">
        <v>45907</v>
      </c>
      <c r="M840" s="12" t="n">
        <v>45334</v>
      </c>
      <c r="N840" s="13" t="inlineStr"/>
      <c r="O840" s="13" t="inlineStr"/>
      <c r="P840" s="12" t="n"/>
    </row>
    <row r="841" ht="39.6" customHeight="1">
      <c r="A841" s="15" t="n">
        <v>20365</v>
      </c>
      <c r="B841" s="16" t="n">
        <v>41562</v>
      </c>
      <c r="C841" s="15" t="inlineStr">
        <is>
          <t>Administration</t>
        </is>
      </c>
      <c r="D841" s="15" t="inlineStr">
        <is>
          <t>NSW Support Services EA</t>
        </is>
      </c>
      <c r="E841" s="15" t="inlineStr">
        <is>
          <t>CA - Casual</t>
        </is>
      </c>
      <c r="F841" s="15" t="inlineStr">
        <is>
          <t>IVFA</t>
        </is>
      </c>
      <c r="G841" s="15" t="inlineStr">
        <is>
          <t>New South Wales</t>
        </is>
      </c>
      <c r="H841" s="17" t="inlineStr"/>
      <c r="I841" s="15" t="inlineStr">
        <is>
          <t>IVF Australia Pty Ltd</t>
        </is>
      </c>
      <c r="J841" s="18" t="n">
        <v>175.38</v>
      </c>
      <c r="K841" s="17" t="inlineStr">
        <is>
          <t>34.15</t>
        </is>
      </c>
      <c r="L841" s="16" t="n">
        <v>45949</v>
      </c>
      <c r="M841" s="16" t="n">
        <v>45214</v>
      </c>
      <c r="N841" s="17" t="inlineStr">
        <is>
          <t>141.23</t>
        </is>
      </c>
      <c r="O841" s="17" t="inlineStr"/>
      <c r="P841" s="16" t="n"/>
    </row>
    <row r="842" ht="52.8" customHeight="1">
      <c r="A842" s="11" t="inlineStr">
        <is>
          <t>AU23335</t>
        </is>
      </c>
      <c r="B842" s="12" t="n">
        <v>45558</v>
      </c>
      <c r="C842" s="11" t="inlineStr">
        <is>
          <t>Executive Assistant</t>
        </is>
      </c>
      <c r="D842" s="11" t="inlineStr">
        <is>
          <t>Common Law Employment Contract</t>
        </is>
      </c>
      <c r="E842" s="11" t="inlineStr">
        <is>
          <t>FT - Full-time Waged</t>
        </is>
      </c>
      <c r="F842" s="11" t="inlineStr">
        <is>
          <t>Corporate Services</t>
        </is>
      </c>
      <c r="G842" s="11" t="inlineStr">
        <is>
          <t>New South Wales</t>
        </is>
      </c>
      <c r="H842" s="13" t="inlineStr">
        <is>
          <t>76.00</t>
        </is>
      </c>
      <c r="I842" s="11" t="inlineStr">
        <is>
          <t>IVF Australia Pty Ltd</t>
        </is>
      </c>
      <c r="J842" s="14" t="n">
        <v>34.34</v>
      </c>
      <c r="K842" s="13" t="inlineStr">
        <is>
          <t>34.34</t>
        </is>
      </c>
      <c r="L842" s="12" t="n">
        <v>45949</v>
      </c>
      <c r="M842" s="12" t="n">
        <v>45558</v>
      </c>
      <c r="N842" s="13" t="inlineStr"/>
      <c r="O842" s="13" t="inlineStr"/>
      <c r="P842" s="12" t="n"/>
    </row>
    <row r="843" ht="39.6" customHeight="1">
      <c r="A843" s="15" t="inlineStr">
        <is>
          <t>AU23355</t>
        </is>
      </c>
      <c r="B843" s="16" t="n">
        <v>45544</v>
      </c>
      <c r="C843" s="15" t="inlineStr">
        <is>
          <t>Administration</t>
        </is>
      </c>
      <c r="D843" s="15" t="inlineStr">
        <is>
          <t>NSW Support Services EA</t>
        </is>
      </c>
      <c r="E843" s="15" t="inlineStr">
        <is>
          <t>PC- Part Time Fixed Term Contr</t>
        </is>
      </c>
      <c r="F843" s="15" t="inlineStr">
        <is>
          <t>IVFA</t>
        </is>
      </c>
      <c r="G843" s="15" t="inlineStr">
        <is>
          <t>New South Wales</t>
        </is>
      </c>
      <c r="H843" s="17" t="inlineStr">
        <is>
          <t>76.00</t>
        </is>
      </c>
      <c r="I843" s="15" t="inlineStr">
        <is>
          <t>IVF Australia Pty Ltd</t>
        </is>
      </c>
      <c r="J843" s="18" t="n">
        <v>34.48</v>
      </c>
      <c r="K843" s="17" t="inlineStr">
        <is>
          <t>34.48</t>
        </is>
      </c>
      <c r="L843" s="16" t="n">
        <v>45949</v>
      </c>
      <c r="M843" s="16" t="n">
        <v>45544</v>
      </c>
      <c r="N843" s="17" t="inlineStr"/>
      <c r="O843" s="17" t="inlineStr"/>
      <c r="P843" s="16" t="n"/>
    </row>
    <row r="844" ht="39.6" customHeight="1">
      <c r="A844" s="11" t="n">
        <v>20059</v>
      </c>
      <c r="B844" s="12" t="n">
        <v>35275</v>
      </c>
      <c r="C844" s="11" t="inlineStr">
        <is>
          <t>Embryologist</t>
        </is>
      </c>
      <c r="D844" s="11" t="inlineStr">
        <is>
          <t>IVFA Scientists EA</t>
        </is>
      </c>
      <c r="E844" s="11" t="inlineStr">
        <is>
          <t>PP - Part-time Waged</t>
        </is>
      </c>
      <c r="F844" s="11" t="inlineStr">
        <is>
          <t>IVFA</t>
        </is>
      </c>
      <c r="G844" s="11" t="inlineStr">
        <is>
          <t>New South Wales</t>
        </is>
      </c>
      <c r="H844" s="13" t="inlineStr">
        <is>
          <t>62.00</t>
        </is>
      </c>
      <c r="I844" s="11" t="inlineStr">
        <is>
          <t>IVF Australia Pty Ltd</t>
        </is>
      </c>
      <c r="J844" s="14" t="n">
        <v>94.27</v>
      </c>
      <c r="K844" s="13" t="inlineStr">
        <is>
          <t>34.72</t>
        </is>
      </c>
      <c r="L844" s="12" t="n">
        <v>45949</v>
      </c>
      <c r="M844" s="12" t="n">
        <v>45502</v>
      </c>
      <c r="N844" s="13" t="inlineStr">
        <is>
          <t>112.05</t>
        </is>
      </c>
      <c r="O844" s="13" t="inlineStr">
        <is>
          <t>52.50</t>
        </is>
      </c>
      <c r="P844" s="12" t="n"/>
    </row>
    <row r="845" ht="52.8" customHeight="1">
      <c r="A845" s="15" t="inlineStr">
        <is>
          <t>AU23488</t>
        </is>
      </c>
      <c r="B845" s="16" t="n">
        <v>45685</v>
      </c>
      <c r="C845" s="15" t="inlineStr">
        <is>
          <t>Technology Operations Engineer</t>
        </is>
      </c>
      <c r="D845" s="15" t="inlineStr">
        <is>
          <t>Common Law Employment Contract</t>
        </is>
      </c>
      <c r="E845" s="15" t="inlineStr">
        <is>
          <t>FP - Full-time Salaried</t>
        </is>
      </c>
      <c r="F845" s="15" t="inlineStr">
        <is>
          <t>Corporate Services</t>
        </is>
      </c>
      <c r="G845" s="15" t="inlineStr">
        <is>
          <t>Queensland</t>
        </is>
      </c>
      <c r="H845" s="17" t="inlineStr">
        <is>
          <t>76.00</t>
        </is>
      </c>
      <c r="I845" s="15" t="inlineStr">
        <is>
          <t>IVF Australia Pty Ltd</t>
        </is>
      </c>
      <c r="J845" s="18" t="n">
        <v>34.77</v>
      </c>
      <c r="K845" s="17" t="inlineStr">
        <is>
          <t>34.77</t>
        </is>
      </c>
      <c r="L845" s="16" t="n">
        <v>45949</v>
      </c>
      <c r="M845" s="16" t="n">
        <v>45685</v>
      </c>
      <c r="N845" s="17" t="inlineStr"/>
      <c r="O845" s="17" t="inlineStr"/>
      <c r="P845" s="16" t="n"/>
    </row>
    <row r="846" ht="79.2" customHeight="1">
      <c r="A846" s="11" t="inlineStr">
        <is>
          <t>AU23271</t>
        </is>
      </c>
      <c r="B846" s="12" t="n">
        <v>45474</v>
      </c>
      <c r="C846" s="11" t="inlineStr">
        <is>
          <t>Courier</t>
        </is>
      </c>
      <c r="D846" s="11" t="inlineStr">
        <is>
          <t>Health Professionals and Support Services Award</t>
        </is>
      </c>
      <c r="E846" s="11" t="inlineStr">
        <is>
          <t>CA - Casual</t>
        </is>
      </c>
      <c r="F846" s="11" t="inlineStr">
        <is>
          <t>Diagnostics</t>
        </is>
      </c>
      <c r="G846" s="11" t="inlineStr">
        <is>
          <t>New South Wales</t>
        </is>
      </c>
      <c r="H846" s="13" t="inlineStr"/>
      <c r="I846" s="11" t="inlineStr">
        <is>
          <t>Virtus Health Specialist Diagnostics</t>
        </is>
      </c>
      <c r="J846" s="14" t="n">
        <v>34.91</v>
      </c>
      <c r="K846" s="13" t="inlineStr">
        <is>
          <t>34.91</t>
        </is>
      </c>
      <c r="L846" s="12" t="n">
        <v>45949</v>
      </c>
      <c r="M846" s="12" t="n">
        <v>45474</v>
      </c>
      <c r="N846" s="13" t="inlineStr"/>
      <c r="O846" s="13" t="inlineStr"/>
      <c r="P846" s="12" t="n"/>
    </row>
    <row r="847" ht="66" customHeight="1">
      <c r="A847" s="15" t="n">
        <v>50209</v>
      </c>
      <c r="B847" s="16" t="n">
        <v>44620</v>
      </c>
      <c r="C847" s="15" t="inlineStr">
        <is>
          <t>Administration Clerk</t>
        </is>
      </c>
      <c r="D847" s="15" t="inlineStr">
        <is>
          <t>NSW Support Services EA</t>
        </is>
      </c>
      <c r="E847" s="15" t="inlineStr">
        <is>
          <t>CA - Casual</t>
        </is>
      </c>
      <c r="F847" s="15" t="inlineStr">
        <is>
          <t>Day Hospitals</t>
        </is>
      </c>
      <c r="G847" s="15" t="inlineStr">
        <is>
          <t>New South Wales</t>
        </is>
      </c>
      <c r="H847" s="17" t="inlineStr"/>
      <c r="I847" s="15" t="inlineStr">
        <is>
          <t>Alexandria Specialist Day Hospital Pty Ltd</t>
        </is>
      </c>
      <c r="J847" s="18" t="n">
        <v>35.24</v>
      </c>
      <c r="K847" s="17" t="inlineStr">
        <is>
          <t>35.24</t>
        </is>
      </c>
      <c r="L847" s="16" t="n">
        <v>45949</v>
      </c>
      <c r="M847" s="16" t="n">
        <v>44620</v>
      </c>
      <c r="N847" s="17" t="inlineStr"/>
      <c r="O847" s="17" t="inlineStr"/>
      <c r="P847" s="16" t="n"/>
    </row>
    <row r="848" ht="52.8" customHeight="1">
      <c r="A848" s="11" t="inlineStr">
        <is>
          <t>AU23620</t>
        </is>
      </c>
      <c r="B848" s="12" t="n">
        <v>45796</v>
      </c>
      <c r="C848" s="11" t="inlineStr">
        <is>
          <t>Nurse Coordinator</t>
        </is>
      </c>
      <c r="D848" s="11" t="inlineStr">
        <is>
          <t>QLD Nurse EA</t>
        </is>
      </c>
      <c r="E848" s="11" t="inlineStr">
        <is>
          <t>PP - Part-time Waged</t>
        </is>
      </c>
      <c r="F848" s="11" t="inlineStr">
        <is>
          <t>Queensland Fertility Group</t>
        </is>
      </c>
      <c r="G848" s="11" t="inlineStr">
        <is>
          <t>Queensland</t>
        </is>
      </c>
      <c r="H848" s="13" t="inlineStr">
        <is>
          <t>68.40</t>
        </is>
      </c>
      <c r="I848" s="11" t="inlineStr">
        <is>
          <t>Queensland Fertility Group Pty Ltd</t>
        </is>
      </c>
      <c r="J848" s="14" t="n">
        <v>35.31</v>
      </c>
      <c r="K848" s="13" t="inlineStr">
        <is>
          <t>35.31</t>
        </is>
      </c>
      <c r="L848" s="12" t="n">
        <v>45949</v>
      </c>
      <c r="M848" s="12" t="n">
        <v>45565</v>
      </c>
      <c r="N848" s="13" t="inlineStr"/>
      <c r="O848" s="13" t="inlineStr"/>
      <c r="P848" s="12" t="n"/>
    </row>
    <row r="849" ht="52.8" customHeight="1">
      <c r="A849" s="15" t="inlineStr">
        <is>
          <t>AU23261</t>
        </is>
      </c>
      <c r="B849" s="16" t="n">
        <v>45462</v>
      </c>
      <c r="C849" s="15" t="inlineStr">
        <is>
          <t>Communications Manager</t>
        </is>
      </c>
      <c r="D849" s="15" t="inlineStr">
        <is>
          <t>Common Law Employment Contract</t>
        </is>
      </c>
      <c r="E849" s="15" t="inlineStr">
        <is>
          <t>PT - Part-time Salary</t>
        </is>
      </c>
      <c r="F849" s="15" t="inlineStr">
        <is>
          <t>Corporate Services</t>
        </is>
      </c>
      <c r="G849" s="15" t="inlineStr">
        <is>
          <t>New South Wales</t>
        </is>
      </c>
      <c r="H849" s="17" t="inlineStr">
        <is>
          <t>60.80</t>
        </is>
      </c>
      <c r="I849" s="15" t="inlineStr">
        <is>
          <t>IVF Australia Pty Ltd</t>
        </is>
      </c>
      <c r="J849" s="18" t="n">
        <v>35.34</v>
      </c>
      <c r="K849" s="17" t="inlineStr">
        <is>
          <t>35.34</t>
        </is>
      </c>
      <c r="L849" s="16" t="n">
        <v>45949</v>
      </c>
      <c r="M849" s="16" t="n">
        <v>45462</v>
      </c>
      <c r="N849" s="17" t="inlineStr"/>
      <c r="O849" s="17" t="inlineStr"/>
      <c r="P849" s="16" t="n"/>
    </row>
    <row r="850" ht="39.6" customHeight="1">
      <c r="A850" s="11" t="n">
        <v>40005</v>
      </c>
      <c r="B850" s="12" t="n">
        <v>39407</v>
      </c>
      <c r="C850" s="11" t="inlineStr">
        <is>
          <t>Administration Clerk</t>
        </is>
      </c>
      <c r="D850" s="11" t="inlineStr">
        <is>
          <t>NSW Support Services EA</t>
        </is>
      </c>
      <c r="E850" s="11" t="inlineStr">
        <is>
          <t>PP - Part-time Waged</t>
        </is>
      </c>
      <c r="F850" s="11" t="inlineStr">
        <is>
          <t>Day Hospitals</t>
        </is>
      </c>
      <c r="G850" s="11" t="inlineStr">
        <is>
          <t>New South Wales</t>
        </is>
      </c>
      <c r="H850" s="13" t="inlineStr">
        <is>
          <t>48.00</t>
        </is>
      </c>
      <c r="I850" s="11" t="inlineStr">
        <is>
          <t>City West Day Surgery</t>
        </is>
      </c>
      <c r="J850" s="14" t="n">
        <v>409.31</v>
      </c>
      <c r="K850" s="13" t="inlineStr">
        <is>
          <t>35.47</t>
        </is>
      </c>
      <c r="L850" s="12" t="n">
        <v>45949</v>
      </c>
      <c r="M850" s="12" t="n">
        <v>45255</v>
      </c>
      <c r="N850" s="13" t="inlineStr">
        <is>
          <t>411.84</t>
        </is>
      </c>
      <c r="O850" s="13" t="inlineStr">
        <is>
          <t>38.00</t>
        </is>
      </c>
      <c r="P850" s="12" t="n"/>
    </row>
    <row r="851" ht="39.6" customHeight="1">
      <c r="A851" s="15" t="inlineStr">
        <is>
          <t>AU23363</t>
        </is>
      </c>
      <c r="B851" s="16" t="n">
        <v>45552</v>
      </c>
      <c r="C851" s="15" t="inlineStr">
        <is>
          <t>Registered Nurse</t>
        </is>
      </c>
      <c r="D851" s="15" t="inlineStr">
        <is>
          <t>NSW Nurse EA</t>
        </is>
      </c>
      <c r="E851" s="15" t="inlineStr">
        <is>
          <t>FT - Full-time Waged</t>
        </is>
      </c>
      <c r="F851" s="15" t="inlineStr">
        <is>
          <t>IVFA</t>
        </is>
      </c>
      <c r="G851" s="15" t="inlineStr">
        <is>
          <t>New South Wales</t>
        </is>
      </c>
      <c r="H851" s="17" t="inlineStr">
        <is>
          <t>76.00</t>
        </is>
      </c>
      <c r="I851" s="15" t="inlineStr">
        <is>
          <t>IVF Australia Pty Ltd</t>
        </is>
      </c>
      <c r="J851" s="18" t="n">
        <v>35.52</v>
      </c>
      <c r="K851" s="17" t="inlineStr">
        <is>
          <t>35.52</t>
        </is>
      </c>
      <c r="L851" s="16" t="n">
        <v>45949</v>
      </c>
      <c r="M851" s="16" t="n">
        <v>45552</v>
      </c>
      <c r="N851" s="17" t="inlineStr"/>
      <c r="O851" s="17" t="inlineStr"/>
      <c r="P851" s="16" t="n"/>
    </row>
    <row r="852" ht="52.8" customHeight="1">
      <c r="A852" s="11" t="inlineStr">
        <is>
          <t>AU23345</t>
        </is>
      </c>
      <c r="B852" s="12" t="n">
        <v>45558</v>
      </c>
      <c r="C852" s="11" t="inlineStr">
        <is>
          <t>Senior Data Analyst</t>
        </is>
      </c>
      <c r="D852" s="11" t="inlineStr">
        <is>
          <t>Common Law Employment Contract</t>
        </is>
      </c>
      <c r="E852" s="11" t="inlineStr">
        <is>
          <t>FP - Full-time Salaried</t>
        </is>
      </c>
      <c r="F852" s="11" t="inlineStr">
        <is>
          <t>Corporate Services</t>
        </is>
      </c>
      <c r="G852" s="11" t="inlineStr">
        <is>
          <t>Victoria</t>
        </is>
      </c>
      <c r="H852" s="13" t="inlineStr">
        <is>
          <t>76.00</t>
        </is>
      </c>
      <c r="I852" s="11" t="inlineStr">
        <is>
          <t>IVF Australia Pty Ltd</t>
        </is>
      </c>
      <c r="J852" s="14" t="n">
        <v>35.53</v>
      </c>
      <c r="K852" s="13" t="inlineStr">
        <is>
          <t>35.53</t>
        </is>
      </c>
      <c r="L852" s="12" t="n">
        <v>45949</v>
      </c>
      <c r="M852" s="12" t="n">
        <v>45558</v>
      </c>
      <c r="N852" s="13" t="inlineStr"/>
      <c r="O852" s="13" t="inlineStr"/>
      <c r="P852" s="12" t="n"/>
    </row>
    <row r="853" ht="66" customHeight="1">
      <c r="A853" s="15" t="n">
        <v>30369</v>
      </c>
      <c r="B853" s="16" t="n">
        <v>44321</v>
      </c>
      <c r="C853" s="15" t="inlineStr">
        <is>
          <t>Registered Nurse</t>
        </is>
      </c>
      <c r="D853" s="15" t="inlineStr">
        <is>
          <t>NSW Nurse EA</t>
        </is>
      </c>
      <c r="E853" s="15" t="inlineStr">
        <is>
          <t>CA - Casual</t>
        </is>
      </c>
      <c r="F853" s="15" t="inlineStr">
        <is>
          <t>Day Hospitals</t>
        </is>
      </c>
      <c r="G853" s="15" t="inlineStr">
        <is>
          <t>New South Wales</t>
        </is>
      </c>
      <c r="H853" s="17" t="inlineStr"/>
      <c r="I853" s="15" t="inlineStr">
        <is>
          <t>North Shore Specialist Day Hospital Pty Ltd</t>
        </is>
      </c>
      <c r="J853" s="18" t="n">
        <v>35.62</v>
      </c>
      <c r="K853" s="17" t="inlineStr">
        <is>
          <t>35.62</t>
        </is>
      </c>
      <c r="L853" s="16" t="n">
        <v>45921</v>
      </c>
      <c r="M853" s="16" t="n">
        <v>44321</v>
      </c>
      <c r="N853" s="17" t="inlineStr"/>
      <c r="O853" s="17" t="inlineStr"/>
      <c r="P853" s="16" t="n"/>
    </row>
    <row r="854" ht="52.8" customHeight="1">
      <c r="A854" s="11" t="n">
        <v>20152</v>
      </c>
      <c r="B854" s="12" t="n">
        <v>39532</v>
      </c>
      <c r="C854" s="11" t="inlineStr">
        <is>
          <t>Counselling Manager</t>
        </is>
      </c>
      <c r="D854" s="11" t="inlineStr">
        <is>
          <t>Common Law Employment Contract</t>
        </is>
      </c>
      <c r="E854" s="11" t="inlineStr">
        <is>
          <t>PP - Part-time Waged</t>
        </is>
      </c>
      <c r="F854" s="11" t="inlineStr">
        <is>
          <t>IVFA</t>
        </is>
      </c>
      <c r="G854" s="11" t="inlineStr">
        <is>
          <t>New South Wales</t>
        </is>
      </c>
      <c r="H854" s="13" t="inlineStr">
        <is>
          <t>51.00</t>
        </is>
      </c>
      <c r="I854" s="11" t="inlineStr">
        <is>
          <t>IVF Australia Pty Ltd</t>
        </is>
      </c>
      <c r="J854" s="14" t="n">
        <v>76.55</v>
      </c>
      <c r="K854" s="13" t="inlineStr">
        <is>
          <t>35.88</t>
        </is>
      </c>
      <c r="L854" s="12" t="n">
        <v>45949</v>
      </c>
      <c r="M854" s="12" t="n">
        <v>45376</v>
      </c>
      <c r="N854" s="13" t="inlineStr">
        <is>
          <t>142.67</t>
        </is>
      </c>
      <c r="O854" s="13" t="inlineStr">
        <is>
          <t>102.00</t>
        </is>
      </c>
      <c r="P854" s="12" t="n"/>
    </row>
    <row r="855" ht="39.6" customHeight="1">
      <c r="A855" s="15" t="inlineStr">
        <is>
          <t>AU23354</t>
        </is>
      </c>
      <c r="B855" s="16" t="n">
        <v>45552</v>
      </c>
      <c r="C855" s="15" t="inlineStr">
        <is>
          <t>Registered Nurse</t>
        </is>
      </c>
      <c r="D855" s="15" t="inlineStr">
        <is>
          <t>NSW Nurse EA</t>
        </is>
      </c>
      <c r="E855" s="15" t="inlineStr">
        <is>
          <t>FT - Full-time Waged</t>
        </is>
      </c>
      <c r="F855" s="15" t="inlineStr">
        <is>
          <t>IVFA</t>
        </is>
      </c>
      <c r="G855" s="15" t="inlineStr">
        <is>
          <t>New South Wales</t>
        </is>
      </c>
      <c r="H855" s="17" t="inlineStr">
        <is>
          <t>76.00</t>
        </is>
      </c>
      <c r="I855" s="15" t="inlineStr">
        <is>
          <t>IVF Australia Pty Ltd</t>
        </is>
      </c>
      <c r="J855" s="18" t="n">
        <v>36.01</v>
      </c>
      <c r="K855" s="17" t="inlineStr">
        <is>
          <t>36.01</t>
        </is>
      </c>
      <c r="L855" s="16" t="n">
        <v>45949</v>
      </c>
      <c r="M855" s="16" t="n">
        <v>45552</v>
      </c>
      <c r="N855" s="17" t="inlineStr"/>
      <c r="O855" s="17" t="inlineStr"/>
      <c r="P855" s="16" t="n"/>
    </row>
    <row r="856" ht="52.8" customHeight="1">
      <c r="A856" s="11" t="inlineStr">
        <is>
          <t>AU23258</t>
        </is>
      </c>
      <c r="B856" s="12" t="n">
        <v>45537</v>
      </c>
      <c r="C856" s="11" t="inlineStr">
        <is>
          <t>Chief Financial Officer</t>
        </is>
      </c>
      <c r="D856" s="11" t="inlineStr">
        <is>
          <t>Common Law Employment Contract</t>
        </is>
      </c>
      <c r="E856" s="11" t="inlineStr">
        <is>
          <t>FP - Full-time Salaried</t>
        </is>
      </c>
      <c r="F856" s="11" t="inlineStr">
        <is>
          <t>Corporate Services</t>
        </is>
      </c>
      <c r="G856" s="11" t="inlineStr">
        <is>
          <t>New South Wales</t>
        </is>
      </c>
      <c r="H856" s="13" t="inlineStr">
        <is>
          <t>76.00</t>
        </is>
      </c>
      <c r="I856" s="11" t="inlineStr">
        <is>
          <t>IVF Australia Pty Ltd</t>
        </is>
      </c>
      <c r="J856" s="14" t="n">
        <v>36.1</v>
      </c>
      <c r="K856" s="13" t="inlineStr">
        <is>
          <t>36.10</t>
        </is>
      </c>
      <c r="L856" s="12" t="n">
        <v>45949</v>
      </c>
      <c r="M856" s="12" t="n">
        <v>45537</v>
      </c>
      <c r="N856" s="13" t="inlineStr"/>
      <c r="O856" s="13" t="inlineStr"/>
      <c r="P856" s="12" t="n"/>
    </row>
    <row r="857" ht="52.8" customHeight="1">
      <c r="A857" s="15" t="inlineStr">
        <is>
          <t>AU23332</t>
        </is>
      </c>
      <c r="B857" s="16" t="n">
        <v>45544</v>
      </c>
      <c r="C857" s="15" t="inlineStr">
        <is>
          <t>Chief Commercial Officer</t>
        </is>
      </c>
      <c r="D857" s="15" t="inlineStr">
        <is>
          <t>Common Law Employment Contract</t>
        </is>
      </c>
      <c r="E857" s="15" t="inlineStr">
        <is>
          <t>FP - Full-time Salaried</t>
        </is>
      </c>
      <c r="F857" s="15" t="inlineStr">
        <is>
          <t>Corporate Services</t>
        </is>
      </c>
      <c r="G857" s="15" t="inlineStr">
        <is>
          <t>New South Wales</t>
        </is>
      </c>
      <c r="H857" s="17" t="inlineStr">
        <is>
          <t>76.00</t>
        </is>
      </c>
      <c r="I857" s="15" t="inlineStr">
        <is>
          <t>IVF Australia Pty Ltd</t>
        </is>
      </c>
      <c r="J857" s="18" t="n">
        <v>36.1</v>
      </c>
      <c r="K857" s="17" t="inlineStr">
        <is>
          <t>36.10</t>
        </is>
      </c>
      <c r="L857" s="16" t="n">
        <v>45949</v>
      </c>
      <c r="M857" s="16" t="n">
        <v>45544</v>
      </c>
      <c r="N857" s="17" t="inlineStr"/>
      <c r="O857" s="17" t="inlineStr"/>
      <c r="P857" s="16" t="n"/>
    </row>
    <row r="858" ht="79.2" customHeight="1">
      <c r="A858" s="11" t="inlineStr">
        <is>
          <t>AU23309</t>
        </is>
      </c>
      <c r="B858" s="12" t="n">
        <v>45530</v>
      </c>
      <c r="C858" s="11" t="inlineStr">
        <is>
          <t>Supervising Scientist</t>
        </is>
      </c>
      <c r="D858" s="11" t="inlineStr">
        <is>
          <t>Health Professionals and Support Services Award</t>
        </is>
      </c>
      <c r="E858" s="11" t="inlineStr">
        <is>
          <t>FT - Full-time Waged</t>
        </is>
      </c>
      <c r="F858" s="11" t="inlineStr">
        <is>
          <t>Diagnostics</t>
        </is>
      </c>
      <c r="G858" s="11" t="inlineStr">
        <is>
          <t>New South Wales</t>
        </is>
      </c>
      <c r="H858" s="13" t="inlineStr">
        <is>
          <t>76.00</t>
        </is>
      </c>
      <c r="I858" s="11" t="inlineStr">
        <is>
          <t>Virtus Health Specialist Diagnostics</t>
        </is>
      </c>
      <c r="J858" s="14" t="n">
        <v>36.12</v>
      </c>
      <c r="K858" s="13" t="inlineStr">
        <is>
          <t>36.12</t>
        </is>
      </c>
      <c r="L858" s="12" t="n">
        <v>45949</v>
      </c>
      <c r="M858" s="12" t="n">
        <v>45530</v>
      </c>
      <c r="N858" s="13" t="inlineStr"/>
      <c r="O858" s="13" t="inlineStr"/>
      <c r="P858" s="12" t="n"/>
    </row>
    <row r="859" ht="39.6" customHeight="1">
      <c r="A859" s="15" t="inlineStr">
        <is>
          <t>AU23239</t>
        </is>
      </c>
      <c r="B859" s="16" t="n">
        <v>45446</v>
      </c>
      <c r="C859" s="15" t="inlineStr">
        <is>
          <t>Donor Co-Ordinator</t>
        </is>
      </c>
      <c r="D859" s="15" t="inlineStr">
        <is>
          <t>NSW Support Services EA</t>
        </is>
      </c>
      <c r="E859" s="15" t="inlineStr">
        <is>
          <t>PP - Part-time Waged</t>
        </is>
      </c>
      <c r="F859" s="15" t="inlineStr">
        <is>
          <t>IVFA</t>
        </is>
      </c>
      <c r="G859" s="15" t="inlineStr">
        <is>
          <t>New South Wales</t>
        </is>
      </c>
      <c r="H859" s="17" t="inlineStr">
        <is>
          <t>60.80</t>
        </is>
      </c>
      <c r="I859" s="15" t="inlineStr">
        <is>
          <t>IVF Australia Pty Ltd</t>
        </is>
      </c>
      <c r="J859" s="18" t="n">
        <v>36.27</v>
      </c>
      <c r="K859" s="17" t="inlineStr">
        <is>
          <t>36.27</t>
        </is>
      </c>
      <c r="L859" s="16" t="n">
        <v>45949</v>
      </c>
      <c r="M859" s="16" t="n">
        <v>45446</v>
      </c>
      <c r="N859" s="17" t="inlineStr"/>
      <c r="O859" s="17" t="inlineStr"/>
      <c r="P859" s="16" t="n"/>
    </row>
    <row r="860" ht="52.8" customHeight="1">
      <c r="A860" s="11" t="n">
        <v>60125</v>
      </c>
      <c r="B860" s="12" t="n">
        <v>34367</v>
      </c>
      <c r="C860" s="11" t="inlineStr">
        <is>
          <t>Registered Nurse</t>
        </is>
      </c>
      <c r="D860" s="11" t="inlineStr">
        <is>
          <t>QLD Nurse EA</t>
        </is>
      </c>
      <c r="E860" s="11" t="inlineStr">
        <is>
          <t>FT - Full-time Waged</t>
        </is>
      </c>
      <c r="F860" s="11" t="inlineStr">
        <is>
          <t>Day Hospitals</t>
        </is>
      </c>
      <c r="G860" s="11" t="inlineStr">
        <is>
          <t>Queensland</t>
        </is>
      </c>
      <c r="H860" s="13" t="inlineStr">
        <is>
          <t>80.00</t>
        </is>
      </c>
      <c r="I860" s="11" t="inlineStr">
        <is>
          <t>Spring Hill Specialist Day Hospital</t>
        </is>
      </c>
      <c r="J860" s="14" t="n">
        <v>646.23</v>
      </c>
      <c r="K860" s="13" t="inlineStr">
        <is>
          <t>36.36</t>
        </is>
      </c>
      <c r="L860" s="12" t="n">
        <v>45949</v>
      </c>
      <c r="M860" s="12" t="n">
        <v>45690</v>
      </c>
      <c r="N860" s="13" t="inlineStr">
        <is>
          <t>1,073.87</t>
        </is>
      </c>
      <c r="O860" s="13" t="inlineStr">
        <is>
          <t>464.00</t>
        </is>
      </c>
      <c r="P860" s="12" t="n"/>
    </row>
    <row r="861" ht="52.8" customHeight="1">
      <c r="A861" s="15" t="inlineStr">
        <is>
          <t>AU23313</t>
        </is>
      </c>
      <c r="B861" s="16" t="n">
        <v>45511</v>
      </c>
      <c r="C861" s="15" t="inlineStr">
        <is>
          <t>Assistant Accountant</t>
        </is>
      </c>
      <c r="D861" s="15" t="inlineStr">
        <is>
          <t>Common Law Employment Contract</t>
        </is>
      </c>
      <c r="E861" s="15" t="inlineStr">
        <is>
          <t>FP - Full-time Salaried</t>
        </is>
      </c>
      <c r="F861" s="15" t="inlineStr">
        <is>
          <t>IVFA</t>
        </is>
      </c>
      <c r="G861" s="15" t="inlineStr">
        <is>
          <t>New South Wales</t>
        </is>
      </c>
      <c r="H861" s="17" t="inlineStr">
        <is>
          <t>76.00</t>
        </is>
      </c>
      <c r="I861" s="15" t="inlineStr">
        <is>
          <t>IVF Australia Pty Ltd</t>
        </is>
      </c>
      <c r="J861" s="18" t="n">
        <v>36.48</v>
      </c>
      <c r="K861" s="17" t="inlineStr">
        <is>
          <t>36.48</t>
        </is>
      </c>
      <c r="L861" s="16" t="n">
        <v>45949</v>
      </c>
      <c r="M861" s="16" t="n">
        <v>45511</v>
      </c>
      <c r="N861" s="17" t="inlineStr"/>
      <c r="O861" s="17" t="inlineStr"/>
      <c r="P861" s="16" t="n"/>
    </row>
    <row r="862" ht="39.6" customHeight="1">
      <c r="A862" s="11" t="inlineStr">
        <is>
          <t>AU23411</t>
        </is>
      </c>
      <c r="B862" s="12" t="n">
        <v>45586</v>
      </c>
      <c r="C862" s="11" t="inlineStr">
        <is>
          <t>Registered Nurse</t>
        </is>
      </c>
      <c r="D862" s="11" t="inlineStr">
        <is>
          <t>NSW Nurse EA</t>
        </is>
      </c>
      <c r="E862" s="11" t="inlineStr">
        <is>
          <t>PP - Part-time Waged</t>
        </is>
      </c>
      <c r="F862" s="11" t="inlineStr">
        <is>
          <t>Day Hospitals</t>
        </is>
      </c>
      <c r="G862" s="11" t="inlineStr">
        <is>
          <t>New South Wales</t>
        </is>
      </c>
      <c r="H862" s="13" t="inlineStr">
        <is>
          <t>50.00</t>
        </is>
      </c>
      <c r="I862" s="11" t="inlineStr">
        <is>
          <t>City West Day Surgery</t>
        </is>
      </c>
      <c r="J862" s="14" t="n">
        <v>36.49</v>
      </c>
      <c r="K862" s="13" t="inlineStr">
        <is>
          <t>36.49</t>
        </is>
      </c>
      <c r="L862" s="12" t="n">
        <v>45949</v>
      </c>
      <c r="M862" s="12" t="n">
        <v>45364</v>
      </c>
      <c r="N862" s="13" t="inlineStr"/>
      <c r="O862" s="13" t="inlineStr"/>
      <c r="P862" s="12" t="n"/>
    </row>
    <row r="863" ht="52.8" customHeight="1">
      <c r="A863" s="15" t="inlineStr">
        <is>
          <t>AU23433</t>
        </is>
      </c>
      <c r="B863" s="16" t="n">
        <v>45607</v>
      </c>
      <c r="C863" s="15" t="inlineStr">
        <is>
          <t>Nurse Coordinator</t>
        </is>
      </c>
      <c r="D863" s="15" t="inlineStr">
        <is>
          <t>QLD Nurse EA</t>
        </is>
      </c>
      <c r="E863" s="15" t="inlineStr">
        <is>
          <t>PP - Part-time Waged</t>
        </is>
      </c>
      <c r="F863" s="15" t="inlineStr">
        <is>
          <t>Queensland Fertility Group</t>
        </is>
      </c>
      <c r="G863" s="15" t="inlineStr">
        <is>
          <t>Queensland</t>
        </is>
      </c>
      <c r="H863" s="17" t="inlineStr">
        <is>
          <t>60.80</t>
        </is>
      </c>
      <c r="I863" s="15" t="inlineStr">
        <is>
          <t>Queensland Fertility Group Pty Ltd</t>
        </is>
      </c>
      <c r="J863" s="18" t="n">
        <v>36.66</v>
      </c>
      <c r="K863" s="17" t="inlineStr">
        <is>
          <t>36.66</t>
        </is>
      </c>
      <c r="L863" s="16" t="n">
        <v>45949</v>
      </c>
      <c r="M863" s="16" t="n">
        <v>45607</v>
      </c>
      <c r="N863" s="17" t="inlineStr"/>
      <c r="O863" s="17" t="inlineStr"/>
      <c r="P863" s="16" t="n"/>
    </row>
    <row r="864" ht="66" customHeight="1">
      <c r="A864" s="11" t="n">
        <v>50115</v>
      </c>
      <c r="B864" s="12" t="n">
        <v>43264</v>
      </c>
      <c r="C864" s="11" t="inlineStr">
        <is>
          <t>Registered Nurse</t>
        </is>
      </c>
      <c r="D864" s="11" t="inlineStr">
        <is>
          <t>NSW Nurse EA</t>
        </is>
      </c>
      <c r="E864" s="11" t="inlineStr">
        <is>
          <t>CA - Casual</t>
        </is>
      </c>
      <c r="F864" s="11" t="inlineStr">
        <is>
          <t>Day Hospitals</t>
        </is>
      </c>
      <c r="G864" s="11" t="inlineStr">
        <is>
          <t>New South Wales</t>
        </is>
      </c>
      <c r="H864" s="13" t="inlineStr"/>
      <c r="I864" s="11" t="inlineStr">
        <is>
          <t>Alexandria Specialist Day Hospital Pty Ltd</t>
        </is>
      </c>
      <c r="J864" s="14" t="n">
        <v>36.79</v>
      </c>
      <c r="K864" s="13" t="inlineStr">
        <is>
          <t>36.79</t>
        </is>
      </c>
      <c r="L864" s="12" t="n">
        <v>45949</v>
      </c>
      <c r="M864" s="12" t="n">
        <v>43264</v>
      </c>
      <c r="N864" s="13" t="inlineStr"/>
      <c r="O864" s="13" t="inlineStr"/>
      <c r="P864" s="12" t="n"/>
    </row>
    <row r="865" ht="79.2" customHeight="1">
      <c r="A865" s="15" t="inlineStr">
        <is>
          <t>AU22959</t>
        </is>
      </c>
      <c r="B865" s="16" t="n">
        <v>45168</v>
      </c>
      <c r="C865" s="15" t="inlineStr">
        <is>
          <t>Casual Phlebotomist/Administration</t>
        </is>
      </c>
      <c r="D865" s="15" t="inlineStr">
        <is>
          <t>Health Professionals and Support Services Award</t>
        </is>
      </c>
      <c r="E865" s="15" t="inlineStr">
        <is>
          <t>CA - Casual</t>
        </is>
      </c>
      <c r="F865" s="15" t="inlineStr">
        <is>
          <t>Queensland Fertility Group</t>
        </is>
      </c>
      <c r="G865" s="15" t="inlineStr">
        <is>
          <t>Queensland</t>
        </is>
      </c>
      <c r="H865" s="17" t="inlineStr"/>
      <c r="I865" s="15" t="inlineStr">
        <is>
          <t>Queensland Fertility Group Pty Ltd</t>
        </is>
      </c>
      <c r="J865" s="18" t="n">
        <v>37.07</v>
      </c>
      <c r="K865" s="17" t="inlineStr">
        <is>
          <t>37.07</t>
        </is>
      </c>
      <c r="L865" s="16" t="n">
        <v>45949</v>
      </c>
      <c r="M865" s="16" t="n">
        <v>45168</v>
      </c>
      <c r="N865" s="17" t="inlineStr"/>
      <c r="O865" s="17" t="inlineStr"/>
      <c r="P865" s="16" t="n"/>
    </row>
    <row r="866" ht="52.8" customHeight="1">
      <c r="A866" s="11" t="inlineStr">
        <is>
          <t>AU23333</t>
        </is>
      </c>
      <c r="B866" s="12" t="n">
        <v>45537</v>
      </c>
      <c r="C866" s="11" t="inlineStr">
        <is>
          <t>Donor Lead Specialist</t>
        </is>
      </c>
      <c r="D866" s="11" t="inlineStr">
        <is>
          <t>Common Law Employment Contract</t>
        </is>
      </c>
      <c r="E866" s="11" t="inlineStr">
        <is>
          <t>FP - Full-time Salaried</t>
        </is>
      </c>
      <c r="F866" s="11" t="inlineStr">
        <is>
          <t>Corporate Services</t>
        </is>
      </c>
      <c r="G866" s="11" t="inlineStr">
        <is>
          <t>New South Wales</t>
        </is>
      </c>
      <c r="H866" s="13" t="inlineStr">
        <is>
          <t>76.00</t>
        </is>
      </c>
      <c r="I866" s="11" t="inlineStr">
        <is>
          <t>IVF Australia Pty Ltd</t>
        </is>
      </c>
      <c r="J866" s="14" t="n">
        <v>37.37</v>
      </c>
      <c r="K866" s="13" t="inlineStr">
        <is>
          <t>37.37</t>
        </is>
      </c>
      <c r="L866" s="12" t="n">
        <v>45949</v>
      </c>
      <c r="M866" s="12" t="n">
        <v>45537</v>
      </c>
      <c r="N866" s="13" t="inlineStr"/>
      <c r="O866" s="13" t="inlineStr"/>
      <c r="P866" s="12" t="n"/>
    </row>
    <row r="867" ht="66" customHeight="1">
      <c r="A867" s="15" t="n">
        <v>50139</v>
      </c>
      <c r="B867" s="16" t="n">
        <v>43640</v>
      </c>
      <c r="C867" s="15" t="inlineStr">
        <is>
          <t>Registered Nurse</t>
        </is>
      </c>
      <c r="D867" s="15" t="inlineStr">
        <is>
          <t>NSW Nurse EA</t>
        </is>
      </c>
      <c r="E867" s="15" t="inlineStr">
        <is>
          <t>CA - Casual</t>
        </is>
      </c>
      <c r="F867" s="15" t="inlineStr">
        <is>
          <t>Day Hospitals</t>
        </is>
      </c>
      <c r="G867" s="15" t="inlineStr">
        <is>
          <t>New South Wales</t>
        </is>
      </c>
      <c r="H867" s="17" t="inlineStr"/>
      <c r="I867" s="15" t="inlineStr">
        <is>
          <t>Alexandria Specialist Day Hospital Pty Ltd</t>
        </is>
      </c>
      <c r="J867" s="18" t="n">
        <v>37.43</v>
      </c>
      <c r="K867" s="17" t="inlineStr">
        <is>
          <t>37.43</t>
        </is>
      </c>
      <c r="L867" s="16" t="n">
        <v>45949</v>
      </c>
      <c r="M867" s="16" t="n">
        <v>43640</v>
      </c>
      <c r="N867" s="17" t="inlineStr"/>
      <c r="O867" s="17" t="inlineStr"/>
      <c r="P867" s="16" t="n"/>
    </row>
    <row r="868" ht="39.6" customHeight="1">
      <c r="A868" s="11" t="inlineStr">
        <is>
          <t>AU23279</t>
        </is>
      </c>
      <c r="B868" s="12" t="n">
        <v>45505</v>
      </c>
      <c r="C868" s="11" t="inlineStr">
        <is>
          <t xml:space="preserve"> Embryologist</t>
        </is>
      </c>
      <c r="D868" s="11" t="inlineStr">
        <is>
          <t>IVFA Scientists EA</t>
        </is>
      </c>
      <c r="E868" s="11" t="inlineStr">
        <is>
          <t>FT - Full-time Waged</t>
        </is>
      </c>
      <c r="F868" s="11" t="inlineStr">
        <is>
          <t>IVFA</t>
        </is>
      </c>
      <c r="G868" s="11" t="inlineStr">
        <is>
          <t>New South Wales</t>
        </is>
      </c>
      <c r="H868" s="13" t="inlineStr">
        <is>
          <t>76.00</t>
        </is>
      </c>
      <c r="I868" s="11" t="inlineStr">
        <is>
          <t>IVF Australia Pty Ltd</t>
        </is>
      </c>
      <c r="J868" s="14" t="n">
        <v>37.89</v>
      </c>
      <c r="K868" s="13" t="inlineStr">
        <is>
          <t>37.89</t>
        </is>
      </c>
      <c r="L868" s="12" t="n">
        <v>45949</v>
      </c>
      <c r="M868" s="12" t="n">
        <v>45505</v>
      </c>
      <c r="N868" s="13" t="inlineStr"/>
      <c r="O868" s="13" t="inlineStr"/>
      <c r="P868" s="12" t="n"/>
    </row>
    <row r="869" ht="52.8" customHeight="1">
      <c r="A869" s="15" t="inlineStr">
        <is>
          <t>AU23405</t>
        </is>
      </c>
      <c r="B869" s="16" t="n">
        <v>45593</v>
      </c>
      <c r="C869" s="15" t="inlineStr">
        <is>
          <t>Nurse Coordinator</t>
        </is>
      </c>
      <c r="D869" s="15" t="inlineStr">
        <is>
          <t>QLD Nurse EA</t>
        </is>
      </c>
      <c r="E869" s="15" t="inlineStr">
        <is>
          <t>PP - Part-time Waged</t>
        </is>
      </c>
      <c r="F869" s="15" t="inlineStr">
        <is>
          <t>Queensland Fertility Group</t>
        </is>
      </c>
      <c r="G869" s="15" t="inlineStr">
        <is>
          <t>Queensland</t>
        </is>
      </c>
      <c r="H869" s="17" t="inlineStr">
        <is>
          <t>60.80</t>
        </is>
      </c>
      <c r="I869" s="15" t="inlineStr">
        <is>
          <t>Queensland Fertility Group Pty Ltd</t>
        </is>
      </c>
      <c r="J869" s="18" t="n">
        <v>37.96</v>
      </c>
      <c r="K869" s="17" t="inlineStr">
        <is>
          <t>37.96</t>
        </is>
      </c>
      <c r="L869" s="16" t="n">
        <v>45949</v>
      </c>
      <c r="M869" s="16" t="n">
        <v>45593</v>
      </c>
      <c r="N869" s="17" t="inlineStr"/>
      <c r="O869" s="17" t="inlineStr"/>
      <c r="P869" s="16" t="n"/>
    </row>
    <row r="870" ht="39.6" customHeight="1">
      <c r="A870" s="11" t="inlineStr">
        <is>
          <t>AU23328</t>
        </is>
      </c>
      <c r="B870" s="12" t="n">
        <v>45530</v>
      </c>
      <c r="C870" s="11" t="inlineStr">
        <is>
          <t>Patient Support Officer</t>
        </is>
      </c>
      <c r="D870" s="11" t="inlineStr">
        <is>
          <t>NSW Support Services EA</t>
        </is>
      </c>
      <c r="E870" s="11" t="inlineStr">
        <is>
          <t>FT - Full-time Waged</t>
        </is>
      </c>
      <c r="F870" s="11" t="inlineStr">
        <is>
          <t>IVFA</t>
        </is>
      </c>
      <c r="G870" s="11" t="inlineStr">
        <is>
          <t>New South Wales</t>
        </is>
      </c>
      <c r="H870" s="13" t="inlineStr">
        <is>
          <t>76.00</t>
        </is>
      </c>
      <c r="I870" s="11" t="inlineStr">
        <is>
          <t>IVF Australia Pty Ltd</t>
        </is>
      </c>
      <c r="J870" s="14" t="n">
        <v>38</v>
      </c>
      <c r="K870" s="13" t="inlineStr">
        <is>
          <t>38.00</t>
        </is>
      </c>
      <c r="L870" s="12" t="n">
        <v>45949</v>
      </c>
      <c r="M870" s="12" t="n">
        <v>45530</v>
      </c>
      <c r="N870" s="13" t="inlineStr"/>
      <c r="O870" s="13" t="inlineStr"/>
      <c r="P870" s="12" t="n"/>
    </row>
    <row r="871" ht="52.8" customHeight="1">
      <c r="A871" s="15" t="n">
        <v>80033</v>
      </c>
      <c r="B871" s="16" t="n">
        <v>37270</v>
      </c>
      <c r="C871" s="15" t="inlineStr">
        <is>
          <t>Embryologist - Team Leader</t>
        </is>
      </c>
      <c r="D871" s="15" t="inlineStr">
        <is>
          <t>QLD Scientists EA</t>
        </is>
      </c>
      <c r="E871" s="15" t="inlineStr">
        <is>
          <t>FT - Full-time Waged</t>
        </is>
      </c>
      <c r="F871" s="15" t="inlineStr">
        <is>
          <t>Queensland Fertility Group</t>
        </is>
      </c>
      <c r="G871" s="15" t="inlineStr">
        <is>
          <t>Queensland</t>
        </is>
      </c>
      <c r="H871" s="17" t="inlineStr">
        <is>
          <t>76.00</t>
        </is>
      </c>
      <c r="I871" s="15" t="inlineStr">
        <is>
          <t>Queensland Fertility Group Pty Ltd</t>
        </is>
      </c>
      <c r="J871" s="18" t="n">
        <v>846.0700000000001</v>
      </c>
      <c r="K871" s="17" t="inlineStr">
        <is>
          <t>38.04</t>
        </is>
      </c>
      <c r="L871" s="16" t="n">
        <v>45949</v>
      </c>
      <c r="M871" s="16" t="n">
        <v>45671</v>
      </c>
      <c r="N871" s="17" t="inlineStr">
        <is>
          <t>808.03</t>
        </is>
      </c>
      <c r="O871" s="17" t="inlineStr"/>
      <c r="P871" s="16" t="n"/>
    </row>
    <row r="872" ht="39.6" customHeight="1">
      <c r="A872" s="11" t="n">
        <v>20374</v>
      </c>
      <c r="B872" s="12" t="n">
        <v>41638</v>
      </c>
      <c r="C872" s="11" t="inlineStr">
        <is>
          <t>Clinical Nurse Specialist</t>
        </is>
      </c>
      <c r="D872" s="11" t="inlineStr">
        <is>
          <t>NSW Nurse EA</t>
        </is>
      </c>
      <c r="E872" s="11" t="inlineStr">
        <is>
          <t>PP - Part-time Waged</t>
        </is>
      </c>
      <c r="F872" s="11" t="inlineStr">
        <is>
          <t>IVFA</t>
        </is>
      </c>
      <c r="G872" s="11" t="inlineStr">
        <is>
          <t>New South Wales</t>
        </is>
      </c>
      <c r="H872" s="13" t="inlineStr">
        <is>
          <t>40.00</t>
        </is>
      </c>
      <c r="I872" s="11" t="inlineStr">
        <is>
          <t>IVF Australia Pty Ltd</t>
        </is>
      </c>
      <c r="J872" s="14" t="n">
        <v>238.25</v>
      </c>
      <c r="K872" s="13" t="inlineStr">
        <is>
          <t>38.05</t>
        </is>
      </c>
      <c r="L872" s="12" t="n">
        <v>45949</v>
      </c>
      <c r="M872" s="12" t="n">
        <v>45290</v>
      </c>
      <c r="N872" s="13" t="inlineStr">
        <is>
          <t>200.20</t>
        </is>
      </c>
      <c r="O872" s="13" t="inlineStr"/>
      <c r="P872" s="12" t="n"/>
    </row>
    <row r="873" ht="52.8" customHeight="1">
      <c r="A873" s="15" t="inlineStr">
        <is>
          <t>AU23081</t>
        </is>
      </c>
      <c r="B873" s="16" t="n">
        <v>45320</v>
      </c>
      <c r="C873" s="15" t="inlineStr">
        <is>
          <t>Registered Nurse</t>
        </is>
      </c>
      <c r="D873" s="15" t="inlineStr">
        <is>
          <t>QLD Nurse EA</t>
        </is>
      </c>
      <c r="E873" s="15" t="inlineStr">
        <is>
          <t>PP - Part-time Waged</t>
        </is>
      </c>
      <c r="F873" s="15" t="inlineStr">
        <is>
          <t>Day Hospitals</t>
        </is>
      </c>
      <c r="G873" s="15" t="inlineStr">
        <is>
          <t>Queensland</t>
        </is>
      </c>
      <c r="H873" s="17" t="inlineStr">
        <is>
          <t>30.40</t>
        </is>
      </c>
      <c r="I873" s="15" t="inlineStr">
        <is>
          <t>Spring Hill Specialist Day Hospital</t>
        </is>
      </c>
      <c r="J873" s="18" t="n">
        <v>38.09</v>
      </c>
      <c r="K873" s="17" t="inlineStr">
        <is>
          <t>38.09</t>
        </is>
      </c>
      <c r="L873" s="16" t="n">
        <v>45949</v>
      </c>
      <c r="M873" s="16" t="n">
        <v>44942</v>
      </c>
      <c r="N873" s="17" t="inlineStr"/>
      <c r="O873" s="17" t="inlineStr"/>
      <c r="P873" s="16" t="n"/>
    </row>
    <row r="874" ht="52.8" customHeight="1">
      <c r="A874" s="11" t="inlineStr">
        <is>
          <t>AU23415</t>
        </is>
      </c>
      <c r="B874" s="12" t="n">
        <v>45600</v>
      </c>
      <c r="C874" s="11" t="inlineStr">
        <is>
          <t>Registered Nurse</t>
        </is>
      </c>
      <c r="D874" s="11" t="inlineStr">
        <is>
          <t>QLD Nurse EA</t>
        </is>
      </c>
      <c r="E874" s="11" t="inlineStr">
        <is>
          <t>PP - Part-time Waged</t>
        </is>
      </c>
      <c r="F874" s="11" t="inlineStr">
        <is>
          <t>Queensland Fertility Group</t>
        </is>
      </c>
      <c r="G874" s="11" t="inlineStr">
        <is>
          <t>Queensland</t>
        </is>
      </c>
      <c r="H874" s="13" t="inlineStr">
        <is>
          <t>60.80</t>
        </is>
      </c>
      <c r="I874" s="11" t="inlineStr">
        <is>
          <t>Queensland Fertility Group Pty Ltd</t>
        </is>
      </c>
      <c r="J874" s="14" t="n">
        <v>38.32</v>
      </c>
      <c r="K874" s="13" t="inlineStr">
        <is>
          <t>38.32</t>
        </is>
      </c>
      <c r="L874" s="12" t="n">
        <v>45949</v>
      </c>
      <c r="M874" s="12" t="n">
        <v>45600</v>
      </c>
      <c r="N874" s="13" t="inlineStr"/>
      <c r="O874" s="13" t="inlineStr"/>
      <c r="P874" s="12" t="n"/>
    </row>
    <row r="875" ht="79.2" customHeight="1">
      <c r="A875" s="15" t="n">
        <v>20738</v>
      </c>
      <c r="B875" s="16" t="n">
        <v>43987</v>
      </c>
      <c r="C875" s="15" t="inlineStr">
        <is>
          <t>Patient Concierge</t>
        </is>
      </c>
      <c r="D875" s="15" t="inlineStr">
        <is>
          <t>Health Professionals and Support Services Award</t>
        </is>
      </c>
      <c r="E875" s="15" t="inlineStr">
        <is>
          <t>CA - Casual</t>
        </is>
      </c>
      <c r="F875" s="15" t="inlineStr">
        <is>
          <t>IVFA</t>
        </is>
      </c>
      <c r="G875" s="15" t="inlineStr">
        <is>
          <t>New South Wales</t>
        </is>
      </c>
      <c r="H875" s="17" t="inlineStr"/>
      <c r="I875" s="15" t="inlineStr">
        <is>
          <t>IVF Australia Pty Ltd</t>
        </is>
      </c>
      <c r="J875" s="18" t="n">
        <v>38.81</v>
      </c>
      <c r="K875" s="17" t="inlineStr">
        <is>
          <t>38.81</t>
        </is>
      </c>
      <c r="L875" s="16" t="n">
        <v>45935</v>
      </c>
      <c r="M875" s="16" t="n">
        <v>43987</v>
      </c>
      <c r="N875" s="17" t="inlineStr"/>
      <c r="O875" s="17" t="inlineStr"/>
      <c r="P875" s="16" t="n"/>
    </row>
    <row r="876" ht="52.8" customHeight="1">
      <c r="A876" s="11" t="n">
        <v>80055</v>
      </c>
      <c r="B876" s="12" t="n">
        <v>41603</v>
      </c>
      <c r="C876" s="11" t="inlineStr">
        <is>
          <t>Nurse Coordinator</t>
        </is>
      </c>
      <c r="D876" s="11" t="inlineStr">
        <is>
          <t>QLD Nurse EA</t>
        </is>
      </c>
      <c r="E876" s="11" t="inlineStr">
        <is>
          <t>PP - Part-time Waged</t>
        </is>
      </c>
      <c r="F876" s="11" t="inlineStr">
        <is>
          <t>Queensland Fertility Group</t>
        </is>
      </c>
      <c r="G876" s="11" t="inlineStr">
        <is>
          <t>Queensland</t>
        </is>
      </c>
      <c r="H876" s="13" t="inlineStr">
        <is>
          <t>64.00</t>
        </is>
      </c>
      <c r="I876" s="11" t="inlineStr">
        <is>
          <t>Queensland Fertility Group Pty Ltd</t>
        </is>
      </c>
      <c r="J876" s="14" t="n">
        <v>385.57</v>
      </c>
      <c r="K876" s="13" t="inlineStr">
        <is>
          <t>38.84</t>
        </is>
      </c>
      <c r="L876" s="12" t="n">
        <v>45949</v>
      </c>
      <c r="M876" s="12" t="n">
        <v>45621</v>
      </c>
      <c r="N876" s="13" t="inlineStr">
        <is>
          <t>434.73</t>
        </is>
      </c>
      <c r="O876" s="13" t="inlineStr">
        <is>
          <t>88.00</t>
        </is>
      </c>
      <c r="P876" s="12" t="n"/>
    </row>
    <row r="877" ht="79.2" customHeight="1">
      <c r="A877" s="15" t="inlineStr">
        <is>
          <t>AU22868</t>
        </is>
      </c>
      <c r="B877" s="16" t="n">
        <v>45058</v>
      </c>
      <c r="C877" s="15" t="inlineStr">
        <is>
          <t>Carpark Concierge</t>
        </is>
      </c>
      <c r="D877" s="15" t="inlineStr">
        <is>
          <t>Health Professionals and Support Services Award</t>
        </is>
      </c>
      <c r="E877" s="15" t="inlineStr">
        <is>
          <t>CA - Casual</t>
        </is>
      </c>
      <c r="F877" s="15" t="inlineStr">
        <is>
          <t>IVFA</t>
        </is>
      </c>
      <c r="G877" s="15" t="inlineStr">
        <is>
          <t>New South Wales</t>
        </is>
      </c>
      <c r="H877" s="17" t="inlineStr"/>
      <c r="I877" s="15" t="inlineStr">
        <is>
          <t>Alexandria Specialist Day Hospital Pty Ltd</t>
        </is>
      </c>
      <c r="J877" s="18" t="n">
        <v>38.88</v>
      </c>
      <c r="K877" s="17" t="inlineStr">
        <is>
          <t>38.88</t>
        </is>
      </c>
      <c r="L877" s="16" t="n">
        <v>45907</v>
      </c>
      <c r="M877" s="16" t="n">
        <v>45058</v>
      </c>
      <c r="N877" s="17" t="inlineStr"/>
      <c r="O877" s="17" t="inlineStr"/>
      <c r="P877" s="16" t="n"/>
    </row>
    <row r="878" ht="39.6" customHeight="1">
      <c r="A878" s="11" t="n">
        <v>40047</v>
      </c>
      <c r="B878" s="12" t="n">
        <v>41179</v>
      </c>
      <c r="C878" s="11" t="inlineStr">
        <is>
          <t>Administration Clerk</t>
        </is>
      </c>
      <c r="D878" s="11" t="inlineStr">
        <is>
          <t>NSW Support Services EA</t>
        </is>
      </c>
      <c r="E878" s="11" t="inlineStr">
        <is>
          <t>PP - Part-time Waged</t>
        </is>
      </c>
      <c r="F878" s="11" t="inlineStr">
        <is>
          <t>Day Hospitals</t>
        </is>
      </c>
      <c r="G878" s="11" t="inlineStr">
        <is>
          <t>New South Wales</t>
        </is>
      </c>
      <c r="H878" s="13" t="inlineStr">
        <is>
          <t>24.00</t>
        </is>
      </c>
      <c r="I878" s="11" t="inlineStr">
        <is>
          <t>City West Day Surgery</t>
        </is>
      </c>
      <c r="J878" s="14" t="n">
        <v>243.1</v>
      </c>
      <c r="K878" s="13" t="inlineStr">
        <is>
          <t>38.93</t>
        </is>
      </c>
      <c r="L878" s="12" t="n">
        <v>45949</v>
      </c>
      <c r="M878" s="12" t="n">
        <v>44831</v>
      </c>
      <c r="N878" s="13" t="inlineStr">
        <is>
          <t>204.17</t>
        </is>
      </c>
      <c r="O878" s="13" t="inlineStr"/>
      <c r="P878" s="12" t="n"/>
    </row>
    <row r="879" ht="39.6" customHeight="1">
      <c r="A879" s="15" t="inlineStr">
        <is>
          <t>AU23049</t>
        </is>
      </c>
      <c r="B879" s="16" t="n">
        <v>45306</v>
      </c>
      <c r="C879" s="15" t="inlineStr">
        <is>
          <t>Administration</t>
        </is>
      </c>
      <c r="D879" s="15" t="inlineStr">
        <is>
          <t>NSW Support Services EA</t>
        </is>
      </c>
      <c r="E879" s="15" t="inlineStr">
        <is>
          <t>PP - Part-time Waged</t>
        </is>
      </c>
      <c r="F879" s="15" t="inlineStr">
        <is>
          <t>IVFA</t>
        </is>
      </c>
      <c r="G879" s="15" t="inlineStr">
        <is>
          <t>New South Wales</t>
        </is>
      </c>
      <c r="H879" s="17" t="inlineStr">
        <is>
          <t>57.00</t>
        </is>
      </c>
      <c r="I879" s="15" t="inlineStr">
        <is>
          <t>IVF Australia Pty Ltd</t>
        </is>
      </c>
      <c r="J879" s="18" t="n">
        <v>39.12</v>
      </c>
      <c r="K879" s="17" t="inlineStr">
        <is>
          <t>39.12</t>
        </is>
      </c>
      <c r="L879" s="16" t="n">
        <v>45949</v>
      </c>
      <c r="M879" s="16" t="n">
        <v>45306</v>
      </c>
      <c r="N879" s="17" t="inlineStr"/>
      <c r="O879" s="17" t="inlineStr"/>
      <c r="P879" s="16" t="n"/>
    </row>
    <row r="880" ht="79.2" customHeight="1">
      <c r="A880" s="11" t="n">
        <v>80139</v>
      </c>
      <c r="B880" s="12" t="n">
        <v>41710</v>
      </c>
      <c r="C880" s="11" t="inlineStr">
        <is>
          <t>Phlebotomist</t>
        </is>
      </c>
      <c r="D880" s="11" t="inlineStr">
        <is>
          <t>Health Professionals and Support Services Award</t>
        </is>
      </c>
      <c r="E880" s="11" t="inlineStr">
        <is>
          <t>PP - Part-time Waged</t>
        </is>
      </c>
      <c r="F880" s="11" t="inlineStr">
        <is>
          <t>Queensland Fertility Group</t>
        </is>
      </c>
      <c r="G880" s="11" t="inlineStr">
        <is>
          <t>Queensland</t>
        </is>
      </c>
      <c r="H880" s="13" t="inlineStr">
        <is>
          <t>57.00</t>
        </is>
      </c>
      <c r="I880" s="11" t="inlineStr">
        <is>
          <t>Queensland Fertility Group Pty Ltd</t>
        </is>
      </c>
      <c r="J880" s="14" t="n">
        <v>225.87</v>
      </c>
      <c r="K880" s="13" t="inlineStr">
        <is>
          <t>39.58</t>
        </is>
      </c>
      <c r="L880" s="12" t="n">
        <v>45949</v>
      </c>
      <c r="M880" s="12" t="n">
        <v>45363</v>
      </c>
      <c r="N880" s="13" t="inlineStr">
        <is>
          <t>243.29</t>
        </is>
      </c>
      <c r="O880" s="13" t="inlineStr">
        <is>
          <t>57.00</t>
        </is>
      </c>
      <c r="P880" s="12" t="n"/>
    </row>
    <row r="881" ht="52.8" customHeight="1">
      <c r="A881" s="15" t="inlineStr">
        <is>
          <t>AU23427</t>
        </is>
      </c>
      <c r="B881" s="16" t="n">
        <v>45595</v>
      </c>
      <c r="C881" s="15" t="inlineStr">
        <is>
          <t>Registered Nurse</t>
        </is>
      </c>
      <c r="D881" s="15" t="inlineStr">
        <is>
          <t>QLD Nurse EA</t>
        </is>
      </c>
      <c r="E881" s="15" t="inlineStr">
        <is>
          <t>FT - Full-time Waged</t>
        </is>
      </c>
      <c r="F881" s="15" t="inlineStr">
        <is>
          <t>Queensland Fertility Group</t>
        </is>
      </c>
      <c r="G881" s="15" t="inlineStr">
        <is>
          <t>Queensland</t>
        </is>
      </c>
      <c r="H881" s="17" t="inlineStr">
        <is>
          <t>38.00</t>
        </is>
      </c>
      <c r="I881" s="15" t="inlineStr">
        <is>
          <t>Queensland Fertility Group Pty Ltd</t>
        </is>
      </c>
      <c r="J881" s="18" t="n">
        <v>39.8</v>
      </c>
      <c r="K881" s="17" t="inlineStr">
        <is>
          <t>39.80</t>
        </is>
      </c>
      <c r="L881" s="16" t="n">
        <v>45949</v>
      </c>
      <c r="M881" s="16" t="n">
        <v>45595</v>
      </c>
      <c r="N881" s="17" t="inlineStr"/>
      <c r="O881" s="17" t="inlineStr"/>
      <c r="P881" s="16" t="n"/>
    </row>
    <row r="882" ht="52.8" customHeight="1">
      <c r="A882" s="11" t="n">
        <v>80042</v>
      </c>
      <c r="B882" s="12" t="n">
        <v>37377</v>
      </c>
      <c r="C882" s="11" t="inlineStr">
        <is>
          <t>Embryologist</t>
        </is>
      </c>
      <c r="D882" s="11" t="inlineStr">
        <is>
          <t>QLD Scientists EA</t>
        </is>
      </c>
      <c r="E882" s="11" t="inlineStr">
        <is>
          <t>FT - Full-time Waged</t>
        </is>
      </c>
      <c r="F882" s="11" t="inlineStr">
        <is>
          <t>Queensland Fertility Group</t>
        </is>
      </c>
      <c r="G882" s="11" t="inlineStr">
        <is>
          <t>Queensland</t>
        </is>
      </c>
      <c r="H882" s="13" t="inlineStr">
        <is>
          <t>76.00</t>
        </is>
      </c>
      <c r="I882" s="11" t="inlineStr">
        <is>
          <t>Queensland Fertility Group Pty Ltd</t>
        </is>
      </c>
      <c r="J882" s="14" t="n">
        <v>51.75</v>
      </c>
      <c r="K882" s="13" t="inlineStr">
        <is>
          <t>39.92</t>
        </is>
      </c>
      <c r="L882" s="12" t="n">
        <v>45949</v>
      </c>
      <c r="M882" s="12" t="n">
        <v>45662</v>
      </c>
      <c r="N882" s="13" t="inlineStr">
        <is>
          <t>49.83</t>
        </is>
      </c>
      <c r="O882" s="13" t="inlineStr">
        <is>
          <t>38.00</t>
        </is>
      </c>
      <c r="P882" s="12" t="n"/>
    </row>
    <row r="883" ht="26.4" customHeight="1">
      <c r="A883" s="15" t="inlineStr">
        <is>
          <t>AU23023</t>
        </is>
      </c>
      <c r="B883" s="16" t="n">
        <v>45243</v>
      </c>
      <c r="C883" s="15" t="inlineStr">
        <is>
          <t>Assistant in Nursing</t>
        </is>
      </c>
      <c r="D883" s="15" t="inlineStr">
        <is>
          <t>NSW Nurse EA</t>
        </is>
      </c>
      <c r="E883" s="15" t="inlineStr">
        <is>
          <t>CA - Casual</t>
        </is>
      </c>
      <c r="F883" s="15" t="inlineStr">
        <is>
          <t>Day Hospitals</t>
        </is>
      </c>
      <c r="G883" s="15" t="inlineStr">
        <is>
          <t>New South Wales</t>
        </is>
      </c>
      <c r="H883" s="17" t="inlineStr"/>
      <c r="I883" s="15" t="inlineStr">
        <is>
          <t>City West Day Surgery</t>
        </is>
      </c>
      <c r="J883" s="18" t="n">
        <v>40.09</v>
      </c>
      <c r="K883" s="17" t="inlineStr">
        <is>
          <t>40.09</t>
        </is>
      </c>
      <c r="L883" s="16" t="n">
        <v>45949</v>
      </c>
      <c r="M883" s="16" t="n">
        <v>45243</v>
      </c>
      <c r="N883" s="17" t="inlineStr"/>
      <c r="O883" s="17" t="inlineStr"/>
      <c r="P883" s="16" t="n"/>
    </row>
    <row r="884" ht="39.6" customHeight="1">
      <c r="A884" s="11" t="inlineStr">
        <is>
          <t>AU23172</t>
        </is>
      </c>
      <c r="B884" s="12" t="n">
        <v>45391</v>
      </c>
      <c r="C884" s="11" t="inlineStr">
        <is>
          <t>Donor Coordinator</t>
        </is>
      </c>
      <c r="D884" s="11" t="inlineStr">
        <is>
          <t>NSW Support Services EA</t>
        </is>
      </c>
      <c r="E884" s="11" t="inlineStr">
        <is>
          <t>PP - Part-time Waged</t>
        </is>
      </c>
      <c r="F884" s="11" t="inlineStr">
        <is>
          <t>IVFA</t>
        </is>
      </c>
      <c r="G884" s="11" t="inlineStr">
        <is>
          <t>New South Wales</t>
        </is>
      </c>
      <c r="H884" s="13" t="inlineStr">
        <is>
          <t>60.80</t>
        </is>
      </c>
      <c r="I884" s="11" t="inlineStr">
        <is>
          <t>IVF Australia Pty Ltd</t>
        </is>
      </c>
      <c r="J884" s="14" t="n">
        <v>40.47</v>
      </c>
      <c r="K884" s="13" t="inlineStr">
        <is>
          <t>40.47</t>
        </is>
      </c>
      <c r="L884" s="12" t="n">
        <v>45949</v>
      </c>
      <c r="M884" s="12" t="n">
        <v>45391</v>
      </c>
      <c r="N884" s="13" t="inlineStr"/>
      <c r="O884" s="13" t="inlineStr"/>
      <c r="P884" s="12" t="n"/>
    </row>
    <row r="885" ht="39.6" customHeight="1">
      <c r="A885" s="15" t="n">
        <v>20404</v>
      </c>
      <c r="B885" s="16" t="n">
        <v>41862</v>
      </c>
      <c r="C885" s="15" t="inlineStr">
        <is>
          <t>Andrologist</t>
        </is>
      </c>
      <c r="D885" s="15" t="inlineStr">
        <is>
          <t>IVFA Scientists EA</t>
        </is>
      </c>
      <c r="E885" s="15" t="inlineStr">
        <is>
          <t>FT - Full-time Waged</t>
        </is>
      </c>
      <c r="F885" s="15" t="inlineStr">
        <is>
          <t>IVFA</t>
        </is>
      </c>
      <c r="G885" s="15" t="inlineStr">
        <is>
          <t>New South Wales</t>
        </is>
      </c>
      <c r="H885" s="17" t="inlineStr">
        <is>
          <t>76.00</t>
        </is>
      </c>
      <c r="I885" s="15" t="inlineStr">
        <is>
          <t>IVF Australia Pty Ltd</t>
        </is>
      </c>
      <c r="J885" s="18" t="n">
        <v>35.01</v>
      </c>
      <c r="K885" s="17" t="inlineStr">
        <is>
          <t>40.67</t>
        </is>
      </c>
      <c r="L885" s="16" t="n">
        <v>45949</v>
      </c>
      <c r="M885" s="16" t="n">
        <v>45515</v>
      </c>
      <c r="N885" s="17" t="inlineStr">
        <is>
          <t>326.34</t>
        </is>
      </c>
      <c r="O885" s="17" t="inlineStr">
        <is>
          <t>332.00</t>
        </is>
      </c>
      <c r="P885" s="16" t="n"/>
    </row>
    <row r="886" ht="52.8" customHeight="1">
      <c r="A886" s="11" t="inlineStr">
        <is>
          <t>AU22937</t>
        </is>
      </c>
      <c r="B886" s="12" t="n">
        <v>45145</v>
      </c>
      <c r="C886" s="11" t="inlineStr">
        <is>
          <t>Genetic Laboratory Assistant</t>
        </is>
      </c>
      <c r="D886" s="11" t="inlineStr">
        <is>
          <t>QLD Scientists EA</t>
        </is>
      </c>
      <c r="E886" s="11" t="inlineStr">
        <is>
          <t>CA - Casual</t>
        </is>
      </c>
      <c r="F886" s="11" t="inlineStr">
        <is>
          <t>Diagnostics</t>
        </is>
      </c>
      <c r="G886" s="11" t="inlineStr">
        <is>
          <t>Queensland</t>
        </is>
      </c>
      <c r="H886" s="13" t="inlineStr"/>
      <c r="I886" s="11" t="inlineStr">
        <is>
          <t>Queensland Fertility Group Pty Ltd</t>
        </is>
      </c>
      <c r="J886" s="14" t="n">
        <v>40.68</v>
      </c>
      <c r="K886" s="13" t="inlineStr">
        <is>
          <t>40.68</t>
        </is>
      </c>
      <c r="L886" s="12" t="n">
        <v>45949</v>
      </c>
      <c r="M886" s="12" t="n">
        <v>45145</v>
      </c>
      <c r="N886" s="13" t="inlineStr"/>
      <c r="O886" s="13" t="inlineStr"/>
      <c r="P886" s="12" t="n"/>
    </row>
    <row r="887" ht="79.2" customHeight="1">
      <c r="A887" s="15" t="n">
        <v>90022</v>
      </c>
      <c r="B887" s="16" t="n">
        <v>41862</v>
      </c>
      <c r="C887" s="15" t="inlineStr">
        <is>
          <t>Administration</t>
        </is>
      </c>
      <c r="D887" s="15" t="inlineStr">
        <is>
          <t>Health Professionals and Support Services Award</t>
        </is>
      </c>
      <c r="E887" s="15" t="inlineStr">
        <is>
          <t>FT - Full-time Waged</t>
        </is>
      </c>
      <c r="F887" s="15" t="inlineStr">
        <is>
          <t>Diagnostics</t>
        </is>
      </c>
      <c r="G887" s="15" t="inlineStr">
        <is>
          <t>New South Wales</t>
        </is>
      </c>
      <c r="H887" s="17" t="inlineStr">
        <is>
          <t>76.00</t>
        </is>
      </c>
      <c r="I887" s="15" t="inlineStr">
        <is>
          <t>Virtus Health Specialist Diagnostics</t>
        </is>
      </c>
      <c r="J887" s="18" t="n">
        <v>299.73</v>
      </c>
      <c r="K887" s="17" t="inlineStr">
        <is>
          <t>40.72</t>
        </is>
      </c>
      <c r="L887" s="16" t="n">
        <v>45949</v>
      </c>
      <c r="M887" s="16" t="n">
        <v>45515</v>
      </c>
      <c r="N887" s="17" t="inlineStr">
        <is>
          <t>259.01</t>
        </is>
      </c>
      <c r="O887" s="17" t="inlineStr"/>
      <c r="P887" s="16" t="n"/>
    </row>
    <row r="888" ht="39.6" customHeight="1">
      <c r="A888" s="11" t="n">
        <v>20111</v>
      </c>
      <c r="B888" s="12" t="n">
        <v>37427</v>
      </c>
      <c r="C888" s="11" t="inlineStr">
        <is>
          <t>Accounts Receivable Team Lead</t>
        </is>
      </c>
      <c r="D888" s="11" t="inlineStr">
        <is>
          <t>NSW Support Services EA</t>
        </is>
      </c>
      <c r="E888" s="11" t="inlineStr">
        <is>
          <t>PP - Part-time Waged</t>
        </is>
      </c>
      <c r="F888" s="11" t="inlineStr">
        <is>
          <t>IVFA</t>
        </is>
      </c>
      <c r="G888" s="11" t="inlineStr">
        <is>
          <t>New South Wales</t>
        </is>
      </c>
      <c r="H888" s="13" t="inlineStr">
        <is>
          <t>70.00</t>
        </is>
      </c>
      <c r="I888" s="11" t="inlineStr">
        <is>
          <t>IVF Australia Pty Ltd</t>
        </is>
      </c>
      <c r="J888" s="14" t="n">
        <v>96.23</v>
      </c>
      <c r="K888" s="13" t="inlineStr">
        <is>
          <t>40.87</t>
        </is>
      </c>
      <c r="L888" s="12" t="n">
        <v>45949</v>
      </c>
      <c r="M888" s="12" t="n">
        <v>45463</v>
      </c>
      <c r="N888" s="13" t="inlineStr">
        <is>
          <t>55.36</t>
        </is>
      </c>
      <c r="O888" s="13" t="inlineStr"/>
      <c r="P888" s="12" t="n"/>
    </row>
    <row r="889" ht="79.2" customHeight="1">
      <c r="A889" s="15" t="n">
        <v>90073</v>
      </c>
      <c r="B889" s="16" t="n">
        <v>43196</v>
      </c>
      <c r="C889" s="15" t="inlineStr">
        <is>
          <t>Courier</t>
        </is>
      </c>
      <c r="D889" s="15" t="inlineStr">
        <is>
          <t>Health Professionals and Support Services Award</t>
        </is>
      </c>
      <c r="E889" s="15" t="inlineStr">
        <is>
          <t>CA - Casual</t>
        </is>
      </c>
      <c r="F889" s="15" t="inlineStr">
        <is>
          <t>Diagnostics</t>
        </is>
      </c>
      <c r="G889" s="15" t="inlineStr">
        <is>
          <t>New South Wales</t>
        </is>
      </c>
      <c r="H889" s="17" t="inlineStr"/>
      <c r="I889" s="15" t="inlineStr">
        <is>
          <t>Virtus Health Specialist Diagnostics</t>
        </is>
      </c>
      <c r="J889" s="18" t="n">
        <v>41.11</v>
      </c>
      <c r="K889" s="17" t="inlineStr">
        <is>
          <t>41.11</t>
        </is>
      </c>
      <c r="L889" s="16" t="n">
        <v>45949</v>
      </c>
      <c r="M889" s="16" t="n">
        <v>43196</v>
      </c>
      <c r="N889" s="17" t="inlineStr"/>
      <c r="O889" s="17" t="inlineStr"/>
      <c r="P889" s="16" t="n"/>
    </row>
    <row r="890" ht="66" customHeight="1">
      <c r="A890" s="11" t="inlineStr">
        <is>
          <t>AU23295</t>
        </is>
      </c>
      <c r="B890" s="12" t="n">
        <v>45474</v>
      </c>
      <c r="C890" s="11" t="inlineStr">
        <is>
          <t>Administration Clerk</t>
        </is>
      </c>
      <c r="D890" s="11" t="inlineStr">
        <is>
          <t>NSW Support Services EA</t>
        </is>
      </c>
      <c r="E890" s="11" t="inlineStr">
        <is>
          <t>PP - Part-time Waged</t>
        </is>
      </c>
      <c r="F890" s="11" t="inlineStr">
        <is>
          <t>Day Hospitals</t>
        </is>
      </c>
      <c r="G890" s="11" t="inlineStr">
        <is>
          <t>New South Wales</t>
        </is>
      </c>
      <c r="H890" s="13" t="inlineStr">
        <is>
          <t>48.00</t>
        </is>
      </c>
      <c r="I890" s="11" t="inlineStr">
        <is>
          <t>North Shore Specialist Day Hospital Pty Ltd</t>
        </is>
      </c>
      <c r="J890" s="14" t="n">
        <v>41.22</v>
      </c>
      <c r="K890" s="13" t="inlineStr">
        <is>
          <t>41.22</t>
        </is>
      </c>
      <c r="L890" s="12" t="n">
        <v>45949</v>
      </c>
      <c r="M890" s="12" t="n">
        <v>45474</v>
      </c>
      <c r="N890" s="13" t="inlineStr"/>
      <c r="O890" s="13" t="inlineStr"/>
      <c r="P890" s="12" t="n"/>
    </row>
    <row r="891" ht="66" customHeight="1">
      <c r="A891" s="15" t="inlineStr">
        <is>
          <t>AU23117</t>
        </is>
      </c>
      <c r="B891" s="16" t="n">
        <v>45355</v>
      </c>
      <c r="C891" s="15" t="inlineStr">
        <is>
          <t>Theatre Orderly</t>
        </is>
      </c>
      <c r="D891" s="15" t="inlineStr">
        <is>
          <t>NSW Support Services EA</t>
        </is>
      </c>
      <c r="E891" s="15" t="inlineStr">
        <is>
          <t>CA - Casual</t>
        </is>
      </c>
      <c r="F891" s="15" t="inlineStr">
        <is>
          <t>Day Hospitals</t>
        </is>
      </c>
      <c r="G891" s="15" t="inlineStr">
        <is>
          <t>New South Wales</t>
        </is>
      </c>
      <c r="H891" s="17" t="inlineStr"/>
      <c r="I891" s="15" t="inlineStr">
        <is>
          <t>Alexandria Specialist Day Hospital Pty Ltd</t>
        </is>
      </c>
      <c r="J891" s="18" t="n">
        <v>41.25</v>
      </c>
      <c r="K891" s="17" t="inlineStr">
        <is>
          <t>41.25</t>
        </is>
      </c>
      <c r="L891" s="16" t="n">
        <v>45949</v>
      </c>
      <c r="M891" s="16" t="n">
        <v>45355</v>
      </c>
      <c r="N891" s="17" t="inlineStr"/>
      <c r="O891" s="17" t="inlineStr"/>
      <c r="P891" s="16" t="n"/>
    </row>
    <row r="892" ht="39.6" customHeight="1">
      <c r="A892" s="11" t="n">
        <v>20399</v>
      </c>
      <c r="B892" s="12" t="n">
        <v>41841</v>
      </c>
      <c r="C892" s="11" t="inlineStr">
        <is>
          <t>Nurse Unit Manager</t>
        </is>
      </c>
      <c r="D892" s="11" t="inlineStr">
        <is>
          <t>NSW Nurse EA</t>
        </is>
      </c>
      <c r="E892" s="11" t="inlineStr">
        <is>
          <t>FT - Full-time Waged</t>
        </is>
      </c>
      <c r="F892" s="11" t="inlineStr">
        <is>
          <t>IVFA</t>
        </is>
      </c>
      <c r="G892" s="11" t="inlineStr">
        <is>
          <t>New South Wales</t>
        </is>
      </c>
      <c r="H892" s="13" t="inlineStr">
        <is>
          <t>76.00</t>
        </is>
      </c>
      <c r="I892" s="11" t="inlineStr">
        <is>
          <t>IVF Australia Pty Ltd</t>
        </is>
      </c>
      <c r="J892" s="14" t="n">
        <v>157.1</v>
      </c>
      <c r="K892" s="13" t="inlineStr">
        <is>
          <t>41.66</t>
        </is>
      </c>
      <c r="L892" s="12" t="n">
        <v>45949</v>
      </c>
      <c r="M892" s="12" t="n">
        <v>45494</v>
      </c>
      <c r="N892" s="13" t="inlineStr">
        <is>
          <t>219.94</t>
        </is>
      </c>
      <c r="O892" s="13" t="inlineStr">
        <is>
          <t>104.50</t>
        </is>
      </c>
      <c r="P892" s="12" t="n"/>
    </row>
    <row r="893" ht="52.8" customHeight="1">
      <c r="A893" s="15" t="n">
        <v>20158</v>
      </c>
      <c r="B893" s="16" t="n">
        <v>39650</v>
      </c>
      <c r="C893" s="15" t="inlineStr">
        <is>
          <t>Executive Assistant</t>
        </is>
      </c>
      <c r="D893" s="15" t="inlineStr">
        <is>
          <t>Common Law Employment Contract</t>
        </is>
      </c>
      <c r="E893" s="15" t="inlineStr">
        <is>
          <t>FP - Full-time Salaried</t>
        </is>
      </c>
      <c r="F893" s="15" t="inlineStr">
        <is>
          <t>Corporate Services</t>
        </is>
      </c>
      <c r="G893" s="15" t="inlineStr">
        <is>
          <t>New South Wales</t>
        </is>
      </c>
      <c r="H893" s="17" t="inlineStr">
        <is>
          <t>76.00</t>
        </is>
      </c>
      <c r="I893" s="15" t="inlineStr">
        <is>
          <t>IVF Australia Pty Ltd</t>
        </is>
      </c>
      <c r="J893" s="18" t="n">
        <v>279.95</v>
      </c>
      <c r="K893" s="17" t="inlineStr">
        <is>
          <t>41.81</t>
        </is>
      </c>
      <c r="L893" s="16" t="n">
        <v>45949</v>
      </c>
      <c r="M893" s="16" t="n">
        <v>45494</v>
      </c>
      <c r="N893" s="17" t="inlineStr">
        <is>
          <t>390.14</t>
        </is>
      </c>
      <c r="O893" s="17" t="inlineStr">
        <is>
          <t>152.00</t>
        </is>
      </c>
      <c r="P893" s="16" t="n"/>
    </row>
    <row r="894" ht="39.6" customHeight="1">
      <c r="A894" s="11" t="inlineStr">
        <is>
          <t>AU23095</t>
        </is>
      </c>
      <c r="B894" s="12" t="n">
        <v>45348</v>
      </c>
      <c r="C894" s="11" t="inlineStr">
        <is>
          <t>Registered Nurse</t>
        </is>
      </c>
      <c r="D894" s="11" t="inlineStr">
        <is>
          <t>NSW Nurse EA</t>
        </is>
      </c>
      <c r="E894" s="11" t="inlineStr">
        <is>
          <t>PP - Part-time Waged</t>
        </is>
      </c>
      <c r="F894" s="11" t="inlineStr">
        <is>
          <t>IVFA</t>
        </is>
      </c>
      <c r="G894" s="11" t="inlineStr">
        <is>
          <t>New South Wales</t>
        </is>
      </c>
      <c r="H894" s="13" t="inlineStr">
        <is>
          <t>57.00</t>
        </is>
      </c>
      <c r="I894" s="11" t="inlineStr">
        <is>
          <t>IVF Australia Pty Ltd</t>
        </is>
      </c>
      <c r="J894" s="14" t="n">
        <v>41.88</v>
      </c>
      <c r="K894" s="13" t="inlineStr">
        <is>
          <t>41.88</t>
        </is>
      </c>
      <c r="L894" s="12" t="n">
        <v>45949</v>
      </c>
      <c r="M894" s="12" t="n">
        <v>45348</v>
      </c>
      <c r="N894" s="13" t="inlineStr"/>
      <c r="O894" s="13" t="inlineStr"/>
      <c r="P894" s="12" t="n"/>
    </row>
    <row r="895" ht="66" customHeight="1">
      <c r="A895" s="15" t="n">
        <v>30372</v>
      </c>
      <c r="B895" s="16" t="n">
        <v>44417</v>
      </c>
      <c r="C895" s="15" t="inlineStr">
        <is>
          <t>Registered Nurse</t>
        </is>
      </c>
      <c r="D895" s="15" t="inlineStr">
        <is>
          <t>NSW Nurse EA</t>
        </is>
      </c>
      <c r="E895" s="15" t="inlineStr">
        <is>
          <t>CA - Casual</t>
        </is>
      </c>
      <c r="F895" s="15" t="inlineStr">
        <is>
          <t>Day Hospitals</t>
        </is>
      </c>
      <c r="G895" s="15" t="inlineStr">
        <is>
          <t>New South Wales</t>
        </is>
      </c>
      <c r="H895" s="17" t="inlineStr"/>
      <c r="I895" s="15" t="inlineStr">
        <is>
          <t>North Shore Specialist Day Hospital Pty Ltd</t>
        </is>
      </c>
      <c r="J895" s="18" t="n">
        <v>42.25</v>
      </c>
      <c r="K895" s="17" t="inlineStr">
        <is>
          <t>42.25</t>
        </is>
      </c>
      <c r="L895" s="16" t="n">
        <v>45879</v>
      </c>
      <c r="M895" s="16" t="n">
        <v>44417</v>
      </c>
      <c r="N895" s="17" t="inlineStr"/>
      <c r="O895" s="17" t="inlineStr"/>
      <c r="P895" s="16" t="n"/>
    </row>
    <row r="896" ht="79.2" customHeight="1">
      <c r="A896" s="11" t="inlineStr">
        <is>
          <t>AU23213</t>
        </is>
      </c>
      <c r="B896" s="12" t="n">
        <v>45418</v>
      </c>
      <c r="C896" s="11" t="inlineStr">
        <is>
          <t>Pathology Scientist</t>
        </is>
      </c>
      <c r="D896" s="11" t="inlineStr">
        <is>
          <t>Health Professionals and Support Services Award</t>
        </is>
      </c>
      <c r="E896" s="11" t="inlineStr">
        <is>
          <t>PP - Part-time Waged</t>
        </is>
      </c>
      <c r="F896" s="11" t="inlineStr">
        <is>
          <t>Diagnostics</t>
        </is>
      </c>
      <c r="G896" s="11" t="inlineStr">
        <is>
          <t>New South Wales</t>
        </is>
      </c>
      <c r="H896" s="13" t="inlineStr">
        <is>
          <t>60.80</t>
        </is>
      </c>
      <c r="I896" s="11" t="inlineStr">
        <is>
          <t>Virtus Health Specialist Diagnostics</t>
        </is>
      </c>
      <c r="J896" s="14" t="n">
        <v>42.37</v>
      </c>
      <c r="K896" s="13" t="inlineStr">
        <is>
          <t>42.37</t>
        </is>
      </c>
      <c r="L896" s="12" t="n">
        <v>45949</v>
      </c>
      <c r="M896" s="12" t="n">
        <v>45418</v>
      </c>
      <c r="N896" s="13" t="inlineStr"/>
      <c r="O896" s="13" t="inlineStr"/>
      <c r="P896" s="12" t="n"/>
    </row>
    <row r="897" ht="52.8" customHeight="1">
      <c r="A897" s="15" t="inlineStr">
        <is>
          <t>AU23253</t>
        </is>
      </c>
      <c r="B897" s="16" t="n">
        <v>45481</v>
      </c>
      <c r="C897" s="15" t="inlineStr">
        <is>
          <t>Senior Group Accountant</t>
        </is>
      </c>
      <c r="D897" s="15" t="inlineStr">
        <is>
          <t>Common Law Employment Contract</t>
        </is>
      </c>
      <c r="E897" s="15" t="inlineStr">
        <is>
          <t>FP - Full-time Salaried</t>
        </is>
      </c>
      <c r="F897" s="15" t="inlineStr">
        <is>
          <t>Corporate Services</t>
        </is>
      </c>
      <c r="G897" s="15" t="inlineStr">
        <is>
          <t>New South Wales</t>
        </is>
      </c>
      <c r="H897" s="17" t="inlineStr">
        <is>
          <t>76.00</t>
        </is>
      </c>
      <c r="I897" s="15" t="inlineStr">
        <is>
          <t>IVF Australia Pty Ltd</t>
        </is>
      </c>
      <c r="J897" s="18" t="n">
        <v>42.43</v>
      </c>
      <c r="K897" s="17" t="inlineStr">
        <is>
          <t>42.43</t>
        </is>
      </c>
      <c r="L897" s="16" t="n">
        <v>45949</v>
      </c>
      <c r="M897" s="16" t="n">
        <v>45481</v>
      </c>
      <c r="N897" s="17" t="inlineStr"/>
      <c r="O897" s="17" t="inlineStr"/>
      <c r="P897" s="16" t="n"/>
    </row>
    <row r="898" ht="39.6" customHeight="1">
      <c r="A898" s="11" t="n">
        <v>40056</v>
      </c>
      <c r="B898" s="12" t="n">
        <v>41493</v>
      </c>
      <c r="C898" s="11" t="inlineStr">
        <is>
          <t>Administration Clerk</t>
        </is>
      </c>
      <c r="D898" s="11" t="inlineStr">
        <is>
          <t>NSW Support Services EA</t>
        </is>
      </c>
      <c r="E898" s="11" t="inlineStr">
        <is>
          <t>CA - Casual</t>
        </is>
      </c>
      <c r="F898" s="11" t="inlineStr">
        <is>
          <t>Day Hospitals</t>
        </is>
      </c>
      <c r="G898" s="11" t="inlineStr">
        <is>
          <t>New South Wales</t>
        </is>
      </c>
      <c r="H898" s="13" t="inlineStr"/>
      <c r="I898" s="11" t="inlineStr">
        <is>
          <t>City West Day Surgery</t>
        </is>
      </c>
      <c r="J898" s="14" t="n">
        <v>67.65000000000001</v>
      </c>
      <c r="K898" s="13" t="inlineStr">
        <is>
          <t>42.56</t>
        </is>
      </c>
      <c r="L898" s="12" t="n">
        <v>45949</v>
      </c>
      <c r="M898" s="12" t="n">
        <v>45145</v>
      </c>
      <c r="N898" s="13" t="inlineStr">
        <is>
          <t>177.09</t>
        </is>
      </c>
      <c r="O898" s="13" t="inlineStr">
        <is>
          <t>152.00</t>
        </is>
      </c>
      <c r="P898" s="12" t="n"/>
    </row>
    <row r="899" ht="52.8" customHeight="1">
      <c r="A899" s="15" t="inlineStr">
        <is>
          <t>AU23014</t>
        </is>
      </c>
      <c r="B899" s="16" t="n">
        <v>45230</v>
      </c>
      <c r="C899" s="15" t="inlineStr">
        <is>
          <t>Counsellor</t>
        </is>
      </c>
      <c r="D899" s="15" t="inlineStr">
        <is>
          <t>NSW Counsellor EA</t>
        </is>
      </c>
      <c r="E899" s="15" t="inlineStr">
        <is>
          <t>PP - Part-time Waged</t>
        </is>
      </c>
      <c r="F899" s="15" t="inlineStr">
        <is>
          <t>Queensland Fertility Group</t>
        </is>
      </c>
      <c r="G899" s="15" t="inlineStr">
        <is>
          <t>Queensland</t>
        </is>
      </c>
      <c r="H899" s="17" t="inlineStr">
        <is>
          <t>45.60</t>
        </is>
      </c>
      <c r="I899" s="15" t="inlineStr">
        <is>
          <t>Queensland Fertility Group Pty Ltd</t>
        </is>
      </c>
      <c r="J899" s="18" t="n">
        <v>42.61</v>
      </c>
      <c r="K899" s="17" t="inlineStr">
        <is>
          <t>42.61</t>
        </is>
      </c>
      <c r="L899" s="16" t="n">
        <v>45949</v>
      </c>
      <c r="M899" s="16" t="n">
        <v>45230</v>
      </c>
      <c r="N899" s="17" t="inlineStr"/>
      <c r="O899" s="17" t="inlineStr"/>
      <c r="P899" s="16" t="n"/>
    </row>
    <row r="900" ht="39.6" customHeight="1">
      <c r="A900" s="11" t="inlineStr">
        <is>
          <t>AU23269</t>
        </is>
      </c>
      <c r="B900" s="12" t="n">
        <v>45467</v>
      </c>
      <c r="C900" s="11" t="inlineStr">
        <is>
          <t>Pracrtice Manager</t>
        </is>
      </c>
      <c r="D900" s="11" t="inlineStr">
        <is>
          <t>NSW Support Services EA</t>
        </is>
      </c>
      <c r="E900" s="11" t="inlineStr">
        <is>
          <t>FT - Full-time Waged</t>
        </is>
      </c>
      <c r="F900" s="11" t="inlineStr">
        <is>
          <t>IVFA</t>
        </is>
      </c>
      <c r="G900" s="11" t="inlineStr">
        <is>
          <t>New South Wales</t>
        </is>
      </c>
      <c r="H900" s="13" t="inlineStr">
        <is>
          <t>76.00</t>
        </is>
      </c>
      <c r="I900" s="11" t="inlineStr">
        <is>
          <t>IVF Australia Pty Ltd</t>
        </is>
      </c>
      <c r="J900" s="14" t="n">
        <v>43.16</v>
      </c>
      <c r="K900" s="13" t="inlineStr">
        <is>
          <t>43.16</t>
        </is>
      </c>
      <c r="L900" s="12" t="n">
        <v>45949</v>
      </c>
      <c r="M900" s="12" t="n">
        <v>45467</v>
      </c>
      <c r="N900" s="13" t="inlineStr"/>
      <c r="O900" s="13" t="inlineStr"/>
      <c r="P900" s="12" t="n"/>
    </row>
    <row r="901" ht="39.6" customHeight="1">
      <c r="A901" s="15" t="inlineStr">
        <is>
          <t>AU23076</t>
        </is>
      </c>
      <c r="B901" s="16" t="n">
        <v>45321</v>
      </c>
      <c r="C901" s="15" t="inlineStr">
        <is>
          <t>Fertility Counsellor</t>
        </is>
      </c>
      <c r="D901" s="15" t="inlineStr">
        <is>
          <t>NSW Counsellor EA</t>
        </is>
      </c>
      <c r="E901" s="15" t="inlineStr">
        <is>
          <t>PP - Part-time Waged</t>
        </is>
      </c>
      <c r="F901" s="15" t="inlineStr">
        <is>
          <t>IVFA</t>
        </is>
      </c>
      <c r="G901" s="15" t="inlineStr">
        <is>
          <t>New South Wales</t>
        </is>
      </c>
      <c r="H901" s="17" t="inlineStr">
        <is>
          <t>64.00</t>
        </is>
      </c>
      <c r="I901" s="15" t="inlineStr">
        <is>
          <t>IVF Australia Pty Ltd</t>
        </is>
      </c>
      <c r="J901" s="18" t="n">
        <v>43.3</v>
      </c>
      <c r="K901" s="17" t="inlineStr">
        <is>
          <t>43.30</t>
        </is>
      </c>
      <c r="L901" s="16" t="n">
        <v>45949</v>
      </c>
      <c r="M901" s="16" t="n">
        <v>45321</v>
      </c>
      <c r="N901" s="17" t="inlineStr"/>
      <c r="O901" s="17" t="inlineStr"/>
      <c r="P901" s="16" t="n"/>
    </row>
    <row r="902" ht="39.6" customHeight="1">
      <c r="A902" s="11" t="inlineStr">
        <is>
          <t>AU23228</t>
        </is>
      </c>
      <c r="B902" s="12" t="n">
        <v>45439</v>
      </c>
      <c r="C902" s="11" t="inlineStr">
        <is>
          <t>Patient Liaison Coordinator</t>
        </is>
      </c>
      <c r="D902" s="11" t="inlineStr">
        <is>
          <t>NSW Support Services EA</t>
        </is>
      </c>
      <c r="E902" s="11" t="inlineStr">
        <is>
          <t>FT - Full-time Waged</t>
        </is>
      </c>
      <c r="F902" s="11" t="inlineStr">
        <is>
          <t>IVFA</t>
        </is>
      </c>
      <c r="G902" s="11" t="inlineStr">
        <is>
          <t>New South Wales</t>
        </is>
      </c>
      <c r="H902" s="13" t="inlineStr">
        <is>
          <t>76.00</t>
        </is>
      </c>
      <c r="I902" s="11" t="inlineStr">
        <is>
          <t>IVF Australia Pty Ltd</t>
        </is>
      </c>
      <c r="J902" s="14" t="n">
        <v>43.51</v>
      </c>
      <c r="K902" s="13" t="inlineStr">
        <is>
          <t>43.51</t>
        </is>
      </c>
      <c r="L902" s="12" t="n">
        <v>45949</v>
      </c>
      <c r="M902" s="12" t="n">
        <v>45439</v>
      </c>
      <c r="N902" s="13" t="inlineStr"/>
      <c r="O902" s="13" t="inlineStr"/>
      <c r="P902" s="12" t="n"/>
    </row>
    <row r="903" ht="52.8" customHeight="1">
      <c r="A903" s="15" t="inlineStr">
        <is>
          <t>AU22900</t>
        </is>
      </c>
      <c r="B903" s="16" t="n">
        <v>45078</v>
      </c>
      <c r="C903" s="15" t="inlineStr">
        <is>
          <t>Managing Director Strategic Growth</t>
        </is>
      </c>
      <c r="D903" s="15" t="inlineStr">
        <is>
          <t>Common Law Employment Contract</t>
        </is>
      </c>
      <c r="E903" s="15" t="inlineStr">
        <is>
          <t>PP - Part-time Waged</t>
        </is>
      </c>
      <c r="F903" s="15" t="inlineStr">
        <is>
          <t>Corporate Services</t>
        </is>
      </c>
      <c r="G903" s="15" t="inlineStr">
        <is>
          <t>New South Wales</t>
        </is>
      </c>
      <c r="H903" s="17" t="inlineStr">
        <is>
          <t>42.00</t>
        </is>
      </c>
      <c r="I903" s="15" t="inlineStr">
        <is>
          <t>IVF Australia Pty Ltd</t>
        </is>
      </c>
      <c r="J903" s="18" t="n">
        <v>43.52</v>
      </c>
      <c r="K903" s="17" t="inlineStr">
        <is>
          <t>43.52</t>
        </is>
      </c>
      <c r="L903" s="16" t="n">
        <v>45949</v>
      </c>
      <c r="M903" s="16" t="n">
        <v>45078</v>
      </c>
      <c r="N903" s="17" t="inlineStr"/>
      <c r="O903" s="17" t="inlineStr"/>
      <c r="P903" s="16" t="n"/>
    </row>
    <row r="904" ht="79.2" customHeight="1">
      <c r="A904" s="11" t="inlineStr">
        <is>
          <t>AU23282</t>
        </is>
      </c>
      <c r="B904" s="12" t="n">
        <v>45481</v>
      </c>
      <c r="C904" s="11" t="inlineStr">
        <is>
          <t>Senior Administration Assistant</t>
        </is>
      </c>
      <c r="D904" s="11" t="inlineStr">
        <is>
          <t>Health Professionals and Support Services Award</t>
        </is>
      </c>
      <c r="E904" s="11" t="inlineStr">
        <is>
          <t>FT - Full-time Waged</t>
        </is>
      </c>
      <c r="F904" s="11" t="inlineStr">
        <is>
          <t>Day Hospitals</t>
        </is>
      </c>
      <c r="G904" s="11" t="inlineStr">
        <is>
          <t>Queensland</t>
        </is>
      </c>
      <c r="H904" s="13" t="inlineStr">
        <is>
          <t>76.00</t>
        </is>
      </c>
      <c r="I904" s="11" t="inlineStr">
        <is>
          <t>Spring Hill Specialist Day Hospital</t>
        </is>
      </c>
      <c r="J904" s="14" t="n">
        <v>43.54</v>
      </c>
      <c r="K904" s="13" t="inlineStr">
        <is>
          <t>43.54</t>
        </is>
      </c>
      <c r="L904" s="12" t="n">
        <v>45949</v>
      </c>
      <c r="M904" s="12" t="n">
        <v>45481</v>
      </c>
      <c r="N904" s="13" t="inlineStr"/>
      <c r="O904" s="13" t="inlineStr"/>
      <c r="P904" s="12" t="n"/>
    </row>
    <row r="905" ht="39.6" customHeight="1">
      <c r="A905" s="15" t="inlineStr">
        <is>
          <t>AU23249</t>
        </is>
      </c>
      <c r="B905" s="16" t="n">
        <v>45453</v>
      </c>
      <c r="C905" s="15" t="inlineStr">
        <is>
          <t>Registered Nurse</t>
        </is>
      </c>
      <c r="D905" s="15" t="inlineStr">
        <is>
          <t>NSW Nurse EA</t>
        </is>
      </c>
      <c r="E905" s="15" t="inlineStr">
        <is>
          <t>FT - Full-time Waged</t>
        </is>
      </c>
      <c r="F905" s="15" t="inlineStr">
        <is>
          <t>IVFA</t>
        </is>
      </c>
      <c r="G905" s="15" t="inlineStr">
        <is>
          <t>New South Wales</t>
        </is>
      </c>
      <c r="H905" s="17" t="inlineStr">
        <is>
          <t>76.00</t>
        </is>
      </c>
      <c r="I905" s="15" t="inlineStr">
        <is>
          <t>IVF Australia Pty Ltd</t>
        </is>
      </c>
      <c r="J905" s="18" t="n">
        <v>43.69</v>
      </c>
      <c r="K905" s="17" t="inlineStr">
        <is>
          <t>43.69</t>
        </is>
      </c>
      <c r="L905" s="16" t="n">
        <v>45949</v>
      </c>
      <c r="M905" s="16" t="n">
        <v>45453</v>
      </c>
      <c r="N905" s="17" t="inlineStr"/>
      <c r="O905" s="17" t="inlineStr"/>
      <c r="P905" s="16" t="n"/>
    </row>
    <row r="906" ht="79.2" customHeight="1">
      <c r="A906" s="11" t="inlineStr">
        <is>
          <t>AU23230</t>
        </is>
      </c>
      <c r="B906" s="12" t="n">
        <v>45434</v>
      </c>
      <c r="C906" s="11" t="inlineStr">
        <is>
          <t>Clinic Coordinator</t>
        </is>
      </c>
      <c r="D906" s="11" t="inlineStr">
        <is>
          <t>Health Professionals and Support Services Award</t>
        </is>
      </c>
      <c r="E906" s="11" t="inlineStr">
        <is>
          <t>FT - Full-time Waged</t>
        </is>
      </c>
      <c r="F906" s="11" t="inlineStr">
        <is>
          <t>Queensland Fertility Group</t>
        </is>
      </c>
      <c r="G906" s="11" t="inlineStr">
        <is>
          <t>Queensland</t>
        </is>
      </c>
      <c r="H906" s="13" t="inlineStr">
        <is>
          <t>76.00</t>
        </is>
      </c>
      <c r="I906" s="11" t="inlineStr">
        <is>
          <t>Queensland Fertility Group Pty Ltd</t>
        </is>
      </c>
      <c r="J906" s="14" t="n">
        <v>43.83</v>
      </c>
      <c r="K906" s="13" t="inlineStr">
        <is>
          <t>43.83</t>
        </is>
      </c>
      <c r="L906" s="12" t="n">
        <v>45949</v>
      </c>
      <c r="M906" s="12" t="n">
        <v>45434</v>
      </c>
      <c r="N906" s="13" t="inlineStr"/>
      <c r="O906" s="13" t="inlineStr"/>
      <c r="P906" s="12" t="n"/>
    </row>
    <row r="907" ht="66" customHeight="1">
      <c r="A907" s="15" t="inlineStr">
        <is>
          <t>AU22963</t>
        </is>
      </c>
      <c r="B907" s="16" t="n">
        <v>45152</v>
      </c>
      <c r="C907" s="15" t="inlineStr">
        <is>
          <t>Registered Nurse</t>
        </is>
      </c>
      <c r="D907" s="15" t="inlineStr">
        <is>
          <t>NSW Nurse EA</t>
        </is>
      </c>
      <c r="E907" s="15" t="inlineStr">
        <is>
          <t>PP - Part-time Waged</t>
        </is>
      </c>
      <c r="F907" s="15" t="inlineStr">
        <is>
          <t>Day Hospitals</t>
        </is>
      </c>
      <c r="G907" s="15" t="inlineStr">
        <is>
          <t>New South Wales</t>
        </is>
      </c>
      <c r="H907" s="17" t="inlineStr">
        <is>
          <t>48.00</t>
        </is>
      </c>
      <c r="I907" s="15" t="inlineStr">
        <is>
          <t>Alexandria Specialist Day Hospital Pty Ltd</t>
        </is>
      </c>
      <c r="J907" s="18" t="n">
        <v>43.95</v>
      </c>
      <c r="K907" s="17" t="inlineStr">
        <is>
          <t>43.95</t>
        </is>
      </c>
      <c r="L907" s="16" t="n">
        <v>45949</v>
      </c>
      <c r="M907" s="16" t="n">
        <v>45152</v>
      </c>
      <c r="N907" s="17" t="inlineStr"/>
      <c r="O907" s="17" t="inlineStr"/>
      <c r="P907" s="16" t="n"/>
    </row>
    <row r="908" ht="79.2" customHeight="1">
      <c r="A908" s="11" t="n">
        <v>60180</v>
      </c>
      <c r="B908" s="12" t="n">
        <v>39643</v>
      </c>
      <c r="C908" s="11" t="inlineStr">
        <is>
          <t>Administration Clerk</t>
        </is>
      </c>
      <c r="D908" s="11" t="inlineStr">
        <is>
          <t>Health Professionals and Support Services Award</t>
        </is>
      </c>
      <c r="E908" s="11" t="inlineStr">
        <is>
          <t>FT - Full-time Waged</t>
        </is>
      </c>
      <c r="F908" s="11" t="inlineStr">
        <is>
          <t>Day Hospitals</t>
        </is>
      </c>
      <c r="G908" s="11" t="inlineStr">
        <is>
          <t>Queensland</t>
        </is>
      </c>
      <c r="H908" s="13" t="inlineStr">
        <is>
          <t>76.00</t>
        </is>
      </c>
      <c r="I908" s="11" t="inlineStr">
        <is>
          <t>Spring Hill Specialist Day Hospital</t>
        </is>
      </c>
      <c r="J908" s="14" t="n">
        <v>538.67</v>
      </c>
      <c r="K908" s="13" t="inlineStr">
        <is>
          <t>44.30</t>
        </is>
      </c>
      <c r="L908" s="12" t="n">
        <v>45949</v>
      </c>
      <c r="M908" s="12" t="n">
        <v>45487</v>
      </c>
      <c r="N908" s="13" t="inlineStr">
        <is>
          <t>604.37</t>
        </is>
      </c>
      <c r="O908" s="13" t="inlineStr">
        <is>
          <t>110.00</t>
        </is>
      </c>
      <c r="P908" s="12" t="n"/>
    </row>
    <row r="909" ht="79.2" customHeight="1">
      <c r="A909" s="15" t="inlineStr">
        <is>
          <t>AU22637</t>
        </is>
      </c>
      <c r="B909" s="16" t="n">
        <v>44861</v>
      </c>
      <c r="C909" s="15" t="inlineStr">
        <is>
          <t>Phlebotomist</t>
        </is>
      </c>
      <c r="D909" s="15" t="inlineStr">
        <is>
          <t>Health Professionals and Support Services Award</t>
        </is>
      </c>
      <c r="E909" s="15" t="inlineStr">
        <is>
          <t>CA - Casual</t>
        </is>
      </c>
      <c r="F909" s="15" t="inlineStr">
        <is>
          <t>Queensland Fertility Group</t>
        </is>
      </c>
      <c r="G909" s="15" t="inlineStr">
        <is>
          <t>Queensland</t>
        </is>
      </c>
      <c r="H909" s="17" t="inlineStr"/>
      <c r="I909" s="15" t="inlineStr">
        <is>
          <t>Queensland Fertility Group Pty Ltd</t>
        </is>
      </c>
      <c r="J909" s="18" t="n">
        <v>44.52</v>
      </c>
      <c r="K909" s="17" t="inlineStr">
        <is>
          <t>44.52</t>
        </is>
      </c>
      <c r="L909" s="16" t="n">
        <v>45949</v>
      </c>
      <c r="M909" s="16" t="n">
        <v>44861</v>
      </c>
      <c r="N909" s="17" t="inlineStr"/>
      <c r="O909" s="17" t="inlineStr"/>
      <c r="P909" s="16" t="n"/>
    </row>
    <row r="910" ht="52.8" customHeight="1">
      <c r="A910" s="11" t="inlineStr">
        <is>
          <t>AU23063</t>
        </is>
      </c>
      <c r="B910" s="12" t="n">
        <v>45320</v>
      </c>
      <c r="C910" s="11" t="inlineStr">
        <is>
          <t>Nurse Coordinator</t>
        </is>
      </c>
      <c r="D910" s="11" t="inlineStr">
        <is>
          <t>QLD Nurse EA</t>
        </is>
      </c>
      <c r="E910" s="11" t="inlineStr">
        <is>
          <t>PP - Part-time Waged</t>
        </is>
      </c>
      <c r="F910" s="11" t="inlineStr">
        <is>
          <t>Queensland Fertility Group</t>
        </is>
      </c>
      <c r="G910" s="11" t="inlineStr">
        <is>
          <t>Queensland</t>
        </is>
      </c>
      <c r="H910" s="13" t="inlineStr">
        <is>
          <t>48.00</t>
        </is>
      </c>
      <c r="I910" s="11" t="inlineStr">
        <is>
          <t>Queensland Fertility Group Pty Ltd</t>
        </is>
      </c>
      <c r="J910" s="14" t="n">
        <v>44.53</v>
      </c>
      <c r="K910" s="13" t="inlineStr">
        <is>
          <t>44.53</t>
        </is>
      </c>
      <c r="L910" s="12" t="n">
        <v>45949</v>
      </c>
      <c r="M910" s="12" t="n">
        <v>45320</v>
      </c>
      <c r="N910" s="13" t="inlineStr"/>
      <c r="O910" s="13" t="inlineStr"/>
      <c r="P910" s="12" t="n"/>
    </row>
    <row r="911" ht="39.6" customHeight="1">
      <c r="A911" s="15" t="inlineStr">
        <is>
          <t>AU23518</t>
        </is>
      </c>
      <c r="B911" s="16" t="n">
        <v>45684</v>
      </c>
      <c r="C911" s="15" t="inlineStr">
        <is>
          <t>Registered Nurse</t>
        </is>
      </c>
      <c r="D911" s="15" t="inlineStr">
        <is>
          <t>NSW Nurse EA</t>
        </is>
      </c>
      <c r="E911" s="15" t="inlineStr">
        <is>
          <t>PP - Part-time Waged</t>
        </is>
      </c>
      <c r="F911" s="15" t="inlineStr">
        <is>
          <t>Day Hospitals</t>
        </is>
      </c>
      <c r="G911" s="15" t="inlineStr">
        <is>
          <t>New South Wales</t>
        </is>
      </c>
      <c r="H911" s="17" t="inlineStr">
        <is>
          <t>36.00</t>
        </is>
      </c>
      <c r="I911" s="15" t="inlineStr">
        <is>
          <t>City West Day Surgery</t>
        </is>
      </c>
      <c r="J911" s="18" t="n">
        <v>44.62</v>
      </c>
      <c r="K911" s="17" t="inlineStr">
        <is>
          <t>44.62</t>
        </is>
      </c>
      <c r="L911" s="16" t="n">
        <v>45949</v>
      </c>
      <c r="M911" s="16" t="n">
        <v>44670</v>
      </c>
      <c r="N911" s="17" t="inlineStr"/>
      <c r="O911" s="17" t="inlineStr"/>
      <c r="P911" s="16" t="n"/>
    </row>
    <row r="912" ht="52.8" customHeight="1">
      <c r="A912" s="11" t="inlineStr">
        <is>
          <t>AU23240</t>
        </is>
      </c>
      <c r="B912" s="12" t="n">
        <v>45441</v>
      </c>
      <c r="C912" s="11" t="inlineStr">
        <is>
          <t>New Patient Care Team Leader</t>
        </is>
      </c>
      <c r="D912" s="11" t="inlineStr">
        <is>
          <t>Common Law Employment Contract</t>
        </is>
      </c>
      <c r="E912" s="11" t="inlineStr">
        <is>
          <t>FP - Full-time Salaried</t>
        </is>
      </c>
      <c r="F912" s="11" t="inlineStr">
        <is>
          <t>Corporate Services</t>
        </is>
      </c>
      <c r="G912" s="11" t="inlineStr">
        <is>
          <t>New South Wales</t>
        </is>
      </c>
      <c r="H912" s="13" t="inlineStr">
        <is>
          <t>76.00</t>
        </is>
      </c>
      <c r="I912" s="11" t="inlineStr">
        <is>
          <t>IVF Australia Pty Ltd</t>
        </is>
      </c>
      <c r="J912" s="14" t="n">
        <v>44.71</v>
      </c>
      <c r="K912" s="13" t="inlineStr">
        <is>
          <t>44.71</t>
        </is>
      </c>
      <c r="L912" s="12" t="n">
        <v>45949</v>
      </c>
      <c r="M912" s="12" t="n">
        <v>45441</v>
      </c>
      <c r="N912" s="13" t="inlineStr"/>
      <c r="O912" s="13" t="inlineStr"/>
      <c r="P912" s="12" t="n"/>
    </row>
    <row r="913" ht="66" customHeight="1">
      <c r="A913" s="15" t="inlineStr">
        <is>
          <t>AU23018</t>
        </is>
      </c>
      <c r="B913" s="16" t="n">
        <v>45194</v>
      </c>
      <c r="C913" s="15" t="inlineStr">
        <is>
          <t>Registered Nurse</t>
        </is>
      </c>
      <c r="D913" s="15" t="inlineStr">
        <is>
          <t>NSW Nurse EA</t>
        </is>
      </c>
      <c r="E913" s="15" t="inlineStr">
        <is>
          <t>CA - Casual</t>
        </is>
      </c>
      <c r="F913" s="15" t="inlineStr">
        <is>
          <t>Day Hospitals</t>
        </is>
      </c>
      <c r="G913" s="15" t="inlineStr">
        <is>
          <t>New South Wales</t>
        </is>
      </c>
      <c r="H913" s="17" t="inlineStr"/>
      <c r="I913" s="15" t="inlineStr">
        <is>
          <t>Alexandria Specialist Day Hospital Pty Ltd</t>
        </is>
      </c>
      <c r="J913" s="18" t="n">
        <v>44.88</v>
      </c>
      <c r="K913" s="17" t="inlineStr">
        <is>
          <t>44.88</t>
        </is>
      </c>
      <c r="L913" s="16" t="n">
        <v>45193</v>
      </c>
      <c r="M913" s="16" t="n">
        <v>43668</v>
      </c>
      <c r="N913" s="17" t="inlineStr"/>
      <c r="O913" s="17" t="inlineStr"/>
      <c r="P913" s="16" t="n"/>
    </row>
    <row r="914" ht="39.6" customHeight="1">
      <c r="A914" s="11" t="inlineStr">
        <is>
          <t>AU23243</t>
        </is>
      </c>
      <c r="B914" s="12" t="n">
        <v>45454</v>
      </c>
      <c r="C914" s="11" t="inlineStr">
        <is>
          <t>Registered Nurse</t>
        </is>
      </c>
      <c r="D914" s="11" t="inlineStr">
        <is>
          <t>NSW Nurse EA</t>
        </is>
      </c>
      <c r="E914" s="11" t="inlineStr">
        <is>
          <t>FT - Full-time Waged</t>
        </is>
      </c>
      <c r="F914" s="11" t="inlineStr">
        <is>
          <t>IVFA</t>
        </is>
      </c>
      <c r="G914" s="11" t="inlineStr">
        <is>
          <t>New South Wales</t>
        </is>
      </c>
      <c r="H914" s="13" t="inlineStr">
        <is>
          <t>76.00</t>
        </is>
      </c>
      <c r="I914" s="11" t="inlineStr">
        <is>
          <t>IVF Australia Pty Ltd</t>
        </is>
      </c>
      <c r="J914" s="14" t="n">
        <v>44.93</v>
      </c>
      <c r="K914" s="13" t="inlineStr">
        <is>
          <t>44.93</t>
        </is>
      </c>
      <c r="L914" s="12" t="n">
        <v>45949</v>
      </c>
      <c r="M914" s="12" t="n">
        <v>45454</v>
      </c>
      <c r="N914" s="13" t="inlineStr"/>
      <c r="O914" s="13" t="inlineStr"/>
      <c r="P914" s="12" t="n"/>
    </row>
    <row r="915" ht="39.6" customHeight="1">
      <c r="A915" s="15" t="n">
        <v>20840</v>
      </c>
      <c r="B915" s="16" t="n">
        <v>44270</v>
      </c>
      <c r="C915" s="15" t="inlineStr">
        <is>
          <t>Registered Nurse</t>
        </is>
      </c>
      <c r="D915" s="15" t="inlineStr">
        <is>
          <t>NSW Nurse EA</t>
        </is>
      </c>
      <c r="E915" s="15" t="inlineStr">
        <is>
          <t>CA - Casual</t>
        </is>
      </c>
      <c r="F915" s="15" t="inlineStr">
        <is>
          <t>IVFA</t>
        </is>
      </c>
      <c r="G915" s="15" t="inlineStr">
        <is>
          <t>New South Wales</t>
        </is>
      </c>
      <c r="H915" s="17" t="inlineStr"/>
      <c r="I915" s="15" t="inlineStr">
        <is>
          <t>IVF Australia Pty Ltd</t>
        </is>
      </c>
      <c r="J915" s="18" t="n">
        <v>45.26</v>
      </c>
      <c r="K915" s="17" t="inlineStr">
        <is>
          <t>45.26</t>
        </is>
      </c>
      <c r="L915" s="16" t="n">
        <v>45935</v>
      </c>
      <c r="M915" s="16" t="n">
        <v>44270</v>
      </c>
      <c r="N915" s="17" t="inlineStr"/>
      <c r="O915" s="17" t="inlineStr"/>
      <c r="P915" s="16" t="n"/>
    </row>
    <row r="916" ht="39.6" customHeight="1">
      <c r="A916" s="11" t="n">
        <v>20033</v>
      </c>
      <c r="B916" s="12" t="n">
        <v>39608</v>
      </c>
      <c r="C916" s="11" t="inlineStr">
        <is>
          <t>Administration</t>
        </is>
      </c>
      <c r="D916" s="11" t="inlineStr">
        <is>
          <t>NSW Support Services EA</t>
        </is>
      </c>
      <c r="E916" s="11" t="inlineStr">
        <is>
          <t>FT - Full-time Waged</t>
        </is>
      </c>
      <c r="F916" s="11" t="inlineStr">
        <is>
          <t>IVFA</t>
        </is>
      </c>
      <c r="G916" s="11" t="inlineStr">
        <is>
          <t>New South Wales</t>
        </is>
      </c>
      <c r="H916" s="13" t="inlineStr">
        <is>
          <t>76.00</t>
        </is>
      </c>
      <c r="I916" s="11" t="inlineStr">
        <is>
          <t>IVF Australia Pty Ltd</t>
        </is>
      </c>
      <c r="J916" s="14" t="n">
        <v>100.87</v>
      </c>
      <c r="K916" s="13" t="inlineStr">
        <is>
          <t>45.61</t>
        </is>
      </c>
      <c r="L916" s="12" t="n">
        <v>45949</v>
      </c>
      <c r="M916" s="12" t="n">
        <v>45452</v>
      </c>
      <c r="N916" s="13" t="inlineStr">
        <is>
          <t>55.26</t>
        </is>
      </c>
      <c r="O916" s="13" t="inlineStr"/>
      <c r="P916" s="12" t="n"/>
    </row>
    <row r="917" ht="39.6" customHeight="1">
      <c r="A917" s="15" t="inlineStr">
        <is>
          <t>AU23212</t>
        </is>
      </c>
      <c r="B917" s="16" t="n">
        <v>45425</v>
      </c>
      <c r="C917" s="15" t="inlineStr">
        <is>
          <t>Nurse Unit Manager</t>
        </is>
      </c>
      <c r="D917" s="15" t="inlineStr">
        <is>
          <t>NSW Nurse EA</t>
        </is>
      </c>
      <c r="E917" s="15" t="inlineStr">
        <is>
          <t>FT - Full-time Waged</t>
        </is>
      </c>
      <c r="F917" s="15" t="inlineStr">
        <is>
          <t>IVFA</t>
        </is>
      </c>
      <c r="G917" s="15" t="inlineStr">
        <is>
          <t>New South Wales</t>
        </is>
      </c>
      <c r="H917" s="17" t="inlineStr">
        <is>
          <t>76.00</t>
        </is>
      </c>
      <c r="I917" s="15" t="inlineStr">
        <is>
          <t>IVF Australia Pty Ltd</t>
        </is>
      </c>
      <c r="J917" s="18" t="n">
        <v>45.65</v>
      </c>
      <c r="K917" s="17" t="inlineStr">
        <is>
          <t>45.65</t>
        </is>
      </c>
      <c r="L917" s="16" t="n">
        <v>45949</v>
      </c>
      <c r="M917" s="16" t="n">
        <v>45425</v>
      </c>
      <c r="N917" s="17" t="inlineStr"/>
      <c r="O917" s="17" t="inlineStr"/>
      <c r="P917" s="16" t="n"/>
    </row>
    <row r="918" ht="52.8" customHeight="1">
      <c r="A918" s="11" t="n">
        <v>70004</v>
      </c>
      <c r="B918" s="12" t="n">
        <v>38313</v>
      </c>
      <c r="C918" s="11" t="inlineStr">
        <is>
          <t>Regional Clinical Nurse Specialist</t>
        </is>
      </c>
      <c r="D918" s="11" t="inlineStr">
        <is>
          <t>QLD Nurse EA</t>
        </is>
      </c>
      <c r="E918" s="11" t="inlineStr">
        <is>
          <t>FT - Full-time Waged</t>
        </is>
      </c>
      <c r="F918" s="11" t="inlineStr">
        <is>
          <t>Queensland Fertility Group</t>
        </is>
      </c>
      <c r="G918" s="11" t="inlineStr">
        <is>
          <t>Queensland</t>
        </is>
      </c>
      <c r="H918" s="13" t="inlineStr">
        <is>
          <t>76.00</t>
        </is>
      </c>
      <c r="I918" s="11" t="inlineStr">
        <is>
          <t>Queensland Fertility Group Pty Ltd</t>
        </is>
      </c>
      <c r="J918" s="14" t="n">
        <v>85.08</v>
      </c>
      <c r="K918" s="13" t="inlineStr">
        <is>
          <t>45.72</t>
        </is>
      </c>
      <c r="L918" s="12" t="n">
        <v>45949</v>
      </c>
      <c r="M918" s="12" t="n">
        <v>45618</v>
      </c>
      <c r="N918" s="13" t="inlineStr">
        <is>
          <t>115.36</t>
        </is>
      </c>
      <c r="O918" s="13" t="inlineStr">
        <is>
          <t>76.00</t>
        </is>
      </c>
      <c r="P918" s="12" t="n"/>
    </row>
    <row r="919" ht="66" customHeight="1">
      <c r="A919" s="15" t="inlineStr">
        <is>
          <t>AU22913</t>
        </is>
      </c>
      <c r="B919" s="16" t="n">
        <v>45124</v>
      </c>
      <c r="C919" s="15" t="inlineStr">
        <is>
          <t>Administration Clerk</t>
        </is>
      </c>
      <c r="D919" s="15" t="inlineStr">
        <is>
          <t>NSW Support Services EA</t>
        </is>
      </c>
      <c r="E919" s="15" t="inlineStr">
        <is>
          <t>PP - Part-time Waged</t>
        </is>
      </c>
      <c r="F919" s="15" t="inlineStr">
        <is>
          <t>Day Hospitals</t>
        </is>
      </c>
      <c r="G919" s="15" t="inlineStr">
        <is>
          <t>New South Wales</t>
        </is>
      </c>
      <c r="H919" s="17" t="inlineStr">
        <is>
          <t>45.60</t>
        </is>
      </c>
      <c r="I919" s="15" t="inlineStr">
        <is>
          <t>Alexandria Specialist Day Hospital Pty Ltd</t>
        </is>
      </c>
      <c r="J919" s="18" t="n">
        <v>45.75</v>
      </c>
      <c r="K919" s="17" t="inlineStr">
        <is>
          <t>45.75</t>
        </is>
      </c>
      <c r="L919" s="16" t="n">
        <v>45949</v>
      </c>
      <c r="M919" s="16" t="n">
        <v>45114</v>
      </c>
      <c r="N919" s="17" t="inlineStr"/>
      <c r="O919" s="17" t="inlineStr"/>
      <c r="P919" s="16" t="n"/>
    </row>
    <row r="920" ht="39.6" customHeight="1">
      <c r="A920" s="11" t="inlineStr">
        <is>
          <t>AU23197</t>
        </is>
      </c>
      <c r="B920" s="12" t="n">
        <v>45418</v>
      </c>
      <c r="C920" s="11" t="inlineStr">
        <is>
          <t>Nures Coordinator</t>
        </is>
      </c>
      <c r="D920" s="11" t="inlineStr">
        <is>
          <t>NSW Nurse EA</t>
        </is>
      </c>
      <c r="E920" s="11" t="inlineStr">
        <is>
          <t>FT - Full-time Waged</t>
        </is>
      </c>
      <c r="F920" s="11" t="inlineStr">
        <is>
          <t>IVFA</t>
        </is>
      </c>
      <c r="G920" s="11" t="inlineStr">
        <is>
          <t>New South Wales</t>
        </is>
      </c>
      <c r="H920" s="13" t="inlineStr">
        <is>
          <t>76.00</t>
        </is>
      </c>
      <c r="I920" s="11" t="inlineStr">
        <is>
          <t>IVF Australia Pty Ltd</t>
        </is>
      </c>
      <c r="J920" s="14" t="n">
        <v>45.85</v>
      </c>
      <c r="K920" s="13" t="inlineStr">
        <is>
          <t>45.85</t>
        </is>
      </c>
      <c r="L920" s="12" t="n">
        <v>45949</v>
      </c>
      <c r="M920" s="12" t="n">
        <v>45418</v>
      </c>
      <c r="N920" s="13" t="inlineStr"/>
      <c r="O920" s="13" t="inlineStr"/>
      <c r="P920" s="12" t="n"/>
    </row>
    <row r="921" ht="52.8" customHeight="1">
      <c r="A921" s="15" t="inlineStr">
        <is>
          <t>AU23222</t>
        </is>
      </c>
      <c r="B921" s="16" t="n">
        <v>45439</v>
      </c>
      <c r="C921" s="15" t="inlineStr">
        <is>
          <t>Head of Department - Molecular Genetics</t>
        </is>
      </c>
      <c r="D921" s="15" t="inlineStr">
        <is>
          <t>Common Law Employment Contract</t>
        </is>
      </c>
      <c r="E921" s="15" t="inlineStr">
        <is>
          <t>FP - Full-time Salaried</t>
        </is>
      </c>
      <c r="F921" s="15" t="inlineStr">
        <is>
          <t>Diagnostics</t>
        </is>
      </c>
      <c r="G921" s="15" t="inlineStr">
        <is>
          <t>New South Wales</t>
        </is>
      </c>
      <c r="H921" s="17" t="inlineStr">
        <is>
          <t>76.00</t>
        </is>
      </c>
      <c r="I921" s="15" t="inlineStr">
        <is>
          <t>Virtus Health Specialist Diagnostics</t>
        </is>
      </c>
      <c r="J921" s="18" t="n">
        <v>46.23</v>
      </c>
      <c r="K921" s="17" t="inlineStr">
        <is>
          <t>46.23</t>
        </is>
      </c>
      <c r="L921" s="16" t="n">
        <v>45949</v>
      </c>
      <c r="M921" s="16" t="n">
        <v>45439</v>
      </c>
      <c r="N921" s="17" t="inlineStr"/>
      <c r="O921" s="17" t="inlineStr"/>
      <c r="P921" s="16" t="n"/>
    </row>
    <row r="922" ht="52.8" customHeight="1">
      <c r="A922" s="11" t="inlineStr">
        <is>
          <t>AU23221</t>
        </is>
      </c>
      <c r="B922" s="12" t="n">
        <v>45432</v>
      </c>
      <c r="C922" s="11" t="inlineStr">
        <is>
          <t>Financial Accountant</t>
        </is>
      </c>
      <c r="D922" s="11" t="inlineStr">
        <is>
          <t>Common Law Employment Contract</t>
        </is>
      </c>
      <c r="E922" s="11" t="inlineStr">
        <is>
          <t>CO - Contract</t>
        </is>
      </c>
      <c r="F922" s="11" t="inlineStr">
        <is>
          <t>IVFA</t>
        </is>
      </c>
      <c r="G922" s="11" t="inlineStr">
        <is>
          <t>New South Wales</t>
        </is>
      </c>
      <c r="H922" s="13" t="inlineStr">
        <is>
          <t>76.00</t>
        </is>
      </c>
      <c r="I922" s="11" t="inlineStr">
        <is>
          <t>IVF Australia Pty Ltd</t>
        </is>
      </c>
      <c r="J922" s="14" t="n">
        <v>46.49</v>
      </c>
      <c r="K922" s="13" t="inlineStr">
        <is>
          <t>46.49</t>
        </is>
      </c>
      <c r="L922" s="12" t="n">
        <v>45949</v>
      </c>
      <c r="M922" s="12" t="n">
        <v>45432</v>
      </c>
      <c r="N922" s="13" t="inlineStr"/>
      <c r="O922" s="13" t="inlineStr"/>
      <c r="P922" s="12" t="n"/>
    </row>
    <row r="923" ht="66" customHeight="1">
      <c r="A923" s="15" t="inlineStr">
        <is>
          <t>AU23226</t>
        </is>
      </c>
      <c r="B923" s="16" t="n">
        <v>45432</v>
      </c>
      <c r="C923" s="15" t="inlineStr">
        <is>
          <t>Chief Marketing &amp; Experience Officer</t>
        </is>
      </c>
      <c r="D923" s="15" t="inlineStr">
        <is>
          <t>Common Law Employment Contract</t>
        </is>
      </c>
      <c r="E923" s="15" t="inlineStr">
        <is>
          <t>FP - Full-time Salaried</t>
        </is>
      </c>
      <c r="F923" s="15" t="inlineStr">
        <is>
          <t>Corporate Services</t>
        </is>
      </c>
      <c r="G923" s="15" t="inlineStr">
        <is>
          <t>New South Wales</t>
        </is>
      </c>
      <c r="H923" s="17" t="inlineStr">
        <is>
          <t>76.00</t>
        </is>
      </c>
      <c r="I923" s="15" t="inlineStr">
        <is>
          <t>IVF Australia Pty Ltd</t>
        </is>
      </c>
      <c r="J923" s="18" t="n">
        <v>46.49</v>
      </c>
      <c r="K923" s="17" t="inlineStr">
        <is>
          <t>46.49</t>
        </is>
      </c>
      <c r="L923" s="16" t="n">
        <v>45949</v>
      </c>
      <c r="M923" s="16" t="n">
        <v>45432</v>
      </c>
      <c r="N923" s="17" t="inlineStr"/>
      <c r="O923" s="17" t="inlineStr"/>
      <c r="P923" s="16" t="n"/>
    </row>
    <row r="924" ht="52.8" customHeight="1">
      <c r="A924" s="11" t="n">
        <v>60043</v>
      </c>
      <c r="B924" s="12" t="n">
        <v>44060</v>
      </c>
      <c r="C924" s="11" t="inlineStr">
        <is>
          <t>Registered Nurse</t>
        </is>
      </c>
      <c r="D924" s="11" t="inlineStr">
        <is>
          <t>QLD Nurse EA</t>
        </is>
      </c>
      <c r="E924" s="11" t="inlineStr">
        <is>
          <t>CA - Casual</t>
        </is>
      </c>
      <c r="F924" s="11" t="inlineStr">
        <is>
          <t>Day Hospitals</t>
        </is>
      </c>
      <c r="G924" s="11" t="inlineStr">
        <is>
          <t>Queensland</t>
        </is>
      </c>
      <c r="H924" s="13" t="inlineStr"/>
      <c r="I924" s="11" t="inlineStr">
        <is>
          <t>MACKAY Specialist Day Hospital</t>
        </is>
      </c>
      <c r="J924" s="14" t="n">
        <v>46.83</v>
      </c>
      <c r="K924" s="13" t="inlineStr">
        <is>
          <t>46.83</t>
        </is>
      </c>
      <c r="L924" s="12" t="n">
        <v>45949</v>
      </c>
      <c r="M924" s="12" t="n">
        <v>44060</v>
      </c>
      <c r="N924" s="13" t="inlineStr"/>
      <c r="O924" s="13" t="inlineStr"/>
      <c r="P924" s="12" t="n"/>
    </row>
    <row r="925" ht="52.8" customHeight="1">
      <c r="A925" s="15" t="n">
        <v>60041</v>
      </c>
      <c r="B925" s="16" t="n">
        <v>43661</v>
      </c>
      <c r="C925" s="15" t="inlineStr">
        <is>
          <t>Registered Nurse</t>
        </is>
      </c>
      <c r="D925" s="15" t="inlineStr">
        <is>
          <t>QLD Nurse EA</t>
        </is>
      </c>
      <c r="E925" s="15" t="inlineStr">
        <is>
          <t>CA - Casual</t>
        </is>
      </c>
      <c r="F925" s="15" t="inlineStr">
        <is>
          <t>Day Hospitals</t>
        </is>
      </c>
      <c r="G925" s="15" t="inlineStr">
        <is>
          <t>Queensland</t>
        </is>
      </c>
      <c r="H925" s="17" t="inlineStr"/>
      <c r="I925" s="15" t="inlineStr">
        <is>
          <t>MACKAY Specialist Day Hospital</t>
        </is>
      </c>
      <c r="J925" s="18" t="n">
        <v>47.02</v>
      </c>
      <c r="K925" s="17" t="inlineStr">
        <is>
          <t>47.02</t>
        </is>
      </c>
      <c r="L925" s="16" t="n">
        <v>45949</v>
      </c>
      <c r="M925" s="16" t="n">
        <v>43661</v>
      </c>
      <c r="N925" s="17" t="inlineStr"/>
      <c r="O925" s="17" t="inlineStr"/>
      <c r="P925" s="16" t="n"/>
    </row>
    <row r="926" ht="66" customHeight="1">
      <c r="A926" s="11" t="n">
        <v>30171</v>
      </c>
      <c r="B926" s="12" t="n">
        <v>43514</v>
      </c>
      <c r="C926" s="11" t="inlineStr">
        <is>
          <t>Theatre Orderly</t>
        </is>
      </c>
      <c r="D926" s="11" t="inlineStr">
        <is>
          <t>NSW Support Services EA</t>
        </is>
      </c>
      <c r="E926" s="11" t="inlineStr">
        <is>
          <t>CA - Casual</t>
        </is>
      </c>
      <c r="F926" s="11" t="inlineStr">
        <is>
          <t>Day Hospitals</t>
        </is>
      </c>
      <c r="G926" s="11" t="inlineStr">
        <is>
          <t>New South Wales</t>
        </is>
      </c>
      <c r="H926" s="13" t="inlineStr"/>
      <c r="I926" s="11" t="inlineStr">
        <is>
          <t>North Shore Specialist Day Hospital Pty Ltd</t>
        </is>
      </c>
      <c r="J926" s="14" t="n">
        <v>47.17</v>
      </c>
      <c r="K926" s="13" t="inlineStr">
        <is>
          <t>47.17</t>
        </is>
      </c>
      <c r="L926" s="12" t="n">
        <v>45949</v>
      </c>
      <c r="M926" s="12" t="n">
        <v>43514</v>
      </c>
      <c r="N926" s="13" t="inlineStr"/>
      <c r="O926" s="13" t="inlineStr"/>
      <c r="P926" s="12" t="n"/>
    </row>
    <row r="927" ht="39.6" customHeight="1">
      <c r="A927" s="15" t="inlineStr">
        <is>
          <t>AU23058</t>
        </is>
      </c>
      <c r="B927" s="16" t="n">
        <v>45306</v>
      </c>
      <c r="C927" s="15" t="inlineStr">
        <is>
          <t>Nurse Coordinator</t>
        </is>
      </c>
      <c r="D927" s="15" t="inlineStr">
        <is>
          <t>NSW Nurse EA</t>
        </is>
      </c>
      <c r="E927" s="15" t="inlineStr">
        <is>
          <t>PP - Part-time Waged</t>
        </is>
      </c>
      <c r="F927" s="15" t="inlineStr">
        <is>
          <t>The Fertility Centre</t>
        </is>
      </c>
      <c r="G927" s="15" t="inlineStr">
        <is>
          <t>New South Wales</t>
        </is>
      </c>
      <c r="H927" s="17" t="inlineStr">
        <is>
          <t>59.50</t>
        </is>
      </c>
      <c r="I927" s="15" t="inlineStr">
        <is>
          <t>IVF Australia Pty Ltd</t>
        </is>
      </c>
      <c r="J927" s="18" t="n">
        <v>47.41</v>
      </c>
      <c r="K927" s="17" t="inlineStr">
        <is>
          <t>47.41</t>
        </is>
      </c>
      <c r="L927" s="16" t="n">
        <v>45949</v>
      </c>
      <c r="M927" s="16" t="n">
        <v>45306</v>
      </c>
      <c r="N927" s="17" t="inlineStr"/>
      <c r="O927" s="17" t="inlineStr"/>
      <c r="P927" s="16" t="n"/>
    </row>
    <row r="928" ht="39.6" customHeight="1">
      <c r="A928" s="11" t="inlineStr">
        <is>
          <t>AU23065</t>
        </is>
      </c>
      <c r="B928" s="12" t="n">
        <v>45306</v>
      </c>
      <c r="C928" s="11" t="inlineStr">
        <is>
          <t>Registered Nurse</t>
        </is>
      </c>
      <c r="D928" s="11" t="inlineStr">
        <is>
          <t>NSW Nurse EA</t>
        </is>
      </c>
      <c r="E928" s="11" t="inlineStr">
        <is>
          <t>PP - Part-time Waged</t>
        </is>
      </c>
      <c r="F928" s="11" t="inlineStr">
        <is>
          <t>Day Hospitals</t>
        </is>
      </c>
      <c r="G928" s="11" t="inlineStr">
        <is>
          <t>New South Wales</t>
        </is>
      </c>
      <c r="H928" s="13" t="inlineStr">
        <is>
          <t>24.00</t>
        </is>
      </c>
      <c r="I928" s="11" t="inlineStr">
        <is>
          <t>City West Day Surgery</t>
        </is>
      </c>
      <c r="J928" s="14" t="n">
        <v>47.45</v>
      </c>
      <c r="K928" s="13" t="inlineStr">
        <is>
          <t>47.45</t>
        </is>
      </c>
      <c r="L928" s="12" t="n">
        <v>45949</v>
      </c>
      <c r="M928" s="12" t="n">
        <v>45306</v>
      </c>
      <c r="N928" s="13" t="inlineStr"/>
      <c r="O928" s="13" t="inlineStr"/>
      <c r="P928" s="12" t="n"/>
    </row>
    <row r="929" ht="52.8" customHeight="1">
      <c r="A929" s="15" t="inlineStr">
        <is>
          <t>AU23206</t>
        </is>
      </c>
      <c r="B929" s="16" t="n">
        <v>45425</v>
      </c>
      <c r="C929" s="15" t="inlineStr">
        <is>
          <t>Marketing and Campaign Manager b</t>
        </is>
      </c>
      <c r="D929" s="15" t="inlineStr">
        <is>
          <t>Common Law Employment Contract</t>
        </is>
      </c>
      <c r="E929" s="15" t="inlineStr">
        <is>
          <t>FP - Full-time Salaried</t>
        </is>
      </c>
      <c r="F929" s="15" t="inlineStr">
        <is>
          <t>IVFA</t>
        </is>
      </c>
      <c r="G929" s="15" t="inlineStr">
        <is>
          <t>Victoria</t>
        </is>
      </c>
      <c r="H929" s="17" t="inlineStr">
        <is>
          <t>76.00</t>
        </is>
      </c>
      <c r="I929" s="15" t="inlineStr">
        <is>
          <t>IVF Australia Pty Ltd</t>
        </is>
      </c>
      <c r="J929" s="18" t="n">
        <v>47.5</v>
      </c>
      <c r="K929" s="17" t="inlineStr">
        <is>
          <t>47.50</t>
        </is>
      </c>
      <c r="L929" s="16" t="n">
        <v>45949</v>
      </c>
      <c r="M929" s="16" t="n">
        <v>45425</v>
      </c>
      <c r="N929" s="17" t="inlineStr"/>
      <c r="O929" s="17" t="inlineStr"/>
      <c r="P929" s="16" t="n"/>
    </row>
    <row r="930" ht="39.6" customHeight="1">
      <c r="A930" s="11" t="n">
        <v>20156</v>
      </c>
      <c r="B930" s="12" t="n">
        <v>37386</v>
      </c>
      <c r="C930" s="11" t="inlineStr">
        <is>
          <t>Registered Nurse</t>
        </is>
      </c>
      <c r="D930" s="11" t="inlineStr">
        <is>
          <t>NSW Nurse EA</t>
        </is>
      </c>
      <c r="E930" s="11" t="inlineStr">
        <is>
          <t>FT - Full-time Waged</t>
        </is>
      </c>
      <c r="F930" s="11" t="inlineStr">
        <is>
          <t>IVFA</t>
        </is>
      </c>
      <c r="G930" s="11" t="inlineStr">
        <is>
          <t>New South Wales</t>
        </is>
      </c>
      <c r="H930" s="13" t="inlineStr">
        <is>
          <t>76.00</t>
        </is>
      </c>
      <c r="I930" s="11" t="inlineStr">
        <is>
          <t>IVF Australia Pty Ltd</t>
        </is>
      </c>
      <c r="J930" s="14" t="n">
        <v>458.95</v>
      </c>
      <c r="K930" s="13" t="inlineStr">
        <is>
          <t>48.17</t>
        </is>
      </c>
      <c r="L930" s="12" t="n">
        <v>45949</v>
      </c>
      <c r="M930" s="12" t="n">
        <v>45422</v>
      </c>
      <c r="N930" s="13" t="inlineStr">
        <is>
          <t>410.78</t>
        </is>
      </c>
      <c r="O930" s="13" t="inlineStr"/>
      <c r="P930" s="12" t="n"/>
    </row>
    <row r="931" ht="52.8" customHeight="1">
      <c r="A931" s="15" t="inlineStr">
        <is>
          <t>AU23180</t>
        </is>
      </c>
      <c r="B931" s="16" t="n">
        <v>45411</v>
      </c>
      <c r="C931" s="15" t="inlineStr">
        <is>
          <t>Payroll Business Partner</t>
        </is>
      </c>
      <c r="D931" s="15" t="inlineStr">
        <is>
          <t>Common Law Employment Contract</t>
        </is>
      </c>
      <c r="E931" s="15" t="inlineStr">
        <is>
          <t>FP - Full-time Salaried</t>
        </is>
      </c>
      <c r="F931" s="15" t="inlineStr">
        <is>
          <t>Corporate Services</t>
        </is>
      </c>
      <c r="G931" s="15" t="inlineStr">
        <is>
          <t>New South Wales</t>
        </is>
      </c>
      <c r="H931" s="17" t="inlineStr">
        <is>
          <t>76.00</t>
        </is>
      </c>
      <c r="I931" s="15" t="inlineStr">
        <is>
          <t>IVF Australia Pty Ltd</t>
        </is>
      </c>
      <c r="J931" s="18" t="n">
        <v>48.77</v>
      </c>
      <c r="K931" s="17" t="inlineStr">
        <is>
          <t>48.77</t>
        </is>
      </c>
      <c r="L931" s="16" t="n">
        <v>45949</v>
      </c>
      <c r="M931" s="16" t="n">
        <v>45411</v>
      </c>
      <c r="N931" s="17" t="inlineStr"/>
      <c r="O931" s="17" t="inlineStr"/>
      <c r="P931" s="16" t="n"/>
    </row>
    <row r="932" ht="66" customHeight="1">
      <c r="A932" s="11" t="n">
        <v>50212</v>
      </c>
      <c r="B932" s="12" t="n">
        <v>44641</v>
      </c>
      <c r="C932" s="11" t="inlineStr">
        <is>
          <t>CSSD Tech</t>
        </is>
      </c>
      <c r="D932" s="11" t="inlineStr">
        <is>
          <t>NSW Support Services EA</t>
        </is>
      </c>
      <c r="E932" s="11" t="inlineStr">
        <is>
          <t>CA - Casual</t>
        </is>
      </c>
      <c r="F932" s="11" t="inlineStr">
        <is>
          <t>Day Hospitals</t>
        </is>
      </c>
      <c r="G932" s="11" t="inlineStr">
        <is>
          <t>New South Wales</t>
        </is>
      </c>
      <c r="H932" s="13" t="inlineStr"/>
      <c r="I932" s="11" t="inlineStr">
        <is>
          <t>Alexandria Specialist Day Hospital Pty Ltd</t>
        </is>
      </c>
      <c r="J932" s="14" t="n">
        <v>48.81</v>
      </c>
      <c r="K932" s="13" t="inlineStr">
        <is>
          <t>48.81</t>
        </is>
      </c>
      <c r="L932" s="12" t="n">
        <v>45949</v>
      </c>
      <c r="M932" s="12" t="n">
        <v>44641</v>
      </c>
      <c r="N932" s="13" t="inlineStr"/>
      <c r="O932" s="13" t="inlineStr"/>
      <c r="P932" s="12" t="n"/>
    </row>
    <row r="933" ht="39.6" customHeight="1">
      <c r="A933" s="15" t="inlineStr">
        <is>
          <t>AU23181</t>
        </is>
      </c>
      <c r="B933" s="16" t="n">
        <v>45411</v>
      </c>
      <c r="C933" s="15" t="inlineStr">
        <is>
          <t>Assistant in Nursing</t>
        </is>
      </c>
      <c r="D933" s="15" t="inlineStr">
        <is>
          <t>NSW Nurse EA</t>
        </is>
      </c>
      <c r="E933" s="15" t="inlineStr">
        <is>
          <t>FT - Full-time Waged</t>
        </is>
      </c>
      <c r="F933" s="15" t="inlineStr">
        <is>
          <t>IVFA</t>
        </is>
      </c>
      <c r="G933" s="15" t="inlineStr">
        <is>
          <t>New South Wales</t>
        </is>
      </c>
      <c r="H933" s="17" t="inlineStr">
        <is>
          <t>76.00</t>
        </is>
      </c>
      <c r="I933" s="15" t="inlineStr">
        <is>
          <t>IVF Australia Pty Ltd</t>
        </is>
      </c>
      <c r="J933" s="18" t="n">
        <v>48.93</v>
      </c>
      <c r="K933" s="17" t="inlineStr">
        <is>
          <t>48.93</t>
        </is>
      </c>
      <c r="L933" s="16" t="n">
        <v>45949</v>
      </c>
      <c r="M933" s="16" t="n">
        <v>45411</v>
      </c>
      <c r="N933" s="17" t="inlineStr"/>
      <c r="O933" s="17" t="inlineStr"/>
      <c r="P933" s="16" t="n"/>
    </row>
    <row r="934" ht="39.6" customHeight="1">
      <c r="A934" s="11" t="inlineStr">
        <is>
          <t>AU23134</t>
        </is>
      </c>
      <c r="B934" s="12" t="n">
        <v>45369</v>
      </c>
      <c r="C934" s="11" t="inlineStr">
        <is>
          <t>Registered Midwife</t>
        </is>
      </c>
      <c r="D934" s="11" t="inlineStr">
        <is>
          <t>NSW Nurse EA</t>
        </is>
      </c>
      <c r="E934" s="11" t="inlineStr">
        <is>
          <t>FT - Full-time Waged</t>
        </is>
      </c>
      <c r="F934" s="11" t="inlineStr">
        <is>
          <t>IVFA</t>
        </is>
      </c>
      <c r="G934" s="11" t="inlineStr">
        <is>
          <t>New South Wales</t>
        </is>
      </c>
      <c r="H934" s="13" t="inlineStr">
        <is>
          <t>76.00</t>
        </is>
      </c>
      <c r="I934" s="11" t="inlineStr">
        <is>
          <t>IVF Australia Pty Ltd</t>
        </is>
      </c>
      <c r="J934" s="14" t="n">
        <v>48.97</v>
      </c>
      <c r="K934" s="13" t="inlineStr">
        <is>
          <t>48.97</t>
        </is>
      </c>
      <c r="L934" s="12" t="n">
        <v>45949</v>
      </c>
      <c r="M934" s="12" t="n">
        <v>45369</v>
      </c>
      <c r="N934" s="13" t="inlineStr"/>
      <c r="O934" s="13" t="inlineStr"/>
      <c r="P934" s="12" t="n"/>
    </row>
    <row r="935" ht="79.2" customHeight="1">
      <c r="A935" s="15" t="inlineStr">
        <is>
          <t>AU22680</t>
        </is>
      </c>
      <c r="B935" s="16" t="n">
        <v>44942</v>
      </c>
      <c r="C935" s="15" t="inlineStr">
        <is>
          <t>Receptionist</t>
        </is>
      </c>
      <c r="D935" s="15" t="inlineStr">
        <is>
          <t>Health Professionals and Support Services Award</t>
        </is>
      </c>
      <c r="E935" s="15" t="inlineStr">
        <is>
          <t>CA - Casual</t>
        </is>
      </c>
      <c r="F935" s="15" t="inlineStr">
        <is>
          <t>Day Hospitals</t>
        </is>
      </c>
      <c r="G935" s="15" t="inlineStr">
        <is>
          <t>Queensland</t>
        </is>
      </c>
      <c r="H935" s="17" t="inlineStr"/>
      <c r="I935" s="15" t="inlineStr">
        <is>
          <t>MACKAY Specialist Day Hospital</t>
        </is>
      </c>
      <c r="J935" s="18" t="n">
        <v>49.37</v>
      </c>
      <c r="K935" s="17" t="inlineStr">
        <is>
          <t>49.37</t>
        </is>
      </c>
      <c r="L935" s="16" t="n">
        <v>45949</v>
      </c>
      <c r="M935" s="16" t="n">
        <v>44942</v>
      </c>
      <c r="N935" s="17" t="inlineStr"/>
      <c r="O935" s="17" t="inlineStr"/>
      <c r="P935" s="16" t="n"/>
    </row>
    <row r="936" ht="66" customHeight="1">
      <c r="A936" s="11" t="n">
        <v>50140</v>
      </c>
      <c r="B936" s="12" t="n">
        <v>43640</v>
      </c>
      <c r="C936" s="11" t="inlineStr">
        <is>
          <t>Registered Nurse</t>
        </is>
      </c>
      <c r="D936" s="11" t="inlineStr">
        <is>
          <t>NSW Nurse EA</t>
        </is>
      </c>
      <c r="E936" s="11" t="inlineStr">
        <is>
          <t>PP - Part-time Waged</t>
        </is>
      </c>
      <c r="F936" s="11" t="inlineStr">
        <is>
          <t>Day Hospitals</t>
        </is>
      </c>
      <c r="G936" s="11" t="inlineStr">
        <is>
          <t>New South Wales</t>
        </is>
      </c>
      <c r="H936" s="13" t="inlineStr">
        <is>
          <t>16.00</t>
        </is>
      </c>
      <c r="I936" s="11" t="inlineStr">
        <is>
          <t>Alexandria Specialist Day Hospital Pty Ltd</t>
        </is>
      </c>
      <c r="J936" s="14" t="n">
        <v>49.41</v>
      </c>
      <c r="K936" s="13" t="inlineStr">
        <is>
          <t>49.41</t>
        </is>
      </c>
      <c r="L936" s="12" t="n">
        <v>45949</v>
      </c>
      <c r="M936" s="12" t="n">
        <v>43640</v>
      </c>
      <c r="N936" s="13" t="inlineStr"/>
      <c r="O936" s="13" t="inlineStr"/>
      <c r="P936" s="12" t="n"/>
    </row>
    <row r="937" ht="79.2" customHeight="1">
      <c r="A937" s="15" t="n">
        <v>90023</v>
      </c>
      <c r="B937" s="16" t="n">
        <v>41443</v>
      </c>
      <c r="C937" s="15" t="inlineStr">
        <is>
          <t>Courier</t>
        </is>
      </c>
      <c r="D937" s="15" t="inlineStr">
        <is>
          <t>Health Professionals and Support Services Award</t>
        </is>
      </c>
      <c r="E937" s="15" t="inlineStr">
        <is>
          <t>CA - Casual</t>
        </is>
      </c>
      <c r="F937" s="15" t="inlineStr">
        <is>
          <t>Diagnostics</t>
        </is>
      </c>
      <c r="G937" s="15" t="inlineStr">
        <is>
          <t>New South Wales</t>
        </is>
      </c>
      <c r="H937" s="17" t="inlineStr"/>
      <c r="I937" s="15" t="inlineStr">
        <is>
          <t>Virtus Health Specialist Diagnostics</t>
        </is>
      </c>
      <c r="J937" s="18" t="n">
        <v>220.88</v>
      </c>
      <c r="K937" s="17" t="inlineStr">
        <is>
          <t>49.44</t>
        </is>
      </c>
      <c r="L937" s="16" t="n">
        <v>45949</v>
      </c>
      <c r="M937" s="16" t="n">
        <v>45095</v>
      </c>
      <c r="N937" s="17" t="inlineStr">
        <is>
          <t>216.44</t>
        </is>
      </c>
      <c r="O937" s="17" t="inlineStr">
        <is>
          <t>45.00</t>
        </is>
      </c>
      <c r="P937" s="16" t="n"/>
    </row>
    <row r="938" ht="26.4" customHeight="1">
      <c r="A938" s="11" t="n">
        <v>40050</v>
      </c>
      <c r="B938" s="12" t="n">
        <v>41332</v>
      </c>
      <c r="C938" s="11" t="inlineStr">
        <is>
          <t>Enrolled Nurse</t>
        </is>
      </c>
      <c r="D938" s="11" t="inlineStr">
        <is>
          <t>NSW Nurse EA</t>
        </is>
      </c>
      <c r="E938" s="11" t="inlineStr">
        <is>
          <t>CA - Casual</t>
        </is>
      </c>
      <c r="F938" s="11" t="inlineStr">
        <is>
          <t>Day Hospitals</t>
        </is>
      </c>
      <c r="G938" s="11" t="inlineStr">
        <is>
          <t>New South Wales</t>
        </is>
      </c>
      <c r="H938" s="13" t="inlineStr"/>
      <c r="I938" s="11" t="inlineStr">
        <is>
          <t>City West Day Surgery</t>
        </is>
      </c>
      <c r="J938" s="14" t="n">
        <v>172.47</v>
      </c>
      <c r="K938" s="13" t="inlineStr">
        <is>
          <t>49.72</t>
        </is>
      </c>
      <c r="L938" s="12" t="n">
        <v>45949</v>
      </c>
      <c r="M938" s="12" t="n">
        <v>44984</v>
      </c>
      <c r="N938" s="13" t="inlineStr">
        <is>
          <t>122.75</t>
        </is>
      </c>
      <c r="O938" s="13" t="inlineStr"/>
      <c r="P938" s="12" t="n"/>
    </row>
    <row r="939" ht="39.6" customHeight="1">
      <c r="A939" s="15" t="inlineStr">
        <is>
          <t>AU23140</t>
        </is>
      </c>
      <c r="B939" s="16" t="n">
        <v>45369</v>
      </c>
      <c r="C939" s="15" t="inlineStr">
        <is>
          <t>Registered Nurse</t>
        </is>
      </c>
      <c r="D939" s="15" t="inlineStr">
        <is>
          <t>NSW Nurse EA</t>
        </is>
      </c>
      <c r="E939" s="15" t="inlineStr">
        <is>
          <t>FT - Full-time Waged</t>
        </is>
      </c>
      <c r="F939" s="15" t="inlineStr">
        <is>
          <t>IVFA</t>
        </is>
      </c>
      <c r="G939" s="15" t="inlineStr">
        <is>
          <t>New South Wales</t>
        </is>
      </c>
      <c r="H939" s="17" t="inlineStr">
        <is>
          <t>76.00</t>
        </is>
      </c>
      <c r="I939" s="15" t="inlineStr">
        <is>
          <t>IVF Australia Pty Ltd</t>
        </is>
      </c>
      <c r="J939" s="18" t="n">
        <v>50</v>
      </c>
      <c r="K939" s="17" t="inlineStr">
        <is>
          <t>50.00</t>
        </is>
      </c>
      <c r="L939" s="16" t="n">
        <v>45949</v>
      </c>
      <c r="M939" s="16" t="n">
        <v>45369</v>
      </c>
      <c r="N939" s="17" t="inlineStr"/>
      <c r="O939" s="17" t="inlineStr"/>
      <c r="P939" s="16" t="n"/>
    </row>
    <row r="940" ht="66" customHeight="1">
      <c r="A940" s="11" t="inlineStr">
        <is>
          <t>AU22866</t>
        </is>
      </c>
      <c r="B940" s="12" t="n">
        <v>45035</v>
      </c>
      <c r="C940" s="11" t="inlineStr">
        <is>
          <t>Registered Nurse</t>
        </is>
      </c>
      <c r="D940" s="11" t="inlineStr">
        <is>
          <t>NSW Nurse EA</t>
        </is>
      </c>
      <c r="E940" s="11" t="inlineStr">
        <is>
          <t>FT - Full-time Waged</t>
        </is>
      </c>
      <c r="F940" s="11" t="inlineStr">
        <is>
          <t>Day Hospitals</t>
        </is>
      </c>
      <c r="G940" s="11" t="inlineStr">
        <is>
          <t>New South Wales</t>
        </is>
      </c>
      <c r="H940" s="13" t="inlineStr">
        <is>
          <t>76.00</t>
        </is>
      </c>
      <c r="I940" s="11" t="inlineStr">
        <is>
          <t>North Shore Specialist Day Hospital Pty Ltd</t>
        </is>
      </c>
      <c r="J940" s="14" t="n">
        <v>50.1</v>
      </c>
      <c r="K940" s="13" t="inlineStr">
        <is>
          <t>50.10</t>
        </is>
      </c>
      <c r="L940" s="12" t="n">
        <v>45893</v>
      </c>
      <c r="M940" s="12" t="n">
        <v>45035</v>
      </c>
      <c r="N940" s="13" t="inlineStr"/>
      <c r="O940" s="13" t="inlineStr"/>
      <c r="P940" s="12" t="n"/>
    </row>
    <row r="941" ht="79.2" customHeight="1">
      <c r="A941" s="15" t="inlineStr">
        <is>
          <t>AU23139</t>
        </is>
      </c>
      <c r="B941" s="16" t="n">
        <v>45384</v>
      </c>
      <c r="C941" s="15" t="inlineStr">
        <is>
          <t>Admin Team Leader</t>
        </is>
      </c>
      <c r="D941" s="15" t="inlineStr">
        <is>
          <t>Health Professionals and Support Services Award</t>
        </is>
      </c>
      <c r="E941" s="15" t="inlineStr">
        <is>
          <t>FT - Full-time Waged</t>
        </is>
      </c>
      <c r="F941" s="15" t="inlineStr">
        <is>
          <t>Queensland Fertility Group</t>
        </is>
      </c>
      <c r="G941" s="15" t="inlineStr">
        <is>
          <t>Queensland</t>
        </is>
      </c>
      <c r="H941" s="17" t="inlineStr">
        <is>
          <t>76.00</t>
        </is>
      </c>
      <c r="I941" s="15" t="inlineStr">
        <is>
          <t>Queensland Fertility Group Pty Ltd</t>
        </is>
      </c>
      <c r="J941" s="18" t="n">
        <v>50.17</v>
      </c>
      <c r="K941" s="17" t="inlineStr">
        <is>
          <t>50.17</t>
        </is>
      </c>
      <c r="L941" s="16" t="n">
        <v>45949</v>
      </c>
      <c r="M941" s="16" t="n">
        <v>45384</v>
      </c>
      <c r="N941" s="17" t="inlineStr"/>
      <c r="O941" s="17" t="inlineStr"/>
      <c r="P941" s="16" t="n"/>
    </row>
    <row r="942" ht="66" customHeight="1">
      <c r="A942" s="11" t="n">
        <v>30360</v>
      </c>
      <c r="B942" s="12" t="n">
        <v>44109</v>
      </c>
      <c r="C942" s="11" t="inlineStr">
        <is>
          <t>Registered Nurse</t>
        </is>
      </c>
      <c r="D942" s="11" t="inlineStr">
        <is>
          <t>NSW Nurse EA</t>
        </is>
      </c>
      <c r="E942" s="11" t="inlineStr">
        <is>
          <t>CA - Casual</t>
        </is>
      </c>
      <c r="F942" s="11" t="inlineStr">
        <is>
          <t>Day Hospitals</t>
        </is>
      </c>
      <c r="G942" s="11" t="inlineStr">
        <is>
          <t>New South Wales</t>
        </is>
      </c>
      <c r="H942" s="13" t="inlineStr"/>
      <c r="I942" s="11" t="inlineStr">
        <is>
          <t>North Shore Specialist Day Hospital Pty Ltd</t>
        </is>
      </c>
      <c r="J942" s="14" t="n">
        <v>50.51</v>
      </c>
      <c r="K942" s="13" t="inlineStr">
        <is>
          <t>50.51</t>
        </is>
      </c>
      <c r="L942" s="12" t="n">
        <v>45949</v>
      </c>
      <c r="M942" s="12" t="n">
        <v>44109</v>
      </c>
      <c r="N942" s="13" t="inlineStr"/>
      <c r="O942" s="13" t="inlineStr"/>
      <c r="P942" s="12" t="n"/>
    </row>
    <row r="943" ht="26.4" customHeight="1">
      <c r="A943" s="15" t="inlineStr">
        <is>
          <t>AU22713</t>
        </is>
      </c>
      <c r="B943" s="16" t="n">
        <v>44945</v>
      </c>
      <c r="C943" s="15" t="inlineStr">
        <is>
          <t>Registered Nurse</t>
        </is>
      </c>
      <c r="D943" s="15" t="inlineStr">
        <is>
          <t>NSW Nurse EA</t>
        </is>
      </c>
      <c r="E943" s="15" t="inlineStr">
        <is>
          <t>CA - Casual</t>
        </is>
      </c>
      <c r="F943" s="15" t="inlineStr">
        <is>
          <t>Day Hospitals</t>
        </is>
      </c>
      <c r="G943" s="15" t="inlineStr">
        <is>
          <t>New South Wales</t>
        </is>
      </c>
      <c r="H943" s="17" t="inlineStr"/>
      <c r="I943" s="15" t="inlineStr">
        <is>
          <t>City West Day Surgery</t>
        </is>
      </c>
      <c r="J943" s="18" t="n">
        <v>50.71</v>
      </c>
      <c r="K943" s="17" t="inlineStr">
        <is>
          <t>50.71</t>
        </is>
      </c>
      <c r="L943" s="16" t="n">
        <v>45949</v>
      </c>
      <c r="M943" s="16" t="n">
        <v>44945</v>
      </c>
      <c r="N943" s="17" t="inlineStr"/>
      <c r="O943" s="17" t="inlineStr"/>
      <c r="P943" s="16" t="n"/>
    </row>
    <row r="944" ht="39.6" customHeight="1">
      <c r="A944" s="11" t="inlineStr">
        <is>
          <t>AU23114</t>
        </is>
      </c>
      <c r="B944" s="12" t="n">
        <v>45355</v>
      </c>
      <c r="C944" s="11" t="inlineStr">
        <is>
          <t>Nures Coordinator</t>
        </is>
      </c>
      <c r="D944" s="11" t="inlineStr">
        <is>
          <t>NSW Nurse EA</t>
        </is>
      </c>
      <c r="E944" s="11" t="inlineStr">
        <is>
          <t>FT - Full-time Waged</t>
        </is>
      </c>
      <c r="F944" s="11" t="inlineStr">
        <is>
          <t>IVFA</t>
        </is>
      </c>
      <c r="G944" s="11" t="inlineStr">
        <is>
          <t>New South Wales</t>
        </is>
      </c>
      <c r="H944" s="13" t="inlineStr">
        <is>
          <t>76.00</t>
        </is>
      </c>
      <c r="I944" s="11" t="inlineStr">
        <is>
          <t>IVF Australia Pty Ltd</t>
        </is>
      </c>
      <c r="J944" s="14" t="n">
        <v>50.71</v>
      </c>
      <c r="K944" s="13" t="inlineStr">
        <is>
          <t>50.71</t>
        </is>
      </c>
      <c r="L944" s="12" t="n">
        <v>45949</v>
      </c>
      <c r="M944" s="12" t="n">
        <v>45355</v>
      </c>
      <c r="N944" s="13" t="inlineStr"/>
      <c r="O944" s="13" t="inlineStr"/>
      <c r="P944" s="12" t="n"/>
    </row>
    <row r="945" ht="52.8" customHeight="1">
      <c r="A945" s="15" t="inlineStr">
        <is>
          <t>AU23131</t>
        </is>
      </c>
      <c r="B945" s="16" t="n">
        <v>45384</v>
      </c>
      <c r="C945" s="15" t="inlineStr">
        <is>
          <t>Head of Finance-IVF Australia</t>
        </is>
      </c>
      <c r="D945" s="15" t="inlineStr">
        <is>
          <t>Common Law Employment Contract</t>
        </is>
      </c>
      <c r="E945" s="15" t="inlineStr">
        <is>
          <t>FP - Full-time Salaried</t>
        </is>
      </c>
      <c r="F945" s="15" t="inlineStr">
        <is>
          <t>IVFA</t>
        </is>
      </c>
      <c r="G945" s="15" t="inlineStr">
        <is>
          <t>New South Wales</t>
        </is>
      </c>
      <c r="H945" s="17" t="inlineStr">
        <is>
          <t>76.00</t>
        </is>
      </c>
      <c r="I945" s="15" t="inlineStr">
        <is>
          <t>IVF Australia Pty Ltd</t>
        </is>
      </c>
      <c r="J945" s="18" t="n">
        <v>50.79</v>
      </c>
      <c r="K945" s="17" t="inlineStr">
        <is>
          <t>50.79</t>
        </is>
      </c>
      <c r="L945" s="16" t="n">
        <v>45949</v>
      </c>
      <c r="M945" s="16" t="n">
        <v>45384</v>
      </c>
      <c r="N945" s="17" t="inlineStr"/>
      <c r="O945" s="17" t="inlineStr"/>
      <c r="P945" s="16" t="n"/>
    </row>
    <row r="946" ht="66" customHeight="1">
      <c r="A946" s="11" t="inlineStr">
        <is>
          <t>AU23217</t>
        </is>
      </c>
      <c r="B946" s="12" t="n">
        <v>45413</v>
      </c>
      <c r="C946" s="11" t="inlineStr">
        <is>
          <t>Registered Nurse</t>
        </is>
      </c>
      <c r="D946" s="11" t="inlineStr">
        <is>
          <t>NSW Nurse EA</t>
        </is>
      </c>
      <c r="E946" s="11" t="inlineStr">
        <is>
          <t>PP - Part-time Waged</t>
        </is>
      </c>
      <c r="F946" s="11" t="inlineStr">
        <is>
          <t>Day Hospitals</t>
        </is>
      </c>
      <c r="G946" s="11" t="inlineStr">
        <is>
          <t>New South Wales</t>
        </is>
      </c>
      <c r="H946" s="13" t="inlineStr">
        <is>
          <t>60.00</t>
        </is>
      </c>
      <c r="I946" s="11" t="inlineStr">
        <is>
          <t>Alexandria Specialist Day Hospital Pty Ltd</t>
        </is>
      </c>
      <c r="J946" s="14" t="n">
        <v>50.88</v>
      </c>
      <c r="K946" s="13" t="inlineStr">
        <is>
          <t>50.88</t>
        </is>
      </c>
      <c r="L946" s="12" t="n">
        <v>45949</v>
      </c>
      <c r="M946" s="12" t="n">
        <v>44805</v>
      </c>
      <c r="N946" s="13" t="inlineStr"/>
      <c r="O946" s="13" t="inlineStr"/>
      <c r="P946" s="12" t="n"/>
    </row>
    <row r="947" ht="39.6" customHeight="1">
      <c r="A947" s="15" t="inlineStr">
        <is>
          <t>AU23223</t>
        </is>
      </c>
      <c r="B947" s="16" t="n">
        <v>45432</v>
      </c>
      <c r="C947" s="15" t="inlineStr">
        <is>
          <t>Admin Officer</t>
        </is>
      </c>
      <c r="D947" s="15" t="inlineStr">
        <is>
          <t>NSW Support Services EA</t>
        </is>
      </c>
      <c r="E947" s="15" t="inlineStr">
        <is>
          <t>FT - Full-time Waged</t>
        </is>
      </c>
      <c r="F947" s="15" t="inlineStr">
        <is>
          <t>IVFA</t>
        </is>
      </c>
      <c r="G947" s="15" t="inlineStr">
        <is>
          <t>New South Wales</t>
        </is>
      </c>
      <c r="H947" s="17" t="inlineStr">
        <is>
          <t>76.00</t>
        </is>
      </c>
      <c r="I947" s="15" t="inlineStr">
        <is>
          <t>IVF Australia Pty Ltd</t>
        </is>
      </c>
      <c r="J947" s="18" t="n">
        <v>51.05</v>
      </c>
      <c r="K947" s="17" t="inlineStr">
        <is>
          <t>51.05</t>
        </is>
      </c>
      <c r="L947" s="16" t="n">
        <v>45949</v>
      </c>
      <c r="M947" s="16" t="n">
        <v>45271</v>
      </c>
      <c r="N947" s="17" t="inlineStr"/>
      <c r="O947" s="17" t="inlineStr"/>
      <c r="P947" s="16" t="n"/>
    </row>
    <row r="948" ht="52.8" customHeight="1">
      <c r="A948" s="11" t="inlineStr">
        <is>
          <t>AU23146</t>
        </is>
      </c>
      <c r="B948" s="12" t="n">
        <v>45384</v>
      </c>
      <c r="C948" s="11" t="inlineStr">
        <is>
          <t>Chief Digital Health Officer</t>
        </is>
      </c>
      <c r="D948" s="11" t="inlineStr">
        <is>
          <t>Common Law Employment Contract</t>
        </is>
      </c>
      <c r="E948" s="11" t="inlineStr">
        <is>
          <t>FP - Full-time Salaried</t>
        </is>
      </c>
      <c r="F948" s="11" t="inlineStr">
        <is>
          <t>Corporate Services</t>
        </is>
      </c>
      <c r="G948" s="11" t="inlineStr">
        <is>
          <t>Victoria</t>
        </is>
      </c>
      <c r="H948" s="13" t="inlineStr">
        <is>
          <t>76.00</t>
        </is>
      </c>
      <c r="I948" s="11" t="inlineStr">
        <is>
          <t>IVF Australia Pty Ltd</t>
        </is>
      </c>
      <c r="J948" s="14" t="n">
        <v>51.17</v>
      </c>
      <c r="K948" s="13" t="inlineStr">
        <is>
          <t>51.17</t>
        </is>
      </c>
      <c r="L948" s="12" t="n">
        <v>45949</v>
      </c>
      <c r="M948" s="12" t="n">
        <v>45384</v>
      </c>
      <c r="N948" s="13" t="inlineStr"/>
      <c r="O948" s="13" t="inlineStr"/>
      <c r="P948" s="12" t="n"/>
    </row>
    <row r="949" ht="39.6" customHeight="1">
      <c r="A949" s="15" t="inlineStr">
        <is>
          <t>AU22783</t>
        </is>
      </c>
      <c r="B949" s="16" t="n">
        <v>44994</v>
      </c>
      <c r="C949" s="15" t="inlineStr">
        <is>
          <t>Administration</t>
        </is>
      </c>
      <c r="D949" s="15" t="inlineStr">
        <is>
          <t>NSW Support Services EA</t>
        </is>
      </c>
      <c r="E949" s="15" t="inlineStr">
        <is>
          <t>PP - Part-time Waged</t>
        </is>
      </c>
      <c r="F949" s="15" t="inlineStr">
        <is>
          <t>IVFA</t>
        </is>
      </c>
      <c r="G949" s="15" t="inlineStr">
        <is>
          <t>New South Wales</t>
        </is>
      </c>
      <c r="H949" s="17" t="inlineStr">
        <is>
          <t>60.00</t>
        </is>
      </c>
      <c r="I949" s="15" t="inlineStr">
        <is>
          <t>IVF Australia Pty Ltd</t>
        </is>
      </c>
      <c r="J949" s="18" t="n">
        <v>51.52</v>
      </c>
      <c r="K949" s="17" t="inlineStr">
        <is>
          <t>51.52</t>
        </is>
      </c>
      <c r="L949" s="16" t="n">
        <v>45949</v>
      </c>
      <c r="M949" s="16" t="n">
        <v>44994</v>
      </c>
      <c r="N949" s="17" t="inlineStr"/>
      <c r="O949" s="17" t="inlineStr"/>
      <c r="P949" s="16" t="n"/>
    </row>
    <row r="950" ht="52.8" customHeight="1">
      <c r="A950" s="11" t="inlineStr">
        <is>
          <t>AU22801</t>
        </is>
      </c>
      <c r="B950" s="12" t="n">
        <v>45012</v>
      </c>
      <c r="C950" s="11" t="inlineStr">
        <is>
          <t>Embryologist</t>
        </is>
      </c>
      <c r="D950" s="11" t="inlineStr">
        <is>
          <t>QLD Scientists EA</t>
        </is>
      </c>
      <c r="E950" s="11" t="inlineStr">
        <is>
          <t>PP - Part-time Waged</t>
        </is>
      </c>
      <c r="F950" s="11" t="inlineStr">
        <is>
          <t>The Fertility Centre</t>
        </is>
      </c>
      <c r="G950" s="11" t="inlineStr">
        <is>
          <t>Queensland</t>
        </is>
      </c>
      <c r="H950" s="13" t="inlineStr">
        <is>
          <t>60.80</t>
        </is>
      </c>
      <c r="I950" s="11" t="inlineStr">
        <is>
          <t>Queensland Fertility Group Pty Ltd</t>
        </is>
      </c>
      <c r="J950" s="14" t="n">
        <v>51.56</v>
      </c>
      <c r="K950" s="13" t="inlineStr">
        <is>
          <t>51.56</t>
        </is>
      </c>
      <c r="L950" s="12" t="n">
        <v>45949</v>
      </c>
      <c r="M950" s="12" t="n">
        <v>45012</v>
      </c>
      <c r="N950" s="13" t="inlineStr"/>
      <c r="O950" s="13" t="inlineStr"/>
      <c r="P950" s="12" t="n"/>
    </row>
    <row r="951" ht="66" customHeight="1">
      <c r="A951" s="15" t="n">
        <v>30359</v>
      </c>
      <c r="B951" s="16" t="n">
        <v>44096</v>
      </c>
      <c r="C951" s="15" t="inlineStr">
        <is>
          <t>Registered Nurse</t>
        </is>
      </c>
      <c r="D951" s="15" t="inlineStr">
        <is>
          <t>NSW Nurse EA</t>
        </is>
      </c>
      <c r="E951" s="15" t="inlineStr">
        <is>
          <t>CA - Casual</t>
        </is>
      </c>
      <c r="F951" s="15" t="inlineStr">
        <is>
          <t>Day Hospitals</t>
        </is>
      </c>
      <c r="G951" s="15" t="inlineStr">
        <is>
          <t>New South Wales</t>
        </is>
      </c>
      <c r="H951" s="17" t="inlineStr"/>
      <c r="I951" s="15" t="inlineStr">
        <is>
          <t>North Shore Specialist Day Hospital Pty Ltd</t>
        </is>
      </c>
      <c r="J951" s="18" t="n">
        <v>51.66</v>
      </c>
      <c r="K951" s="17" t="inlineStr">
        <is>
          <t>51.66</t>
        </is>
      </c>
      <c r="L951" s="16" t="n">
        <v>45753</v>
      </c>
      <c r="M951" s="16" t="n">
        <v>44096</v>
      </c>
      <c r="N951" s="17" t="inlineStr"/>
      <c r="O951" s="17" t="inlineStr"/>
      <c r="P951" s="16" t="n"/>
    </row>
    <row r="952" ht="52.8" customHeight="1">
      <c r="A952" s="11" t="inlineStr">
        <is>
          <t>AU23094</t>
        </is>
      </c>
      <c r="B952" s="12" t="n">
        <v>45236</v>
      </c>
      <c r="C952" s="11" t="inlineStr">
        <is>
          <t xml:space="preserve">Business Development Manager </t>
        </is>
      </c>
      <c r="D952" s="11" t="inlineStr">
        <is>
          <t>Common Law Employment Contract</t>
        </is>
      </c>
      <c r="E952" s="11" t="inlineStr">
        <is>
          <t>PT - Part-time Salary</t>
        </is>
      </c>
      <c r="F952" s="11" t="inlineStr">
        <is>
          <t>IVFA</t>
        </is>
      </c>
      <c r="G952" s="11" t="inlineStr">
        <is>
          <t>New South Wales</t>
        </is>
      </c>
      <c r="H952" s="13" t="inlineStr">
        <is>
          <t>60.80</t>
        </is>
      </c>
      <c r="I952" s="11" t="inlineStr">
        <is>
          <t>IVF Australia Pty Ltd</t>
        </is>
      </c>
      <c r="J952" s="14" t="n">
        <v>51.68</v>
      </c>
      <c r="K952" s="13" t="inlineStr">
        <is>
          <t>51.68</t>
        </is>
      </c>
      <c r="L952" s="12" t="n">
        <v>45949</v>
      </c>
      <c r="M952" s="12" t="n">
        <v>45236</v>
      </c>
      <c r="N952" s="13" t="inlineStr"/>
      <c r="O952" s="13" t="inlineStr"/>
      <c r="P952" s="12" t="n"/>
    </row>
    <row r="953" ht="39.6" customHeight="1">
      <c r="A953" s="15" t="inlineStr">
        <is>
          <t>AU23029</t>
        </is>
      </c>
      <c r="B953" s="16" t="n">
        <v>45257</v>
      </c>
      <c r="C953" s="15" t="inlineStr">
        <is>
          <t xml:space="preserve"> Embryologist</t>
        </is>
      </c>
      <c r="D953" s="15" t="inlineStr">
        <is>
          <t>IVFA Scientists EA</t>
        </is>
      </c>
      <c r="E953" s="15" t="inlineStr">
        <is>
          <t>FT - Full-time Waged</t>
        </is>
      </c>
      <c r="F953" s="15" t="inlineStr">
        <is>
          <t>IVFA</t>
        </is>
      </c>
      <c r="G953" s="15" t="inlineStr">
        <is>
          <t>New South Wales</t>
        </is>
      </c>
      <c r="H953" s="17" t="inlineStr">
        <is>
          <t>76.00</t>
        </is>
      </c>
      <c r="I953" s="15" t="inlineStr">
        <is>
          <t>IVF Australia Pty Ltd</t>
        </is>
      </c>
      <c r="J953" s="18" t="n">
        <v>51.83</v>
      </c>
      <c r="K953" s="17" t="inlineStr">
        <is>
          <t>51.83</t>
        </is>
      </c>
      <c r="L953" s="16" t="n">
        <v>45949</v>
      </c>
      <c r="M953" s="16" t="n">
        <v>45257</v>
      </c>
      <c r="N953" s="17" t="inlineStr"/>
      <c r="O953" s="17" t="inlineStr"/>
      <c r="P953" s="16" t="n"/>
    </row>
    <row r="954" ht="39.6" customHeight="1">
      <c r="A954" s="11" t="inlineStr">
        <is>
          <t>AU23208</t>
        </is>
      </c>
      <c r="B954" s="12" t="n">
        <v>45411</v>
      </c>
      <c r="C954" s="11" t="inlineStr">
        <is>
          <t>Registered Nurse</t>
        </is>
      </c>
      <c r="D954" s="11" t="inlineStr">
        <is>
          <t>NSW Nurse EA</t>
        </is>
      </c>
      <c r="E954" s="11" t="inlineStr">
        <is>
          <t>CA - Casual</t>
        </is>
      </c>
      <c r="F954" s="11" t="inlineStr">
        <is>
          <t>IVFA</t>
        </is>
      </c>
      <c r="G954" s="11" t="inlineStr">
        <is>
          <t>Australian Capital Territory</t>
        </is>
      </c>
      <c r="H954" s="13" t="inlineStr"/>
      <c r="I954" s="11" t="inlineStr">
        <is>
          <t>IVF Australia Pty Ltd</t>
        </is>
      </c>
      <c r="J954" s="14" t="n">
        <v>51.92</v>
      </c>
      <c r="K954" s="13" t="inlineStr">
        <is>
          <t>51.92</t>
        </is>
      </c>
      <c r="L954" s="12" t="n">
        <v>45935</v>
      </c>
      <c r="M954" s="12" t="n">
        <v>44732</v>
      </c>
      <c r="N954" s="13" t="inlineStr"/>
      <c r="O954" s="13" t="inlineStr"/>
      <c r="P954" s="12" t="n"/>
    </row>
    <row r="955" ht="39.6" customHeight="1">
      <c r="A955" s="15" t="n">
        <v>40007</v>
      </c>
      <c r="B955" s="16" t="n">
        <v>39063</v>
      </c>
      <c r="C955" s="15" t="inlineStr">
        <is>
          <t>Registered Nurse</t>
        </is>
      </c>
      <c r="D955" s="15" t="inlineStr">
        <is>
          <t>NSW Nurse EA</t>
        </is>
      </c>
      <c r="E955" s="15" t="inlineStr">
        <is>
          <t>PP - Part-time Waged</t>
        </is>
      </c>
      <c r="F955" s="15" t="inlineStr">
        <is>
          <t>Day Hospitals</t>
        </is>
      </c>
      <c r="G955" s="15" t="inlineStr">
        <is>
          <t>New South Wales</t>
        </is>
      </c>
      <c r="H955" s="17" t="inlineStr">
        <is>
          <t>40.00</t>
        </is>
      </c>
      <c r="I955" s="15" t="inlineStr">
        <is>
          <t>City West Day Surgery</t>
        </is>
      </c>
      <c r="J955" s="18" t="n">
        <v>33.09</v>
      </c>
      <c r="K955" s="17" t="inlineStr">
        <is>
          <t>51.94</t>
        </is>
      </c>
      <c r="L955" s="16" t="n">
        <v>45949</v>
      </c>
      <c r="M955" s="16" t="n">
        <v>44907</v>
      </c>
      <c r="N955" s="17" t="inlineStr">
        <is>
          <t>38.65</t>
        </is>
      </c>
      <c r="O955" s="17" t="inlineStr">
        <is>
          <t>57.50</t>
        </is>
      </c>
      <c r="P955" s="16" t="n"/>
    </row>
    <row r="956" ht="52.8" customHeight="1">
      <c r="A956" s="11" t="inlineStr">
        <is>
          <t>AU23104</t>
        </is>
      </c>
      <c r="B956" s="12" t="n">
        <v>45362</v>
      </c>
      <c r="C956" s="11" t="inlineStr">
        <is>
          <t>Head of Procurement</t>
        </is>
      </c>
      <c r="D956" s="11" t="inlineStr">
        <is>
          <t>Common Law Employment Contract</t>
        </is>
      </c>
      <c r="E956" s="11" t="inlineStr">
        <is>
          <t>FP - Full-time Salaried</t>
        </is>
      </c>
      <c r="F956" s="11" t="inlineStr">
        <is>
          <t>Corporate Services</t>
        </is>
      </c>
      <c r="G956" s="11" t="inlineStr">
        <is>
          <t>New South Wales</t>
        </is>
      </c>
      <c r="H956" s="13" t="inlineStr">
        <is>
          <t>76.00</t>
        </is>
      </c>
      <c r="I956" s="11" t="inlineStr">
        <is>
          <t>IVF Australia Pty Ltd</t>
        </is>
      </c>
      <c r="J956" s="14" t="n">
        <v>52.69</v>
      </c>
      <c r="K956" s="13" t="inlineStr">
        <is>
          <t>52.69</t>
        </is>
      </c>
      <c r="L956" s="12" t="n">
        <v>45949</v>
      </c>
      <c r="M956" s="12" t="n">
        <v>45362</v>
      </c>
      <c r="N956" s="13" t="inlineStr"/>
      <c r="O956" s="13" t="inlineStr"/>
      <c r="P956" s="12" t="n"/>
    </row>
    <row r="957" ht="52.8" customHeight="1">
      <c r="A957" s="15" t="inlineStr">
        <is>
          <t>AU23281</t>
        </is>
      </c>
      <c r="B957" s="16" t="n">
        <v>45484</v>
      </c>
      <c r="C957" s="15" t="inlineStr">
        <is>
          <t>Patient Experience Specialist</t>
        </is>
      </c>
      <c r="D957" s="15" t="inlineStr">
        <is>
          <t>Common Law Employment Contract</t>
        </is>
      </c>
      <c r="E957" s="15" t="inlineStr">
        <is>
          <t>PT - Part-time Salary</t>
        </is>
      </c>
      <c r="F957" s="15" t="inlineStr">
        <is>
          <t>Corporate Services</t>
        </is>
      </c>
      <c r="G957" s="15" t="inlineStr">
        <is>
          <t>Queensland</t>
        </is>
      </c>
      <c r="H957" s="17" t="inlineStr">
        <is>
          <t>60.80</t>
        </is>
      </c>
      <c r="I957" s="15" t="inlineStr">
        <is>
          <t>IVF Australia Pty Ltd</t>
        </is>
      </c>
      <c r="J957" s="18" t="n">
        <v>53.16</v>
      </c>
      <c r="K957" s="17" t="inlineStr">
        <is>
          <t>53.16</t>
        </is>
      </c>
      <c r="L957" s="16" t="n">
        <v>45949</v>
      </c>
      <c r="M957" s="16" t="n">
        <v>45222</v>
      </c>
      <c r="N957" s="17" t="inlineStr"/>
      <c r="O957" s="17" t="inlineStr"/>
      <c r="P957" s="16" t="n"/>
    </row>
    <row r="958" ht="39.6" customHeight="1">
      <c r="A958" s="11" t="n">
        <v>20327</v>
      </c>
      <c r="B958" s="12" t="n">
        <v>41289</v>
      </c>
      <c r="C958" s="11" t="inlineStr">
        <is>
          <t>Medical Secretary</t>
        </is>
      </c>
      <c r="D958" s="11" t="inlineStr">
        <is>
          <t>NSW Support Services EA</t>
        </is>
      </c>
      <c r="E958" s="11" t="inlineStr">
        <is>
          <t>PP - Part-time Waged</t>
        </is>
      </c>
      <c r="F958" s="11" t="inlineStr">
        <is>
          <t>IVFA</t>
        </is>
      </c>
      <c r="G958" s="11" t="inlineStr">
        <is>
          <t>New South Wales</t>
        </is>
      </c>
      <c r="H958" s="13" t="inlineStr">
        <is>
          <t>38.00</t>
        </is>
      </c>
      <c r="I958" s="11" t="inlineStr">
        <is>
          <t>IVF Australia Pty Ltd</t>
        </is>
      </c>
      <c r="J958" s="14" t="n">
        <v>257.22</v>
      </c>
      <c r="K958" s="13" t="inlineStr">
        <is>
          <t>53.48</t>
        </is>
      </c>
      <c r="L958" s="12" t="n">
        <v>45949</v>
      </c>
      <c r="M958" s="12" t="n">
        <v>44941</v>
      </c>
      <c r="N958" s="13" t="inlineStr">
        <is>
          <t>298.74</t>
        </is>
      </c>
      <c r="O958" s="13" t="inlineStr">
        <is>
          <t>95.00</t>
        </is>
      </c>
      <c r="P958" s="12" t="n"/>
    </row>
    <row r="959" ht="66" customHeight="1">
      <c r="A959" s="15" t="inlineStr">
        <is>
          <t>AU22902</t>
        </is>
      </c>
      <c r="B959" s="16" t="n">
        <v>45110</v>
      </c>
      <c r="C959" s="15" t="inlineStr">
        <is>
          <t>Enrolled Nurse</t>
        </is>
      </c>
      <c r="D959" s="15" t="inlineStr">
        <is>
          <t>NSW Nurse EA</t>
        </is>
      </c>
      <c r="E959" s="15" t="inlineStr">
        <is>
          <t>CA - Casual</t>
        </is>
      </c>
      <c r="F959" s="15" t="inlineStr">
        <is>
          <t>Day Hospitals</t>
        </is>
      </c>
      <c r="G959" s="15" t="inlineStr">
        <is>
          <t>New South Wales</t>
        </is>
      </c>
      <c r="H959" s="17" t="inlineStr"/>
      <c r="I959" s="15" t="inlineStr">
        <is>
          <t>Alexandria Specialist Day Hospital Pty Ltd</t>
        </is>
      </c>
      <c r="J959" s="18" t="n">
        <v>53.92</v>
      </c>
      <c r="K959" s="17" t="inlineStr">
        <is>
          <t>53.92</t>
        </is>
      </c>
      <c r="L959" s="16" t="n">
        <v>45949</v>
      </c>
      <c r="M959" s="16" t="n">
        <v>45110</v>
      </c>
      <c r="N959" s="17" t="inlineStr"/>
      <c r="O959" s="17" t="inlineStr"/>
      <c r="P959" s="16" t="n"/>
    </row>
    <row r="960" ht="39.6" customHeight="1">
      <c r="A960" s="11" t="n">
        <v>20075</v>
      </c>
      <c r="B960" s="12" t="n">
        <v>39219</v>
      </c>
      <c r="C960" s="11" t="inlineStr">
        <is>
          <t>Administration</t>
        </is>
      </c>
      <c r="D960" s="11" t="inlineStr">
        <is>
          <t>NSW Support Services EA</t>
        </is>
      </c>
      <c r="E960" s="11" t="inlineStr">
        <is>
          <t>PP - Part-time Waged</t>
        </is>
      </c>
      <c r="F960" s="11" t="inlineStr">
        <is>
          <t>IVFA</t>
        </is>
      </c>
      <c r="G960" s="11" t="inlineStr">
        <is>
          <t>New South Wales</t>
        </is>
      </c>
      <c r="H960" s="13" t="inlineStr">
        <is>
          <t>46.00</t>
        </is>
      </c>
      <c r="I960" s="11" t="inlineStr">
        <is>
          <t>IVF Australia Pty Ltd</t>
        </is>
      </c>
      <c r="J960" s="14" t="n">
        <v>423.04</v>
      </c>
      <c r="K960" s="13" t="inlineStr">
        <is>
          <t>54.10</t>
        </is>
      </c>
      <c r="L960" s="12" t="n">
        <v>45949</v>
      </c>
      <c r="M960" s="12" t="n">
        <v>45063</v>
      </c>
      <c r="N960" s="13" t="inlineStr">
        <is>
          <t>368.94</t>
        </is>
      </c>
      <c r="O960" s="13" t="inlineStr"/>
      <c r="P960" s="12" t="n"/>
    </row>
    <row r="961" ht="39.6" customHeight="1">
      <c r="A961" s="15" t="inlineStr">
        <is>
          <t>AU22797</t>
        </is>
      </c>
      <c r="B961" s="16" t="n">
        <v>45008</v>
      </c>
      <c r="C961" s="15" t="inlineStr">
        <is>
          <t>New Patient Care Consultant</t>
        </is>
      </c>
      <c r="D961" s="15" t="inlineStr">
        <is>
          <t>NSW Support Services EA</t>
        </is>
      </c>
      <c r="E961" s="15" t="inlineStr">
        <is>
          <t>PP - Part-time Waged</t>
        </is>
      </c>
      <c r="F961" s="15" t="inlineStr">
        <is>
          <t>IVFA</t>
        </is>
      </c>
      <c r="G961" s="15" t="inlineStr">
        <is>
          <t>New South Wales</t>
        </is>
      </c>
      <c r="H961" s="17" t="inlineStr">
        <is>
          <t>50.00</t>
        </is>
      </c>
      <c r="I961" s="15" t="inlineStr">
        <is>
          <t>IVF Australia Pty Ltd</t>
        </is>
      </c>
      <c r="J961" s="18" t="n">
        <v>54.11</v>
      </c>
      <c r="K961" s="17" t="inlineStr">
        <is>
          <t>54.11</t>
        </is>
      </c>
      <c r="L961" s="16" t="n">
        <v>45949</v>
      </c>
      <c r="M961" s="16" t="n">
        <v>45008</v>
      </c>
      <c r="N961" s="17" t="inlineStr"/>
      <c r="O961" s="17" t="inlineStr"/>
      <c r="P961" s="16" t="n"/>
    </row>
    <row r="962" ht="66" customHeight="1">
      <c r="A962" s="11" t="inlineStr">
        <is>
          <t>AU22490</t>
        </is>
      </c>
      <c r="B962" s="12" t="n">
        <v>44774</v>
      </c>
      <c r="C962" s="11" t="inlineStr">
        <is>
          <t>Administration Clerk</t>
        </is>
      </c>
      <c r="D962" s="11" t="inlineStr">
        <is>
          <t>NSW Support Services EA</t>
        </is>
      </c>
      <c r="E962" s="11" t="inlineStr">
        <is>
          <t>CA - Casual</t>
        </is>
      </c>
      <c r="F962" s="11" t="inlineStr">
        <is>
          <t>Day Hospitals</t>
        </is>
      </c>
      <c r="G962" s="11" t="inlineStr">
        <is>
          <t>New South Wales</t>
        </is>
      </c>
      <c r="H962" s="13" t="inlineStr"/>
      <c r="I962" s="11" t="inlineStr">
        <is>
          <t>Alexandria Specialist Day Hospital Pty Ltd</t>
        </is>
      </c>
      <c r="J962" s="14" t="n">
        <v>54.33</v>
      </c>
      <c r="K962" s="13" t="inlineStr">
        <is>
          <t>54.33</t>
        </is>
      </c>
      <c r="L962" s="12" t="n">
        <v>45949</v>
      </c>
      <c r="M962" s="12" t="n">
        <v>44774</v>
      </c>
      <c r="N962" s="13" t="inlineStr"/>
      <c r="O962" s="13" t="inlineStr"/>
      <c r="P962" s="12" t="n"/>
    </row>
    <row r="963" ht="52.8" customHeight="1">
      <c r="A963" s="15" t="inlineStr">
        <is>
          <t>AU23089</t>
        </is>
      </c>
      <c r="B963" s="16" t="n">
        <v>45349</v>
      </c>
      <c r="C963" s="15" t="inlineStr">
        <is>
          <t xml:space="preserve">HR Systems Administrator </t>
        </is>
      </c>
      <c r="D963" s="15" t="inlineStr">
        <is>
          <t>Common Law Employment Contract</t>
        </is>
      </c>
      <c r="E963" s="15" t="inlineStr">
        <is>
          <t>FP - Full-time Salaried</t>
        </is>
      </c>
      <c r="F963" s="15" t="inlineStr">
        <is>
          <t>Corporate Services</t>
        </is>
      </c>
      <c r="G963" s="15" t="inlineStr">
        <is>
          <t>New South Wales</t>
        </is>
      </c>
      <c r="H963" s="17" t="inlineStr">
        <is>
          <t>76.00</t>
        </is>
      </c>
      <c r="I963" s="15" t="inlineStr">
        <is>
          <t>IVF Australia Pty Ltd</t>
        </is>
      </c>
      <c r="J963" s="18" t="n">
        <v>54.34</v>
      </c>
      <c r="K963" s="17" t="inlineStr">
        <is>
          <t>54.34</t>
        </is>
      </c>
      <c r="L963" s="16" t="n">
        <v>45949</v>
      </c>
      <c r="M963" s="16" t="n">
        <v>45349</v>
      </c>
      <c r="N963" s="17" t="inlineStr"/>
      <c r="O963" s="17" t="inlineStr"/>
      <c r="P963" s="16" t="n"/>
    </row>
    <row r="964" ht="79.2" customHeight="1">
      <c r="A964" s="11" t="n">
        <v>60182</v>
      </c>
      <c r="B964" s="12" t="n">
        <v>41645</v>
      </c>
      <c r="C964" s="11" t="inlineStr">
        <is>
          <t>CSSD Tech</t>
        </is>
      </c>
      <c r="D964" s="11" t="inlineStr">
        <is>
          <t>Health Professionals and Support Services Award</t>
        </is>
      </c>
      <c r="E964" s="11" t="inlineStr">
        <is>
          <t>PP - Part-time Waged</t>
        </is>
      </c>
      <c r="F964" s="11" t="inlineStr">
        <is>
          <t>Day Hospitals</t>
        </is>
      </c>
      <c r="G964" s="11" t="inlineStr">
        <is>
          <t>Queensland</t>
        </is>
      </c>
      <c r="H964" s="13" t="inlineStr">
        <is>
          <t>32.00</t>
        </is>
      </c>
      <c r="I964" s="11" t="inlineStr">
        <is>
          <t>Spring Hill Specialist Day Hospital</t>
        </is>
      </c>
      <c r="J964" s="14" t="n">
        <v>211.01</v>
      </c>
      <c r="K964" s="13" t="inlineStr">
        <is>
          <t>54.61</t>
        </is>
      </c>
      <c r="L964" s="12" t="n">
        <v>45949</v>
      </c>
      <c r="M964" s="12" t="n">
        <v>45297</v>
      </c>
      <c r="N964" s="13" t="inlineStr">
        <is>
          <t>317.60</t>
        </is>
      </c>
      <c r="O964" s="13" t="inlineStr">
        <is>
          <t>161.20</t>
        </is>
      </c>
      <c r="P964" s="12" t="n"/>
    </row>
    <row r="965" ht="66" customHeight="1">
      <c r="A965" s="15" t="inlineStr">
        <is>
          <t>AU22910</t>
        </is>
      </c>
      <c r="B965" s="16" t="n">
        <v>45110</v>
      </c>
      <c r="C965" s="15" t="inlineStr">
        <is>
          <t>Registered Nurse</t>
        </is>
      </c>
      <c r="D965" s="15" t="inlineStr">
        <is>
          <t>NSW Nurse EA</t>
        </is>
      </c>
      <c r="E965" s="15" t="inlineStr">
        <is>
          <t>PP - Part-time Waged</t>
        </is>
      </c>
      <c r="F965" s="15" t="inlineStr">
        <is>
          <t>Day Hospitals</t>
        </is>
      </c>
      <c r="G965" s="15" t="inlineStr">
        <is>
          <t>New South Wales</t>
        </is>
      </c>
      <c r="H965" s="17" t="inlineStr">
        <is>
          <t>66.20</t>
        </is>
      </c>
      <c r="I965" s="15" t="inlineStr">
        <is>
          <t>Alexandria Specialist Day Hospital Pty Ltd</t>
        </is>
      </c>
      <c r="J965" s="18" t="n">
        <v>54.71</v>
      </c>
      <c r="K965" s="17" t="inlineStr">
        <is>
          <t>54.71</t>
        </is>
      </c>
      <c r="L965" s="16" t="n">
        <v>45949</v>
      </c>
      <c r="M965" s="16" t="n">
        <v>44970</v>
      </c>
      <c r="N965" s="17" t="inlineStr"/>
      <c r="O965" s="17" t="inlineStr"/>
      <c r="P965" s="16" t="n"/>
    </row>
    <row r="966" ht="39.6" customHeight="1">
      <c r="A966" s="11" t="inlineStr">
        <is>
          <t>AU23027</t>
        </is>
      </c>
      <c r="B966" s="12" t="n">
        <v>45314</v>
      </c>
      <c r="C966" s="11" t="inlineStr">
        <is>
          <t xml:space="preserve"> Embryologist</t>
        </is>
      </c>
      <c r="D966" s="11" t="inlineStr">
        <is>
          <t>IVFA Scientists EA</t>
        </is>
      </c>
      <c r="E966" s="11" t="inlineStr">
        <is>
          <t>FT - Full-time Waged</t>
        </is>
      </c>
      <c r="F966" s="11" t="inlineStr">
        <is>
          <t>IVFA</t>
        </is>
      </c>
      <c r="G966" s="11" t="inlineStr">
        <is>
          <t>New South Wales</t>
        </is>
      </c>
      <c r="H966" s="13" t="inlineStr">
        <is>
          <t>76.00</t>
        </is>
      </c>
      <c r="I966" s="11" t="inlineStr">
        <is>
          <t>IVF Australia Pty Ltd</t>
        </is>
      </c>
      <c r="J966" s="14" t="n">
        <v>54.89</v>
      </c>
      <c r="K966" s="13" t="inlineStr">
        <is>
          <t>54.89</t>
        </is>
      </c>
      <c r="L966" s="12" t="n">
        <v>45949</v>
      </c>
      <c r="M966" s="12" t="n">
        <v>45314</v>
      </c>
      <c r="N966" s="13" t="inlineStr"/>
      <c r="O966" s="13" t="inlineStr"/>
      <c r="P966" s="12" t="n"/>
    </row>
    <row r="967" ht="39.6" customHeight="1">
      <c r="A967" s="15" t="n">
        <v>20021</v>
      </c>
      <c r="B967" s="16" t="n">
        <v>39530</v>
      </c>
      <c r="C967" s="15" t="inlineStr">
        <is>
          <t>Laboratory Supervisor</t>
        </is>
      </c>
      <c r="D967" s="15" t="inlineStr">
        <is>
          <t>Lab Supervisors Pay Policy</t>
        </is>
      </c>
      <c r="E967" s="15" t="inlineStr">
        <is>
          <t>FT - Full-time Waged</t>
        </is>
      </c>
      <c r="F967" s="15" t="inlineStr">
        <is>
          <t>IVFA</t>
        </is>
      </c>
      <c r="G967" s="15" t="inlineStr">
        <is>
          <t>New South Wales</t>
        </is>
      </c>
      <c r="H967" s="17" t="inlineStr">
        <is>
          <t>76.00</t>
        </is>
      </c>
      <c r="I967" s="15" t="inlineStr">
        <is>
          <t>IVF Australia Pty Ltd</t>
        </is>
      </c>
      <c r="J967" s="18" t="n">
        <v>348.14</v>
      </c>
      <c r="K967" s="17" t="inlineStr">
        <is>
          <t>55.10</t>
        </is>
      </c>
      <c r="L967" s="16" t="n">
        <v>45949</v>
      </c>
      <c r="M967" s="16" t="n">
        <v>45374</v>
      </c>
      <c r="N967" s="17" t="inlineStr">
        <is>
          <t>293.04</t>
        </is>
      </c>
      <c r="O967" s="17" t="inlineStr"/>
      <c r="P967" s="16" t="n"/>
    </row>
    <row r="968" ht="39.6" customHeight="1">
      <c r="A968" s="11" t="inlineStr">
        <is>
          <t>AU23085</t>
        </is>
      </c>
      <c r="B968" s="12" t="n">
        <v>45341</v>
      </c>
      <c r="C968" s="11" t="inlineStr">
        <is>
          <t>Pracrtice Manager</t>
        </is>
      </c>
      <c r="D968" s="11" t="inlineStr">
        <is>
          <t>NSW Support Services EA</t>
        </is>
      </c>
      <c r="E968" s="11" t="inlineStr">
        <is>
          <t>FT - Full-time Waged</t>
        </is>
      </c>
      <c r="F968" s="11" t="inlineStr">
        <is>
          <t>IVFA</t>
        </is>
      </c>
      <c r="G968" s="11" t="inlineStr">
        <is>
          <t>New South Wales</t>
        </is>
      </c>
      <c r="H968" s="13" t="inlineStr">
        <is>
          <t>76.00</t>
        </is>
      </c>
      <c r="I968" s="11" t="inlineStr">
        <is>
          <t>IVF Australia Pty Ltd</t>
        </is>
      </c>
      <c r="J968" s="14" t="n">
        <v>55.14</v>
      </c>
      <c r="K968" s="13" t="inlineStr">
        <is>
          <t>55.14</t>
        </is>
      </c>
      <c r="L968" s="12" t="n">
        <v>45949</v>
      </c>
      <c r="M968" s="12" t="n">
        <v>45341</v>
      </c>
      <c r="N968" s="13" t="inlineStr"/>
      <c r="O968" s="13" t="inlineStr"/>
      <c r="P968" s="12" t="n"/>
    </row>
    <row r="969" ht="39.6" customHeight="1">
      <c r="A969" s="15" t="n">
        <v>20824</v>
      </c>
      <c r="B969" s="16" t="n">
        <v>44215</v>
      </c>
      <c r="C969" s="15" t="inlineStr">
        <is>
          <t>Patient Support Officer</t>
        </is>
      </c>
      <c r="D969" s="15" t="inlineStr">
        <is>
          <t>NSW Support Services EA</t>
        </is>
      </c>
      <c r="E969" s="15" t="inlineStr">
        <is>
          <t>PP - Part-time Waged</t>
        </is>
      </c>
      <c r="F969" s="15" t="inlineStr">
        <is>
          <t>IVFA</t>
        </is>
      </c>
      <c r="G969" s="15" t="inlineStr">
        <is>
          <t>New South Wales</t>
        </is>
      </c>
      <c r="H969" s="17" t="inlineStr">
        <is>
          <t>39.00</t>
        </is>
      </c>
      <c r="I969" s="15" t="inlineStr">
        <is>
          <t>IVF Australia Pty Ltd</t>
        </is>
      </c>
      <c r="J969" s="18" t="n">
        <v>55.38</v>
      </c>
      <c r="K969" s="17" t="inlineStr">
        <is>
          <t>55.38</t>
        </is>
      </c>
      <c r="L969" s="16" t="n">
        <v>45949</v>
      </c>
      <c r="M969" s="16" t="n">
        <v>44215</v>
      </c>
      <c r="N969" s="17" t="inlineStr"/>
      <c r="O969" s="17" t="inlineStr"/>
      <c r="P969" s="16" t="n"/>
    </row>
    <row r="970" ht="39.6" customHeight="1">
      <c r="A970" s="11" t="n">
        <v>40156</v>
      </c>
      <c r="B970" s="12" t="n">
        <v>44663</v>
      </c>
      <c r="C970" s="11" t="inlineStr">
        <is>
          <t>Registered Nurse</t>
        </is>
      </c>
      <c r="D970" s="11" t="inlineStr">
        <is>
          <t>NSW Nurse EA</t>
        </is>
      </c>
      <c r="E970" s="11" t="inlineStr">
        <is>
          <t>PP - Part-time Waged</t>
        </is>
      </c>
      <c r="F970" s="11" t="inlineStr">
        <is>
          <t>Day Hospitals</t>
        </is>
      </c>
      <c r="G970" s="11" t="inlineStr">
        <is>
          <t>New South Wales</t>
        </is>
      </c>
      <c r="H970" s="13" t="inlineStr">
        <is>
          <t>40.00</t>
        </is>
      </c>
      <c r="I970" s="11" t="inlineStr">
        <is>
          <t>City West Day Surgery</t>
        </is>
      </c>
      <c r="J970" s="14" t="n">
        <v>55.86</v>
      </c>
      <c r="K970" s="13" t="inlineStr">
        <is>
          <t>55.86</t>
        </is>
      </c>
      <c r="L970" s="12" t="n">
        <v>45949</v>
      </c>
      <c r="M970" s="12" t="n">
        <v>44663</v>
      </c>
      <c r="N970" s="13" t="inlineStr"/>
      <c r="O970" s="13" t="inlineStr"/>
      <c r="P970" s="12" t="n"/>
    </row>
    <row r="971" ht="39.6" customHeight="1">
      <c r="A971" s="15" t="inlineStr">
        <is>
          <t>AU23067</t>
        </is>
      </c>
      <c r="B971" s="16" t="n">
        <v>45314</v>
      </c>
      <c r="C971" s="15" t="inlineStr">
        <is>
          <t xml:space="preserve"> Embryologist</t>
        </is>
      </c>
      <c r="D971" s="15" t="inlineStr">
        <is>
          <t>IVFA Scientists EA</t>
        </is>
      </c>
      <c r="E971" s="15" t="inlineStr">
        <is>
          <t>FT - Full-time Waged</t>
        </is>
      </c>
      <c r="F971" s="15" t="inlineStr">
        <is>
          <t>IVFA</t>
        </is>
      </c>
      <c r="G971" s="15" t="inlineStr">
        <is>
          <t>New South Wales</t>
        </is>
      </c>
      <c r="H971" s="17" t="inlineStr">
        <is>
          <t>76.00</t>
        </is>
      </c>
      <c r="I971" s="15" t="inlineStr">
        <is>
          <t>IVF Australia Pty Ltd</t>
        </is>
      </c>
      <c r="J971" s="18" t="n">
        <v>56.21</v>
      </c>
      <c r="K971" s="17" t="inlineStr">
        <is>
          <t>56.21</t>
        </is>
      </c>
      <c r="L971" s="16" t="n">
        <v>45949</v>
      </c>
      <c r="M971" s="16" t="n">
        <v>45314</v>
      </c>
      <c r="N971" s="17" t="inlineStr"/>
      <c r="O971" s="17" t="inlineStr"/>
      <c r="P971" s="16" t="n"/>
    </row>
    <row r="972" ht="52.8" customHeight="1">
      <c r="A972" s="11" t="inlineStr">
        <is>
          <t>AU23298</t>
        </is>
      </c>
      <c r="B972" s="12" t="n">
        <v>45502</v>
      </c>
      <c r="C972" s="11" t="inlineStr">
        <is>
          <t>Registered Nurse</t>
        </is>
      </c>
      <c r="D972" s="11" t="inlineStr">
        <is>
          <t>QLD Nurse EA</t>
        </is>
      </c>
      <c r="E972" s="11" t="inlineStr">
        <is>
          <t>PP - Part-time Waged</t>
        </is>
      </c>
      <c r="F972" s="11" t="inlineStr">
        <is>
          <t>Day Hospitals</t>
        </is>
      </c>
      <c r="G972" s="11" t="inlineStr">
        <is>
          <t>Queensland</t>
        </is>
      </c>
      <c r="H972" s="13" t="inlineStr">
        <is>
          <t>44.00</t>
        </is>
      </c>
      <c r="I972" s="11" t="inlineStr">
        <is>
          <t>MACKAY Specialist Day Hospital</t>
        </is>
      </c>
      <c r="J972" s="14" t="n">
        <v>56.48</v>
      </c>
      <c r="K972" s="13" t="inlineStr">
        <is>
          <t>56.48</t>
        </is>
      </c>
      <c r="L972" s="12" t="n">
        <v>45949</v>
      </c>
      <c r="M972" s="12" t="n">
        <v>45173</v>
      </c>
      <c r="N972" s="13" t="inlineStr"/>
      <c r="O972" s="13" t="inlineStr"/>
      <c r="P972" s="12" t="n"/>
    </row>
    <row r="973" ht="39.6" customHeight="1">
      <c r="A973" s="15" t="n">
        <v>20081</v>
      </c>
      <c r="B973" s="16" t="n">
        <v>39371</v>
      </c>
      <c r="C973" s="15" t="inlineStr">
        <is>
          <t>Laboratory Supervisor</t>
        </is>
      </c>
      <c r="D973" s="15" t="inlineStr">
        <is>
          <t>Lab Supervisors Pay Policy</t>
        </is>
      </c>
      <c r="E973" s="15" t="inlineStr">
        <is>
          <t>PP - Part-time Waged</t>
        </is>
      </c>
      <c r="F973" s="15" t="inlineStr">
        <is>
          <t>The Fertility Centre</t>
        </is>
      </c>
      <c r="G973" s="15" t="inlineStr">
        <is>
          <t>New South Wales</t>
        </is>
      </c>
      <c r="H973" s="17" t="inlineStr">
        <is>
          <t>60.00</t>
        </is>
      </c>
      <c r="I973" s="15" t="inlineStr">
        <is>
          <t>IVF Australia Pty Ltd</t>
        </is>
      </c>
      <c r="J973" s="18" t="n">
        <v>124.32</v>
      </c>
      <c r="K973" s="17" t="inlineStr">
        <is>
          <t>56.58</t>
        </is>
      </c>
      <c r="L973" s="16" t="n">
        <v>45949</v>
      </c>
      <c r="M973" s="16" t="n">
        <v>45215</v>
      </c>
      <c r="N973" s="17" t="inlineStr">
        <is>
          <t>294.24</t>
        </is>
      </c>
      <c r="O973" s="17" t="inlineStr">
        <is>
          <t>226.50</t>
        </is>
      </c>
      <c r="P973" s="16" t="n"/>
    </row>
    <row r="974" ht="39.6" customHeight="1">
      <c r="A974" s="11" t="inlineStr">
        <is>
          <t>AU23037</t>
        </is>
      </c>
      <c r="B974" s="12" t="n">
        <v>45313</v>
      </c>
      <c r="C974" s="11" t="inlineStr">
        <is>
          <t xml:space="preserve"> Embryologist</t>
        </is>
      </c>
      <c r="D974" s="11" t="inlineStr">
        <is>
          <t>IVFA Scientists EA</t>
        </is>
      </c>
      <c r="E974" s="11" t="inlineStr">
        <is>
          <t>FT - Full-time Waged</t>
        </is>
      </c>
      <c r="F974" s="11" t="inlineStr">
        <is>
          <t>IVFA</t>
        </is>
      </c>
      <c r="G974" s="11" t="inlineStr">
        <is>
          <t>New South Wales</t>
        </is>
      </c>
      <c r="H974" s="13" t="inlineStr">
        <is>
          <t>76.00</t>
        </is>
      </c>
      <c r="I974" s="11" t="inlineStr">
        <is>
          <t>IVF Australia Pty Ltd</t>
        </is>
      </c>
      <c r="J974" s="14" t="n">
        <v>56.67</v>
      </c>
      <c r="K974" s="13" t="inlineStr">
        <is>
          <t>56.67</t>
        </is>
      </c>
      <c r="L974" s="12" t="n">
        <v>45949</v>
      </c>
      <c r="M974" s="12" t="n">
        <v>45313</v>
      </c>
      <c r="N974" s="13" t="inlineStr"/>
      <c r="O974" s="13" t="inlineStr"/>
      <c r="P974" s="12" t="n"/>
    </row>
    <row r="975" ht="52.8" customHeight="1">
      <c r="A975" s="15" t="inlineStr">
        <is>
          <t>AU23075</t>
        </is>
      </c>
      <c r="B975" s="16" t="n">
        <v>45322</v>
      </c>
      <c r="C975" s="15" t="inlineStr">
        <is>
          <t>Service Desk Operator</t>
        </is>
      </c>
      <c r="D975" s="15" t="inlineStr">
        <is>
          <t>Common Law Employment Contract</t>
        </is>
      </c>
      <c r="E975" s="15" t="inlineStr">
        <is>
          <t>FP - Full-time Salaried</t>
        </is>
      </c>
      <c r="F975" s="15" t="inlineStr">
        <is>
          <t>Corporate Services</t>
        </is>
      </c>
      <c r="G975" s="15" t="inlineStr">
        <is>
          <t>Victoria</t>
        </is>
      </c>
      <c r="H975" s="17" t="inlineStr">
        <is>
          <t>76.00</t>
        </is>
      </c>
      <c r="I975" s="15" t="inlineStr">
        <is>
          <t>IVF Australia Pty Ltd</t>
        </is>
      </c>
      <c r="J975" s="18" t="n">
        <v>56.75</v>
      </c>
      <c r="K975" s="17" t="inlineStr">
        <is>
          <t>56.75</t>
        </is>
      </c>
      <c r="L975" s="16" t="n">
        <v>45949</v>
      </c>
      <c r="M975" s="16" t="n">
        <v>45322</v>
      </c>
      <c r="N975" s="17" t="inlineStr"/>
      <c r="O975" s="17" t="inlineStr"/>
      <c r="P975" s="16" t="n"/>
    </row>
    <row r="976" ht="52.8" customHeight="1">
      <c r="A976" s="11" t="inlineStr">
        <is>
          <t>AU23219</t>
        </is>
      </c>
      <c r="B976" s="12" t="n">
        <v>45432</v>
      </c>
      <c r="C976" s="11" t="inlineStr">
        <is>
          <t>Registered Nurse</t>
        </is>
      </c>
      <c r="D976" s="11" t="inlineStr">
        <is>
          <t>QLD Nurse EA</t>
        </is>
      </c>
      <c r="E976" s="11" t="inlineStr">
        <is>
          <t>PP - Part-time Waged</t>
        </is>
      </c>
      <c r="F976" s="11" t="inlineStr">
        <is>
          <t>Queensland Fertility Group</t>
        </is>
      </c>
      <c r="G976" s="11" t="inlineStr">
        <is>
          <t>Queensland</t>
        </is>
      </c>
      <c r="H976" s="13" t="inlineStr">
        <is>
          <t>60.80</t>
        </is>
      </c>
      <c r="I976" s="11" t="inlineStr">
        <is>
          <t>Queensland Fertility Group Pty Ltd</t>
        </is>
      </c>
      <c r="J976" s="14" t="n">
        <v>56.9</v>
      </c>
      <c r="K976" s="13" t="inlineStr">
        <is>
          <t>56.90</t>
        </is>
      </c>
      <c r="L976" s="12" t="n">
        <v>45949</v>
      </c>
      <c r="M976" s="12" t="n">
        <v>45432</v>
      </c>
      <c r="N976" s="13" t="inlineStr"/>
      <c r="O976" s="13" t="inlineStr"/>
      <c r="P976" s="12" t="n"/>
    </row>
    <row r="977" ht="39.6" customHeight="1">
      <c r="A977" s="15" t="inlineStr">
        <is>
          <t>AU23053</t>
        </is>
      </c>
      <c r="B977" s="16" t="n">
        <v>45320</v>
      </c>
      <c r="C977" s="15" t="inlineStr">
        <is>
          <t>Medical Secretary</t>
        </is>
      </c>
      <c r="D977" s="15" t="inlineStr">
        <is>
          <t>NSW Support Services EA</t>
        </is>
      </c>
      <c r="E977" s="15" t="inlineStr">
        <is>
          <t>FT - Full-time Waged</t>
        </is>
      </c>
      <c r="F977" s="15" t="inlineStr">
        <is>
          <t>IVFA</t>
        </is>
      </c>
      <c r="G977" s="15" t="inlineStr">
        <is>
          <t>New South Wales</t>
        </is>
      </c>
      <c r="H977" s="17" t="inlineStr">
        <is>
          <t>76.00</t>
        </is>
      </c>
      <c r="I977" s="15" t="inlineStr">
        <is>
          <t>IVF Australia Pty Ltd</t>
        </is>
      </c>
      <c r="J977" s="18" t="n">
        <v>57.02</v>
      </c>
      <c r="K977" s="17" t="inlineStr">
        <is>
          <t>57.02</t>
        </is>
      </c>
      <c r="L977" s="16" t="n">
        <v>45949</v>
      </c>
      <c r="M977" s="16" t="n">
        <v>45320</v>
      </c>
      <c r="N977" s="17" t="inlineStr"/>
      <c r="O977" s="17" t="inlineStr"/>
      <c r="P977" s="16" t="n"/>
    </row>
    <row r="978" ht="79.2" customHeight="1">
      <c r="A978" s="11" t="n">
        <v>80420</v>
      </c>
      <c r="B978" s="12" t="n">
        <v>44363</v>
      </c>
      <c r="C978" s="11" t="inlineStr">
        <is>
          <t>Phlebotomist</t>
        </is>
      </c>
      <c r="D978" s="11" t="inlineStr">
        <is>
          <t>Health Professionals and Support Services Award</t>
        </is>
      </c>
      <c r="E978" s="11" t="inlineStr">
        <is>
          <t>CA - Casual</t>
        </is>
      </c>
      <c r="F978" s="11" t="inlineStr">
        <is>
          <t>Queensland Fertility Group</t>
        </is>
      </c>
      <c r="G978" s="11" t="inlineStr">
        <is>
          <t>Queensland</t>
        </is>
      </c>
      <c r="H978" s="13" t="inlineStr"/>
      <c r="I978" s="11" t="inlineStr">
        <is>
          <t>Queensland Fertility Group Pty Ltd</t>
        </is>
      </c>
      <c r="J978" s="14" t="n">
        <v>57.06</v>
      </c>
      <c r="K978" s="13" t="inlineStr">
        <is>
          <t>57.06</t>
        </is>
      </c>
      <c r="L978" s="12" t="n">
        <v>45949</v>
      </c>
      <c r="M978" s="12" t="n">
        <v>44363</v>
      </c>
      <c r="N978" s="13" t="inlineStr"/>
      <c r="O978" s="13" t="inlineStr"/>
      <c r="P978" s="12" t="n"/>
    </row>
    <row r="979" ht="79.2" customHeight="1">
      <c r="A979" s="15" t="inlineStr">
        <is>
          <t>AU22904</t>
        </is>
      </c>
      <c r="B979" s="16" t="n">
        <v>45124</v>
      </c>
      <c r="C979" s="15" t="inlineStr">
        <is>
          <t>Phlebotomist/ Administration</t>
        </is>
      </c>
      <c r="D979" s="15" t="inlineStr">
        <is>
          <t>Health Professionals and Support Services Award</t>
        </is>
      </c>
      <c r="E979" s="15" t="inlineStr">
        <is>
          <t>PP - Part-time Waged</t>
        </is>
      </c>
      <c r="F979" s="15" t="inlineStr">
        <is>
          <t>Queensland Fertility Group</t>
        </is>
      </c>
      <c r="G979" s="15" t="inlineStr">
        <is>
          <t>Queensland</t>
        </is>
      </c>
      <c r="H979" s="17" t="inlineStr">
        <is>
          <t>68.00</t>
        </is>
      </c>
      <c r="I979" s="15" t="inlineStr">
        <is>
          <t>Queensland Fertility Group Pty Ltd</t>
        </is>
      </c>
      <c r="J979" s="18" t="n">
        <v>57.14</v>
      </c>
      <c r="K979" s="17" t="inlineStr">
        <is>
          <t>57.14</t>
        </is>
      </c>
      <c r="L979" s="16" t="n">
        <v>45949</v>
      </c>
      <c r="M979" s="16" t="n">
        <v>45124</v>
      </c>
      <c r="N979" s="17" t="inlineStr"/>
      <c r="O979" s="17" t="inlineStr"/>
      <c r="P979" s="16" t="n"/>
    </row>
    <row r="980" ht="39.6" customHeight="1">
      <c r="A980" s="11" t="inlineStr">
        <is>
          <t>AU23062</t>
        </is>
      </c>
      <c r="B980" s="12" t="n">
        <v>45313</v>
      </c>
      <c r="C980" s="11" t="inlineStr">
        <is>
          <t>Registered Nurse</t>
        </is>
      </c>
      <c r="D980" s="11" t="inlineStr">
        <is>
          <t>NSW Nurse EA</t>
        </is>
      </c>
      <c r="E980" s="11" t="inlineStr">
        <is>
          <t>FT - Full-time Waged</t>
        </is>
      </c>
      <c r="F980" s="11" t="inlineStr">
        <is>
          <t>IVFA</t>
        </is>
      </c>
      <c r="G980" s="11" t="inlineStr">
        <is>
          <t>New South Wales</t>
        </is>
      </c>
      <c r="H980" s="13" t="inlineStr">
        <is>
          <t>76.00</t>
        </is>
      </c>
      <c r="I980" s="11" t="inlineStr">
        <is>
          <t>IVF Australia Pty Ltd</t>
        </is>
      </c>
      <c r="J980" s="14" t="n">
        <v>57.3</v>
      </c>
      <c r="K980" s="13" t="inlineStr">
        <is>
          <t>57.30</t>
        </is>
      </c>
      <c r="L980" s="12" t="n">
        <v>45949</v>
      </c>
      <c r="M980" s="12" t="n">
        <v>45313</v>
      </c>
      <c r="N980" s="13" t="inlineStr"/>
      <c r="O980" s="13" t="inlineStr"/>
      <c r="P980" s="12" t="n"/>
    </row>
    <row r="981" ht="79.2" customHeight="1">
      <c r="A981" s="15" t="inlineStr">
        <is>
          <t>AU22961</t>
        </is>
      </c>
      <c r="B981" s="16" t="n">
        <v>45166</v>
      </c>
      <c r="C981" s="15" t="inlineStr">
        <is>
          <t>Medical Receptionist/Administratiom</t>
        </is>
      </c>
      <c r="D981" s="15" t="inlineStr">
        <is>
          <t>Health Professionals and Support Services Award</t>
        </is>
      </c>
      <c r="E981" s="15" t="inlineStr">
        <is>
          <t>PP - Part-time Waged</t>
        </is>
      </c>
      <c r="F981" s="15" t="inlineStr">
        <is>
          <t>Queensland Fertility Group</t>
        </is>
      </c>
      <c r="G981" s="15" t="inlineStr">
        <is>
          <t>Queensland</t>
        </is>
      </c>
      <c r="H981" s="17" t="inlineStr">
        <is>
          <t>60.00</t>
        </is>
      </c>
      <c r="I981" s="15" t="inlineStr">
        <is>
          <t>Queensland Fertility Group Pty Ltd</t>
        </is>
      </c>
      <c r="J981" s="18" t="n">
        <v>57.31</v>
      </c>
      <c r="K981" s="17" t="inlineStr">
        <is>
          <t>57.31</t>
        </is>
      </c>
      <c r="L981" s="16" t="n">
        <v>45949</v>
      </c>
      <c r="M981" s="16" t="n">
        <v>45166</v>
      </c>
      <c r="N981" s="17" t="inlineStr"/>
      <c r="O981" s="17" t="inlineStr"/>
      <c r="P981" s="16" t="n"/>
    </row>
    <row r="982" ht="39.6" customHeight="1">
      <c r="A982" s="11" t="inlineStr">
        <is>
          <t>AU23043</t>
        </is>
      </c>
      <c r="B982" s="12" t="n">
        <v>45313</v>
      </c>
      <c r="C982" s="11" t="inlineStr">
        <is>
          <t xml:space="preserve"> Embryologist</t>
        </is>
      </c>
      <c r="D982" s="11" t="inlineStr">
        <is>
          <t>IVFA Scientists EA</t>
        </is>
      </c>
      <c r="E982" s="11" t="inlineStr">
        <is>
          <t>FT - Full-time Waged</t>
        </is>
      </c>
      <c r="F982" s="11" t="inlineStr">
        <is>
          <t>IVFA</t>
        </is>
      </c>
      <c r="G982" s="11" t="inlineStr">
        <is>
          <t>New South Wales</t>
        </is>
      </c>
      <c r="H982" s="13" t="inlineStr">
        <is>
          <t>76.00</t>
        </is>
      </c>
      <c r="I982" s="11" t="inlineStr">
        <is>
          <t>IVF Australia Pty Ltd</t>
        </is>
      </c>
      <c r="J982" s="14" t="n">
        <v>57.61</v>
      </c>
      <c r="K982" s="13" t="inlineStr">
        <is>
          <t>57.61</t>
        </is>
      </c>
      <c r="L982" s="12" t="n">
        <v>45949</v>
      </c>
      <c r="M982" s="12" t="n">
        <v>45313</v>
      </c>
      <c r="N982" s="13" t="inlineStr"/>
      <c r="O982" s="13" t="inlineStr"/>
      <c r="P982" s="12" t="n"/>
    </row>
    <row r="983" ht="39.6" customHeight="1">
      <c r="A983" s="15" t="inlineStr">
        <is>
          <t>AU23030</t>
        </is>
      </c>
      <c r="B983" s="16" t="n">
        <v>45307</v>
      </c>
      <c r="C983" s="15" t="inlineStr">
        <is>
          <t xml:space="preserve"> Embryologist</t>
        </is>
      </c>
      <c r="D983" s="15" t="inlineStr">
        <is>
          <t>IVFA Scientists EA</t>
        </is>
      </c>
      <c r="E983" s="15" t="inlineStr">
        <is>
          <t>FT - Full-time Waged</t>
        </is>
      </c>
      <c r="F983" s="15" t="inlineStr">
        <is>
          <t>IVFA</t>
        </is>
      </c>
      <c r="G983" s="15" t="inlineStr">
        <is>
          <t>New South Wales</t>
        </is>
      </c>
      <c r="H983" s="17" t="inlineStr">
        <is>
          <t>76.00</t>
        </is>
      </c>
      <c r="I983" s="15" t="inlineStr">
        <is>
          <t>IVF Australia Pty Ltd</t>
        </is>
      </c>
      <c r="J983" s="18" t="n">
        <v>58.01</v>
      </c>
      <c r="K983" s="17" t="inlineStr">
        <is>
          <t>58.01</t>
        </is>
      </c>
      <c r="L983" s="16" t="n">
        <v>45949</v>
      </c>
      <c r="M983" s="16" t="n">
        <v>45307</v>
      </c>
      <c r="N983" s="17" t="inlineStr"/>
      <c r="O983" s="17" t="inlineStr"/>
      <c r="P983" s="16" t="n"/>
    </row>
    <row r="984" ht="66" customHeight="1">
      <c r="A984" s="11" t="n">
        <v>50195</v>
      </c>
      <c r="B984" s="12" t="n">
        <v>44249</v>
      </c>
      <c r="C984" s="11" t="inlineStr">
        <is>
          <t>Registered Nurse</t>
        </is>
      </c>
      <c r="D984" s="11" t="inlineStr">
        <is>
          <t>NSW Nurse EA</t>
        </is>
      </c>
      <c r="E984" s="11" t="inlineStr">
        <is>
          <t>PP - Part-time Waged</t>
        </is>
      </c>
      <c r="F984" s="11" t="inlineStr">
        <is>
          <t>Day Hospitals</t>
        </is>
      </c>
      <c r="G984" s="11" t="inlineStr">
        <is>
          <t>New South Wales</t>
        </is>
      </c>
      <c r="H984" s="13" t="inlineStr">
        <is>
          <t>48.00</t>
        </is>
      </c>
      <c r="I984" s="11" t="inlineStr">
        <is>
          <t>Alexandria Specialist Day Hospital Pty Ltd</t>
        </is>
      </c>
      <c r="J984" s="14" t="n">
        <v>58.04</v>
      </c>
      <c r="K984" s="13" t="inlineStr">
        <is>
          <t>58.04</t>
        </is>
      </c>
      <c r="L984" s="12" t="n">
        <v>45949</v>
      </c>
      <c r="M984" s="12" t="n">
        <v>44249</v>
      </c>
      <c r="N984" s="13" t="inlineStr"/>
      <c r="O984" s="13" t="inlineStr"/>
      <c r="P984" s="12" t="n"/>
    </row>
    <row r="985" ht="39.6" customHeight="1">
      <c r="A985" s="15" t="inlineStr">
        <is>
          <t>AU22603</t>
        </is>
      </c>
      <c r="B985" s="16" t="n">
        <v>44844</v>
      </c>
      <c r="C985" s="15" t="inlineStr">
        <is>
          <t>Embryologist</t>
        </is>
      </c>
      <c r="D985" s="15" t="inlineStr">
        <is>
          <t>IVFA Scientists EA</t>
        </is>
      </c>
      <c r="E985" s="15" t="inlineStr">
        <is>
          <t>FT - Full-time Waged</t>
        </is>
      </c>
      <c r="F985" s="15" t="inlineStr">
        <is>
          <t>IVFA</t>
        </is>
      </c>
      <c r="G985" s="15" t="inlineStr">
        <is>
          <t>New South Wales</t>
        </is>
      </c>
      <c r="H985" s="17" t="inlineStr">
        <is>
          <t>76.00</t>
        </is>
      </c>
      <c r="I985" s="15" t="inlineStr">
        <is>
          <t>IVF Australia Pty Ltd</t>
        </is>
      </c>
      <c r="J985" s="18" t="n">
        <v>58.04</v>
      </c>
      <c r="K985" s="17" t="inlineStr">
        <is>
          <t>58.04</t>
        </is>
      </c>
      <c r="L985" s="16" t="n">
        <v>45949</v>
      </c>
      <c r="M985" s="16" t="n">
        <v>44844</v>
      </c>
      <c r="N985" s="17" t="inlineStr"/>
      <c r="O985" s="17" t="inlineStr"/>
      <c r="P985" s="16" t="n"/>
    </row>
    <row r="986" ht="39.6" customHeight="1">
      <c r="A986" s="11" t="inlineStr">
        <is>
          <t>AU23060</t>
        </is>
      </c>
      <c r="B986" s="12" t="n">
        <v>45306</v>
      </c>
      <c r="C986" s="11" t="inlineStr">
        <is>
          <t>Registered Nurse</t>
        </is>
      </c>
      <c r="D986" s="11" t="inlineStr">
        <is>
          <t>NSW Nurse EA</t>
        </is>
      </c>
      <c r="E986" s="11" t="inlineStr">
        <is>
          <t>FT - Full-time Waged</t>
        </is>
      </c>
      <c r="F986" s="11" t="inlineStr">
        <is>
          <t>IVFA</t>
        </is>
      </c>
      <c r="G986" s="11" t="inlineStr">
        <is>
          <t>New South Wales</t>
        </is>
      </c>
      <c r="H986" s="13" t="inlineStr">
        <is>
          <t>76.00</t>
        </is>
      </c>
      <c r="I986" s="11" t="inlineStr">
        <is>
          <t>IVF Australia Pty Ltd</t>
        </is>
      </c>
      <c r="J986" s="14" t="n">
        <v>58.23</v>
      </c>
      <c r="K986" s="13" t="inlineStr">
        <is>
          <t>58.23</t>
        </is>
      </c>
      <c r="L986" s="12" t="n">
        <v>45949</v>
      </c>
      <c r="M986" s="12" t="n">
        <v>45306</v>
      </c>
      <c r="N986" s="13" t="inlineStr"/>
      <c r="O986" s="13" t="inlineStr"/>
      <c r="P986" s="12" t="n"/>
    </row>
    <row r="987" ht="39.6" customHeight="1">
      <c r="A987" s="15" t="inlineStr">
        <is>
          <t>AU23031</t>
        </is>
      </c>
      <c r="B987" s="16" t="n">
        <v>45306</v>
      </c>
      <c r="C987" s="15" t="inlineStr">
        <is>
          <t xml:space="preserve"> Embryologist</t>
        </is>
      </c>
      <c r="D987" s="15" t="inlineStr">
        <is>
          <t>IVFA Scientists EA</t>
        </is>
      </c>
      <c r="E987" s="15" t="inlineStr">
        <is>
          <t>FT - Full-time Waged</t>
        </is>
      </c>
      <c r="F987" s="15" t="inlineStr">
        <is>
          <t>IVFA</t>
        </is>
      </c>
      <c r="G987" s="15" t="inlineStr">
        <is>
          <t>New South Wales</t>
        </is>
      </c>
      <c r="H987" s="17" t="inlineStr">
        <is>
          <t>76.00</t>
        </is>
      </c>
      <c r="I987" s="15" t="inlineStr">
        <is>
          <t>IVF Australia Pty Ltd</t>
        </is>
      </c>
      <c r="J987" s="18" t="n">
        <v>58.27</v>
      </c>
      <c r="K987" s="17" t="inlineStr">
        <is>
          <t>58.27</t>
        </is>
      </c>
      <c r="L987" s="16" t="n">
        <v>45949</v>
      </c>
      <c r="M987" s="16" t="n">
        <v>45306</v>
      </c>
      <c r="N987" s="17" t="inlineStr"/>
      <c r="O987" s="17" t="inlineStr"/>
      <c r="P987" s="16" t="n"/>
    </row>
    <row r="988" ht="39.6" customHeight="1">
      <c r="A988" s="11" t="inlineStr">
        <is>
          <t>AU23046</t>
        </is>
      </c>
      <c r="B988" s="12" t="n">
        <v>45306</v>
      </c>
      <c r="C988" s="11" t="inlineStr">
        <is>
          <t>Embryologist</t>
        </is>
      </c>
      <c r="D988" s="11" t="inlineStr">
        <is>
          <t>IVFA Scientists EA</t>
        </is>
      </c>
      <c r="E988" s="11" t="inlineStr">
        <is>
          <t>FT - Full-time Waged</t>
        </is>
      </c>
      <c r="F988" s="11" t="inlineStr">
        <is>
          <t>IVFA</t>
        </is>
      </c>
      <c r="G988" s="11" t="inlineStr">
        <is>
          <t>New South Wales</t>
        </is>
      </c>
      <c r="H988" s="13" t="inlineStr">
        <is>
          <t>76.00</t>
        </is>
      </c>
      <c r="I988" s="11" t="inlineStr">
        <is>
          <t>IVF Australia Pty Ltd</t>
        </is>
      </c>
      <c r="J988" s="14" t="n">
        <v>58.35</v>
      </c>
      <c r="K988" s="13" t="inlineStr">
        <is>
          <t>58.35</t>
        </is>
      </c>
      <c r="L988" s="12" t="n">
        <v>45949</v>
      </c>
      <c r="M988" s="12" t="n">
        <v>45306</v>
      </c>
      <c r="N988" s="13" t="inlineStr"/>
      <c r="O988" s="13" t="inlineStr"/>
      <c r="P988" s="12" t="n"/>
    </row>
    <row r="989" ht="66" customHeight="1">
      <c r="A989" s="15" t="inlineStr">
        <is>
          <t>AU23429</t>
        </is>
      </c>
      <c r="B989" s="16" t="n">
        <v>45586</v>
      </c>
      <c r="C989" s="15" t="inlineStr">
        <is>
          <t>Registered Nurse</t>
        </is>
      </c>
      <c r="D989" s="15" t="inlineStr">
        <is>
          <t>NSW Nurse EA</t>
        </is>
      </c>
      <c r="E989" s="15" t="inlineStr">
        <is>
          <t>FT - Full-time Waged</t>
        </is>
      </c>
      <c r="F989" s="15" t="inlineStr">
        <is>
          <t>Day Hospitals</t>
        </is>
      </c>
      <c r="G989" s="15" t="inlineStr">
        <is>
          <t>New South Wales</t>
        </is>
      </c>
      <c r="H989" s="17" t="inlineStr">
        <is>
          <t>76.00</t>
        </is>
      </c>
      <c r="I989" s="15" t="inlineStr">
        <is>
          <t>Alexandria Specialist Day Hospital Pty Ltd</t>
        </is>
      </c>
      <c r="J989" s="18" t="n">
        <v>58.46</v>
      </c>
      <c r="K989" s="17" t="inlineStr">
        <is>
          <t>58.46</t>
        </is>
      </c>
      <c r="L989" s="16" t="n">
        <v>45949</v>
      </c>
      <c r="M989" s="16" t="n">
        <v>45210</v>
      </c>
      <c r="N989" s="17" t="inlineStr"/>
      <c r="O989" s="17" t="inlineStr"/>
      <c r="P989" s="16" t="n"/>
    </row>
    <row r="990" ht="79.2" customHeight="1">
      <c r="A990" s="11" t="inlineStr">
        <is>
          <t>AU23054</t>
        </is>
      </c>
      <c r="B990" s="12" t="n">
        <v>45299</v>
      </c>
      <c r="C990" s="11" t="inlineStr">
        <is>
          <t>Quality Assurance Officer</t>
        </is>
      </c>
      <c r="D990" s="11" t="inlineStr">
        <is>
          <t>Health Professionals and Support Services Award</t>
        </is>
      </c>
      <c r="E990" s="11" t="inlineStr">
        <is>
          <t>FT - Full-time Waged</t>
        </is>
      </c>
      <c r="F990" s="11" t="inlineStr">
        <is>
          <t>Diagnostics</t>
        </is>
      </c>
      <c r="G990" s="11" t="inlineStr">
        <is>
          <t>Queensland</t>
        </is>
      </c>
      <c r="H990" s="13" t="inlineStr">
        <is>
          <t>76.00</t>
        </is>
      </c>
      <c r="I990" s="11" t="inlineStr">
        <is>
          <t>Queensland Fertility Group Pty Ltd</t>
        </is>
      </c>
      <c r="J990" s="14" t="n">
        <v>58.51</v>
      </c>
      <c r="K990" s="13" t="inlineStr">
        <is>
          <t>58.51</t>
        </is>
      </c>
      <c r="L990" s="12" t="n">
        <v>45949</v>
      </c>
      <c r="M990" s="12" t="n">
        <v>45299</v>
      </c>
      <c r="N990" s="13" t="inlineStr"/>
      <c r="O990" s="13" t="inlineStr"/>
      <c r="P990" s="12" t="n"/>
    </row>
    <row r="991" ht="79.2" customHeight="1">
      <c r="A991" s="15" t="n">
        <v>20817</v>
      </c>
      <c r="B991" s="16" t="n">
        <v>44172</v>
      </c>
      <c r="C991" s="15" t="inlineStr">
        <is>
          <t>Patient Concierge</t>
        </is>
      </c>
      <c r="D991" s="15" t="inlineStr">
        <is>
          <t>Health Professionals and Support Services Award</t>
        </is>
      </c>
      <c r="E991" s="15" t="inlineStr">
        <is>
          <t>CA - Casual</t>
        </is>
      </c>
      <c r="F991" s="15" t="inlineStr">
        <is>
          <t>IVFA</t>
        </is>
      </c>
      <c r="G991" s="15" t="inlineStr">
        <is>
          <t>New South Wales</t>
        </is>
      </c>
      <c r="H991" s="17" t="inlineStr"/>
      <c r="I991" s="15" t="inlineStr">
        <is>
          <t>IVF Australia Pty Ltd</t>
        </is>
      </c>
      <c r="J991" s="18" t="n">
        <v>58.61</v>
      </c>
      <c r="K991" s="17" t="inlineStr">
        <is>
          <t>58.61</t>
        </is>
      </c>
      <c r="L991" s="16" t="n">
        <v>45949</v>
      </c>
      <c r="M991" s="16" t="n">
        <v>44172</v>
      </c>
      <c r="N991" s="17" t="inlineStr"/>
      <c r="O991" s="17" t="inlineStr"/>
      <c r="P991" s="16" t="n"/>
    </row>
    <row r="992" ht="52.8" customHeight="1">
      <c r="A992" s="11" t="inlineStr">
        <is>
          <t>AU23020</t>
        </is>
      </c>
      <c r="B992" s="12" t="n">
        <v>45271</v>
      </c>
      <c r="C992" s="11" t="inlineStr">
        <is>
          <t>Payroll Manager</t>
        </is>
      </c>
      <c r="D992" s="11" t="inlineStr">
        <is>
          <t>Common Law Employment Contract</t>
        </is>
      </c>
      <c r="E992" s="11" t="inlineStr">
        <is>
          <t>FP - Full-time Salaried</t>
        </is>
      </c>
      <c r="F992" s="11" t="inlineStr">
        <is>
          <t>Corporate Services</t>
        </is>
      </c>
      <c r="G992" s="11" t="inlineStr">
        <is>
          <t>New South Wales</t>
        </is>
      </c>
      <c r="H992" s="13" t="inlineStr">
        <is>
          <t>76.00</t>
        </is>
      </c>
      <c r="I992" s="11" t="inlineStr">
        <is>
          <t>IVF Australia Pty Ltd</t>
        </is>
      </c>
      <c r="J992" s="14" t="n">
        <v>58.9</v>
      </c>
      <c r="K992" s="13" t="inlineStr">
        <is>
          <t>58.90</t>
        </is>
      </c>
      <c r="L992" s="12" t="n">
        <v>45949</v>
      </c>
      <c r="M992" s="12" t="n">
        <v>45271</v>
      </c>
      <c r="N992" s="13" t="inlineStr"/>
      <c r="O992" s="13" t="inlineStr"/>
      <c r="P992" s="12" t="n"/>
    </row>
    <row r="993" ht="39.6" customHeight="1">
      <c r="A993" s="15" t="inlineStr">
        <is>
          <t>AU23032</t>
        </is>
      </c>
      <c r="B993" s="16" t="n">
        <v>45258</v>
      </c>
      <c r="C993" s="15" t="inlineStr">
        <is>
          <t>Laboratory Support Assistant</t>
        </is>
      </c>
      <c r="D993" s="15" t="inlineStr">
        <is>
          <t>IVFA Scientists EA</t>
        </is>
      </c>
      <c r="E993" s="15" t="inlineStr">
        <is>
          <t>FT - Full-time Waged</t>
        </is>
      </c>
      <c r="F993" s="15" t="inlineStr">
        <is>
          <t>IVFA</t>
        </is>
      </c>
      <c r="G993" s="15" t="inlineStr">
        <is>
          <t>New South Wales</t>
        </is>
      </c>
      <c r="H993" s="17" t="inlineStr">
        <is>
          <t>76.00</t>
        </is>
      </c>
      <c r="I993" s="15" t="inlineStr">
        <is>
          <t>IVF Australia Pty Ltd</t>
        </is>
      </c>
      <c r="J993" s="18" t="n">
        <v>59</v>
      </c>
      <c r="K993" s="17" t="inlineStr">
        <is>
          <t>59.00</t>
        </is>
      </c>
      <c r="L993" s="16" t="n">
        <v>45949</v>
      </c>
      <c r="M993" s="16" t="n">
        <v>45258</v>
      </c>
      <c r="N993" s="17" t="inlineStr"/>
      <c r="O993" s="17" t="inlineStr"/>
      <c r="P993" s="16" t="n"/>
    </row>
    <row r="994" ht="52.8" customHeight="1">
      <c r="A994" s="11" t="inlineStr">
        <is>
          <t>AU23034</t>
        </is>
      </c>
      <c r="B994" s="12" t="n">
        <v>45299</v>
      </c>
      <c r="C994" s="11" t="inlineStr">
        <is>
          <t>Patient Services Manager</t>
        </is>
      </c>
      <c r="D994" s="11" t="inlineStr">
        <is>
          <t>Common Law Employment Contract</t>
        </is>
      </c>
      <c r="E994" s="11" t="inlineStr">
        <is>
          <t>FT - Full-time Waged</t>
        </is>
      </c>
      <c r="F994" s="11" t="inlineStr">
        <is>
          <t>Queensland Fertility Group</t>
        </is>
      </c>
      <c r="G994" s="11" t="inlineStr">
        <is>
          <t>Queensland</t>
        </is>
      </c>
      <c r="H994" s="13" t="inlineStr">
        <is>
          <t>76.00</t>
        </is>
      </c>
      <c r="I994" s="11" t="inlineStr">
        <is>
          <t>Queensland Fertility Group Pty Ltd</t>
        </is>
      </c>
      <c r="J994" s="14" t="n">
        <v>59.24</v>
      </c>
      <c r="K994" s="13" t="inlineStr">
        <is>
          <t>59.24</t>
        </is>
      </c>
      <c r="L994" s="12" t="n">
        <v>45949</v>
      </c>
      <c r="M994" s="12" t="n">
        <v>45299</v>
      </c>
      <c r="N994" s="13" t="inlineStr"/>
      <c r="O994" s="13" t="inlineStr"/>
      <c r="P994" s="12" t="n"/>
    </row>
    <row r="995" ht="52.8" customHeight="1">
      <c r="A995" s="15" t="inlineStr">
        <is>
          <t>AU23343</t>
        </is>
      </c>
      <c r="B995" s="16" t="n">
        <v>45544</v>
      </c>
      <c r="C995" s="15" t="inlineStr">
        <is>
          <t>Registered Nurse</t>
        </is>
      </c>
      <c r="D995" s="15" t="inlineStr">
        <is>
          <t>QLD Nurse EA</t>
        </is>
      </c>
      <c r="E995" s="15" t="inlineStr">
        <is>
          <t>PP - Part-time Waged</t>
        </is>
      </c>
      <c r="F995" s="15" t="inlineStr">
        <is>
          <t>Day Hospitals</t>
        </is>
      </c>
      <c r="G995" s="15" t="inlineStr">
        <is>
          <t>Queensland</t>
        </is>
      </c>
      <c r="H995" s="17" t="inlineStr">
        <is>
          <t>60.80</t>
        </is>
      </c>
      <c r="I995" s="15" t="inlineStr">
        <is>
          <t>Spring Hill Specialist Day Hospital</t>
        </is>
      </c>
      <c r="J995" s="18" t="n">
        <v>59.27</v>
      </c>
      <c r="K995" s="17" t="inlineStr">
        <is>
          <t>59.27</t>
        </is>
      </c>
      <c r="L995" s="16" t="n">
        <v>45949</v>
      </c>
      <c r="M995" s="16" t="n">
        <v>45348</v>
      </c>
      <c r="N995" s="17" t="inlineStr"/>
      <c r="O995" s="17" t="inlineStr"/>
      <c r="P995" s="16" t="n"/>
    </row>
    <row r="996" ht="39.6" customHeight="1">
      <c r="A996" s="11" t="inlineStr">
        <is>
          <t>AU22685</t>
        </is>
      </c>
      <c r="B996" s="12" t="n">
        <v>44907</v>
      </c>
      <c r="C996" s="11" t="inlineStr">
        <is>
          <t>New Patient Care Consultant</t>
        </is>
      </c>
      <c r="D996" s="11" t="inlineStr">
        <is>
          <t>NSW Support Services EA</t>
        </is>
      </c>
      <c r="E996" s="11" t="inlineStr">
        <is>
          <t>PP - Part-time Waged</t>
        </is>
      </c>
      <c r="F996" s="11" t="inlineStr">
        <is>
          <t>IVFA</t>
        </is>
      </c>
      <c r="G996" s="11" t="inlineStr">
        <is>
          <t>New South Wales</t>
        </is>
      </c>
      <c r="H996" s="13" t="inlineStr">
        <is>
          <t>48.00</t>
        </is>
      </c>
      <c r="I996" s="11" t="inlineStr">
        <is>
          <t>IVF Australia Pty Ltd</t>
        </is>
      </c>
      <c r="J996" s="14" t="n">
        <v>59.31</v>
      </c>
      <c r="K996" s="13" t="inlineStr">
        <is>
          <t>59.31</t>
        </is>
      </c>
      <c r="L996" s="12" t="n">
        <v>45949</v>
      </c>
      <c r="M996" s="12" t="n">
        <v>44907</v>
      </c>
      <c r="N996" s="13" t="inlineStr"/>
      <c r="O996" s="13" t="inlineStr"/>
      <c r="P996" s="12" t="n"/>
    </row>
    <row r="997" ht="66" customHeight="1">
      <c r="A997" s="15" t="n">
        <v>30378</v>
      </c>
      <c r="B997" s="16" t="n">
        <v>44608</v>
      </c>
      <c r="C997" s="15" t="inlineStr">
        <is>
          <t>Registered Nurse</t>
        </is>
      </c>
      <c r="D997" s="15" t="inlineStr">
        <is>
          <t>NSW Nurse EA</t>
        </is>
      </c>
      <c r="E997" s="15" t="inlineStr">
        <is>
          <t>PP - Part-time Waged</t>
        </is>
      </c>
      <c r="F997" s="15" t="inlineStr">
        <is>
          <t>Day Hospitals</t>
        </is>
      </c>
      <c r="G997" s="15" t="inlineStr">
        <is>
          <t>New South Wales</t>
        </is>
      </c>
      <c r="H997" s="17" t="inlineStr">
        <is>
          <t>48.00</t>
        </is>
      </c>
      <c r="I997" s="15" t="inlineStr">
        <is>
          <t>North Shore Specialist Day Hospital Pty Ltd</t>
        </is>
      </c>
      <c r="J997" s="18" t="n">
        <v>59.37</v>
      </c>
      <c r="K997" s="17" t="inlineStr">
        <is>
          <t>59.37</t>
        </is>
      </c>
      <c r="L997" s="16" t="n">
        <v>45949</v>
      </c>
      <c r="M997" s="16" t="n">
        <v>44608</v>
      </c>
      <c r="N997" s="17" t="inlineStr"/>
      <c r="O997" s="17" t="inlineStr"/>
      <c r="P997" s="16" t="n"/>
    </row>
    <row r="998" ht="39.6" customHeight="1">
      <c r="A998" s="11" t="n">
        <v>20288</v>
      </c>
      <c r="B998" s="12" t="n">
        <v>41043</v>
      </c>
      <c r="C998" s="11" t="inlineStr">
        <is>
          <t>Embryologist</t>
        </is>
      </c>
      <c r="D998" s="11" t="inlineStr">
        <is>
          <t>IVFA Scientists EA</t>
        </is>
      </c>
      <c r="E998" s="11" t="inlineStr">
        <is>
          <t>PP - Part-time Waged</t>
        </is>
      </c>
      <c r="F998" s="11" t="inlineStr">
        <is>
          <t>IVFA</t>
        </is>
      </c>
      <c r="G998" s="11" t="inlineStr">
        <is>
          <t>New South Wales</t>
        </is>
      </c>
      <c r="H998" s="13" t="inlineStr">
        <is>
          <t>44.50</t>
        </is>
      </c>
      <c r="I998" s="11" t="inlineStr">
        <is>
          <t>IVF Australia Pty Ltd</t>
        </is>
      </c>
      <c r="J998" s="14" t="n">
        <v>172.04</v>
      </c>
      <c r="K998" s="13" t="inlineStr">
        <is>
          <t>59.73</t>
        </is>
      </c>
      <c r="L998" s="12" t="n">
        <v>45949</v>
      </c>
      <c r="M998" s="12" t="n">
        <v>44695</v>
      </c>
      <c r="N998" s="13" t="inlineStr">
        <is>
          <t>291.06</t>
        </is>
      </c>
      <c r="O998" s="13" t="inlineStr">
        <is>
          <t>178.75</t>
        </is>
      </c>
      <c r="P998" s="12" t="n"/>
    </row>
    <row r="999" ht="66" customHeight="1">
      <c r="A999" s="15" t="inlineStr">
        <is>
          <t>AU23042</t>
        </is>
      </c>
      <c r="B999" s="16" t="n">
        <v>45264</v>
      </c>
      <c r="C999" s="15" t="inlineStr">
        <is>
          <t>CSSD Tech</t>
        </is>
      </c>
      <c r="D999" s="15" t="inlineStr">
        <is>
          <t>NSW Support Services EA</t>
        </is>
      </c>
      <c r="E999" s="15" t="inlineStr">
        <is>
          <t>FT - Full-time Waged</t>
        </is>
      </c>
      <c r="F999" s="15" t="inlineStr">
        <is>
          <t>Day Hospitals</t>
        </is>
      </c>
      <c r="G999" s="15" t="inlineStr">
        <is>
          <t>New South Wales</t>
        </is>
      </c>
      <c r="H999" s="17" t="inlineStr">
        <is>
          <t>76.00</t>
        </is>
      </c>
      <c r="I999" s="15" t="inlineStr">
        <is>
          <t>Alexandria Specialist Day Hospital Pty Ltd</t>
        </is>
      </c>
      <c r="J999" s="18" t="n">
        <v>60.25</v>
      </c>
      <c r="K999" s="17" t="inlineStr">
        <is>
          <t>60.25</t>
        </is>
      </c>
      <c r="L999" s="16" t="n">
        <v>45949</v>
      </c>
      <c r="M999" s="16" t="n">
        <v>45264</v>
      </c>
      <c r="N999" s="17" t="inlineStr"/>
      <c r="O999" s="17" t="inlineStr"/>
      <c r="P999" s="16" t="n"/>
    </row>
    <row r="1000" ht="39.6" customHeight="1">
      <c r="A1000" s="11" t="inlineStr">
        <is>
          <t>AU22877</t>
        </is>
      </c>
      <c r="B1000" s="12" t="n">
        <v>45082</v>
      </c>
      <c r="C1000" s="11" t="inlineStr">
        <is>
          <t>Administration Clerk</t>
        </is>
      </c>
      <c r="D1000" s="11" t="inlineStr">
        <is>
          <t>NSW Support Services EA</t>
        </is>
      </c>
      <c r="E1000" s="11" t="inlineStr">
        <is>
          <t>PP - Part-time Waged</t>
        </is>
      </c>
      <c r="F1000" s="11" t="inlineStr">
        <is>
          <t>Day Hospitals</t>
        </is>
      </c>
      <c r="G1000" s="11" t="inlineStr">
        <is>
          <t>New South Wales</t>
        </is>
      </c>
      <c r="H1000" s="13" t="inlineStr">
        <is>
          <t>48.00</t>
        </is>
      </c>
      <c r="I1000" s="11" t="inlineStr">
        <is>
          <t>City West Day Surgery</t>
        </is>
      </c>
      <c r="J1000" s="14" t="n">
        <v>60.76</v>
      </c>
      <c r="K1000" s="13" t="inlineStr">
        <is>
          <t>60.76</t>
        </is>
      </c>
      <c r="L1000" s="12" t="n">
        <v>45949</v>
      </c>
      <c r="M1000" s="12" t="n">
        <v>45082</v>
      </c>
      <c r="N1000" s="13" t="inlineStr"/>
      <c r="O1000" s="13" t="inlineStr"/>
      <c r="P1000" s="12" t="n"/>
    </row>
    <row r="1001" ht="39.6" customHeight="1">
      <c r="A1001" s="15" t="n">
        <v>20324</v>
      </c>
      <c r="B1001" s="16" t="n">
        <v>41277</v>
      </c>
      <c r="C1001" s="15" t="inlineStr">
        <is>
          <t>Enrolled Nurse</t>
        </is>
      </c>
      <c r="D1001" s="15" t="inlineStr">
        <is>
          <t>NSW Nurse EA</t>
        </is>
      </c>
      <c r="E1001" s="15" t="inlineStr">
        <is>
          <t>PP - Part-time Waged</t>
        </is>
      </c>
      <c r="F1001" s="15" t="inlineStr">
        <is>
          <t>The Fertility Centre</t>
        </is>
      </c>
      <c r="G1001" s="15" t="inlineStr">
        <is>
          <t>New South Wales</t>
        </is>
      </c>
      <c r="H1001" s="17" t="inlineStr">
        <is>
          <t>72.00</t>
        </is>
      </c>
      <c r="I1001" s="15" t="inlineStr">
        <is>
          <t>IVF Australia Pty Ltd</t>
        </is>
      </c>
      <c r="J1001" s="18" t="n">
        <v>338.92</v>
      </c>
      <c r="K1001" s="17" t="inlineStr">
        <is>
          <t>61.12</t>
        </is>
      </c>
      <c r="L1001" s="16" t="n">
        <v>45949</v>
      </c>
      <c r="M1001" s="16" t="n">
        <v>44929</v>
      </c>
      <c r="N1001" s="17" t="inlineStr">
        <is>
          <t>312.80</t>
        </is>
      </c>
      <c r="O1001" s="17" t="inlineStr">
        <is>
          <t>35.00</t>
        </is>
      </c>
      <c r="P1001" s="16" t="n"/>
    </row>
    <row r="1002" ht="39.6" customHeight="1">
      <c r="A1002" s="11" t="inlineStr">
        <is>
          <t>AU23025</t>
        </is>
      </c>
      <c r="B1002" s="12" t="n">
        <v>45250</v>
      </c>
      <c r="C1002" s="11" t="inlineStr">
        <is>
          <t xml:space="preserve"> Embryologist</t>
        </is>
      </c>
      <c r="D1002" s="11" t="inlineStr">
        <is>
          <t>IVFA Scientists EA</t>
        </is>
      </c>
      <c r="E1002" s="11" t="inlineStr">
        <is>
          <t>FT - Full-time Waged</t>
        </is>
      </c>
      <c r="F1002" s="11" t="inlineStr">
        <is>
          <t>IVFA</t>
        </is>
      </c>
      <c r="G1002" s="11" t="inlineStr">
        <is>
          <t>New South Wales</t>
        </is>
      </c>
      <c r="H1002" s="13" t="inlineStr">
        <is>
          <t>76.00</t>
        </is>
      </c>
      <c r="I1002" s="11" t="inlineStr">
        <is>
          <t>IVF Australia Pty Ltd</t>
        </is>
      </c>
      <c r="J1002" s="14" t="n">
        <v>61.97</v>
      </c>
      <c r="K1002" s="13" t="inlineStr">
        <is>
          <t>61.97</t>
        </is>
      </c>
      <c r="L1002" s="12" t="n">
        <v>45949</v>
      </c>
      <c r="M1002" s="12" t="n">
        <v>45250</v>
      </c>
      <c r="N1002" s="13" t="inlineStr"/>
      <c r="O1002" s="13" t="inlineStr"/>
      <c r="P1002" s="12" t="n"/>
    </row>
    <row r="1003" ht="52.8" customHeight="1">
      <c r="A1003" s="15" t="inlineStr">
        <is>
          <t>AU23035</t>
        </is>
      </c>
      <c r="B1003" s="16" t="n">
        <v>45264</v>
      </c>
      <c r="C1003" s="15" t="inlineStr">
        <is>
          <t>Service Desk Operator</t>
        </is>
      </c>
      <c r="D1003" s="15" t="inlineStr">
        <is>
          <t>Common Law Employment Contract</t>
        </is>
      </c>
      <c r="E1003" s="15" t="inlineStr">
        <is>
          <t>FP - Full-time Salaried</t>
        </is>
      </c>
      <c r="F1003" s="15" t="inlineStr">
        <is>
          <t>Corporate Services</t>
        </is>
      </c>
      <c r="G1003" s="15" t="inlineStr">
        <is>
          <t>Victoria</t>
        </is>
      </c>
      <c r="H1003" s="17" t="inlineStr">
        <is>
          <t>76.00</t>
        </is>
      </c>
      <c r="I1003" s="15" t="inlineStr">
        <is>
          <t>IVF Australia Pty Ltd</t>
        </is>
      </c>
      <c r="J1003" s="18" t="n">
        <v>62.19</v>
      </c>
      <c r="K1003" s="17" t="inlineStr">
        <is>
          <t>62.19</t>
        </is>
      </c>
      <c r="L1003" s="16" t="n">
        <v>45949</v>
      </c>
      <c r="M1003" s="16" t="n">
        <v>45264</v>
      </c>
      <c r="N1003" s="17" t="inlineStr"/>
      <c r="O1003" s="17" t="inlineStr"/>
      <c r="P1003" s="16" t="n"/>
    </row>
    <row r="1004" ht="52.8" customHeight="1">
      <c r="A1004" s="11" t="inlineStr">
        <is>
          <t>AU23051</t>
        </is>
      </c>
      <c r="B1004" s="12" t="n">
        <v>45261</v>
      </c>
      <c r="C1004" s="11" t="inlineStr">
        <is>
          <t>CEO</t>
        </is>
      </c>
      <c r="D1004" s="11" t="inlineStr">
        <is>
          <t>Common Law Employment Contract</t>
        </is>
      </c>
      <c r="E1004" s="11" t="inlineStr">
        <is>
          <t>FP - Full-time Salaried</t>
        </is>
      </c>
      <c r="F1004" s="11" t="inlineStr">
        <is>
          <t>Corporate Services</t>
        </is>
      </c>
      <c r="G1004" s="11" t="inlineStr">
        <is>
          <t>New South Wales</t>
        </is>
      </c>
      <c r="H1004" s="13" t="inlineStr">
        <is>
          <t>76.00</t>
        </is>
      </c>
      <c r="I1004" s="11" t="inlineStr">
        <is>
          <t>IVF Australia Pty Ltd</t>
        </is>
      </c>
      <c r="J1004" s="14" t="n">
        <v>62.19</v>
      </c>
      <c r="K1004" s="13" t="inlineStr">
        <is>
          <t>62.19</t>
        </is>
      </c>
      <c r="L1004" s="12" t="n">
        <v>45949</v>
      </c>
      <c r="M1004" s="12" t="n">
        <v>45261</v>
      </c>
      <c r="N1004" s="13" t="inlineStr"/>
      <c r="O1004" s="13" t="inlineStr"/>
      <c r="P1004" s="12" t="n"/>
    </row>
    <row r="1005" ht="26.4" customHeight="1">
      <c r="A1005" s="15" t="inlineStr">
        <is>
          <t>AU23496</t>
        </is>
      </c>
      <c r="B1005" s="16" t="n">
        <v>45685</v>
      </c>
      <c r="C1005" s="15" t="inlineStr">
        <is>
          <t>Registered Nurse</t>
        </is>
      </c>
      <c r="D1005" s="15" t="inlineStr">
        <is>
          <t>NSW Nurse EA</t>
        </is>
      </c>
      <c r="E1005" s="15" t="inlineStr">
        <is>
          <t>CO - Contract</t>
        </is>
      </c>
      <c r="F1005" s="15" t="inlineStr">
        <is>
          <t>Day Hospitals</t>
        </is>
      </c>
      <c r="G1005" s="15" t="inlineStr">
        <is>
          <t>New South Wales</t>
        </is>
      </c>
      <c r="H1005" s="17" t="inlineStr">
        <is>
          <t>76.00</t>
        </is>
      </c>
      <c r="I1005" s="15" t="inlineStr">
        <is>
          <t>City West Day Surgery</t>
        </is>
      </c>
      <c r="J1005" s="18" t="n">
        <v>62.26</v>
      </c>
      <c r="K1005" s="17" t="inlineStr">
        <is>
          <t>62.26</t>
        </is>
      </c>
      <c r="L1005" s="16" t="n">
        <v>45949</v>
      </c>
      <c r="M1005" s="16" t="n">
        <v>44643</v>
      </c>
      <c r="N1005" s="17" t="inlineStr"/>
      <c r="O1005" s="17" t="inlineStr"/>
      <c r="P1005" s="16" t="n"/>
    </row>
    <row r="1006" ht="39.6" customHeight="1">
      <c r="A1006" s="11" t="n">
        <v>20292</v>
      </c>
      <c r="B1006" s="12" t="n">
        <v>41064</v>
      </c>
      <c r="C1006" s="11" t="inlineStr">
        <is>
          <t>Embryologist</t>
        </is>
      </c>
      <c r="D1006" s="11" t="inlineStr">
        <is>
          <t>IVFA Scientists EA</t>
        </is>
      </c>
      <c r="E1006" s="11" t="inlineStr">
        <is>
          <t>PP - Part-time Waged</t>
        </is>
      </c>
      <c r="F1006" s="11" t="inlineStr">
        <is>
          <t>IVFA</t>
        </is>
      </c>
      <c r="G1006" s="11" t="inlineStr">
        <is>
          <t>New South Wales</t>
        </is>
      </c>
      <c r="H1006" s="13" t="inlineStr">
        <is>
          <t>55.50</t>
        </is>
      </c>
      <c r="I1006" s="11" t="inlineStr">
        <is>
          <t>IVF Australia Pty Ltd</t>
        </is>
      </c>
      <c r="J1006" s="14" t="n">
        <v>142.79</v>
      </c>
      <c r="K1006" s="13" t="inlineStr">
        <is>
          <t>62.56</t>
        </is>
      </c>
      <c r="L1006" s="12" t="n">
        <v>45949</v>
      </c>
      <c r="M1006" s="12" t="n">
        <v>44716</v>
      </c>
      <c r="N1006" s="13" t="inlineStr">
        <is>
          <t>302.23</t>
        </is>
      </c>
      <c r="O1006" s="13" t="inlineStr">
        <is>
          <t>222.00</t>
        </is>
      </c>
      <c r="P1006" s="12" t="n"/>
    </row>
    <row r="1007" ht="52.8" customHeight="1">
      <c r="A1007" s="15" t="inlineStr">
        <is>
          <t>AU22886</t>
        </is>
      </c>
      <c r="B1007" s="16" t="n">
        <v>45089</v>
      </c>
      <c r="C1007" s="15" t="inlineStr">
        <is>
          <t>Embryologist</t>
        </is>
      </c>
      <c r="D1007" s="15" t="inlineStr">
        <is>
          <t>QLD Scientists EA</t>
        </is>
      </c>
      <c r="E1007" s="15" t="inlineStr">
        <is>
          <t>PP - Part-time Waged</t>
        </is>
      </c>
      <c r="F1007" s="15" t="inlineStr">
        <is>
          <t>Queensland Fertility Group</t>
        </is>
      </c>
      <c r="G1007" s="15" t="inlineStr">
        <is>
          <t>Queensland</t>
        </is>
      </c>
      <c r="H1007" s="17" t="inlineStr">
        <is>
          <t>45.60</t>
        </is>
      </c>
      <c r="I1007" s="15" t="inlineStr">
        <is>
          <t>Queensland Fertility Group Pty Ltd</t>
        </is>
      </c>
      <c r="J1007" s="18" t="n">
        <v>62.62</v>
      </c>
      <c r="K1007" s="17" t="inlineStr">
        <is>
          <t>62.62</t>
        </is>
      </c>
      <c r="L1007" s="16" t="n">
        <v>45949</v>
      </c>
      <c r="M1007" s="16" t="n">
        <v>45089</v>
      </c>
      <c r="N1007" s="17" t="inlineStr"/>
      <c r="O1007" s="17" t="inlineStr"/>
      <c r="P1007" s="16" t="n"/>
    </row>
    <row r="1008" ht="39.6" customHeight="1">
      <c r="A1008" s="11" t="inlineStr">
        <is>
          <t>AU23009</t>
        </is>
      </c>
      <c r="B1008" s="12" t="n">
        <v>45244</v>
      </c>
      <c r="C1008" s="11" t="inlineStr">
        <is>
          <t>Pracrtice Manager</t>
        </is>
      </c>
      <c r="D1008" s="11" t="inlineStr">
        <is>
          <t>NSW Support Services EA</t>
        </is>
      </c>
      <c r="E1008" s="11" t="inlineStr">
        <is>
          <t>FT - Full-time Waged</t>
        </is>
      </c>
      <c r="F1008" s="11" t="inlineStr">
        <is>
          <t>IVFA</t>
        </is>
      </c>
      <c r="G1008" s="11" t="inlineStr">
        <is>
          <t>New South Wales</t>
        </is>
      </c>
      <c r="H1008" s="13" t="inlineStr">
        <is>
          <t>76.00</t>
        </is>
      </c>
      <c r="I1008" s="11" t="inlineStr">
        <is>
          <t>IVF Australia Pty Ltd</t>
        </is>
      </c>
      <c r="J1008" s="14" t="n">
        <v>62.85</v>
      </c>
      <c r="K1008" s="13" t="inlineStr">
        <is>
          <t>62.85</t>
        </is>
      </c>
      <c r="L1008" s="12" t="n">
        <v>45949</v>
      </c>
      <c r="M1008" s="12" t="n">
        <v>45244</v>
      </c>
      <c r="N1008" s="13" t="inlineStr"/>
      <c r="O1008" s="13" t="inlineStr"/>
      <c r="P1008" s="12" t="n"/>
    </row>
    <row r="1009" ht="79.2" customHeight="1">
      <c r="A1009" s="15" t="n">
        <v>80079</v>
      </c>
      <c r="B1009" s="16" t="n">
        <v>39496</v>
      </c>
      <c r="C1009" s="15" t="inlineStr">
        <is>
          <t>Phlebotomist</t>
        </is>
      </c>
      <c r="D1009" s="15" t="inlineStr">
        <is>
          <t>Health Professionals and Support Services Award</t>
        </is>
      </c>
      <c r="E1009" s="15" t="inlineStr">
        <is>
          <t>FT - Full-time Waged</t>
        </is>
      </c>
      <c r="F1009" s="15" t="inlineStr">
        <is>
          <t>Queensland Fertility Group</t>
        </is>
      </c>
      <c r="G1009" s="15" t="inlineStr">
        <is>
          <t>Queensland</t>
        </is>
      </c>
      <c r="H1009" s="17" t="inlineStr">
        <is>
          <t>76.00</t>
        </is>
      </c>
      <c r="I1009" s="15" t="inlineStr">
        <is>
          <t>Queensland Fertility Group Pty Ltd</t>
        </is>
      </c>
      <c r="J1009" s="18" t="n">
        <v>35.62</v>
      </c>
      <c r="K1009" s="17" t="inlineStr">
        <is>
          <t>63.41</t>
        </is>
      </c>
      <c r="L1009" s="16" t="n">
        <v>45949</v>
      </c>
      <c r="M1009" s="16" t="n">
        <v>45340</v>
      </c>
      <c r="N1009" s="17" t="inlineStr">
        <is>
          <t>48.21</t>
        </is>
      </c>
      <c r="O1009" s="17" t="inlineStr">
        <is>
          <t>76.00</t>
        </is>
      </c>
      <c r="P1009" s="16" t="n"/>
    </row>
    <row r="1010" ht="66" customHeight="1">
      <c r="A1010" s="11" t="n">
        <v>50217</v>
      </c>
      <c r="B1010" s="12" t="n">
        <v>44704</v>
      </c>
      <c r="C1010" s="11" t="inlineStr">
        <is>
          <t>Registered Nurse</t>
        </is>
      </c>
      <c r="D1010" s="11" t="inlineStr">
        <is>
          <t>NSW Nurse EA</t>
        </is>
      </c>
      <c r="E1010" s="11" t="inlineStr">
        <is>
          <t>CA - Casual</t>
        </is>
      </c>
      <c r="F1010" s="11" t="inlineStr">
        <is>
          <t>Day Hospitals</t>
        </is>
      </c>
      <c r="G1010" s="11" t="inlineStr">
        <is>
          <t>New South Wales</t>
        </is>
      </c>
      <c r="H1010" s="13" t="inlineStr"/>
      <c r="I1010" s="11" t="inlineStr">
        <is>
          <t>Alexandria Specialist Day Hospital Pty Ltd</t>
        </is>
      </c>
      <c r="J1010" s="14" t="n">
        <v>63.48</v>
      </c>
      <c r="K1010" s="13" t="inlineStr">
        <is>
          <t>63.48</t>
        </is>
      </c>
      <c r="L1010" s="12" t="n">
        <v>45739</v>
      </c>
      <c r="M1010" s="12" t="n">
        <v>44704</v>
      </c>
      <c r="N1010" s="13" t="inlineStr"/>
      <c r="O1010" s="13" t="inlineStr"/>
      <c r="P1010" s="12" t="n"/>
    </row>
    <row r="1011" ht="39.6" customHeight="1">
      <c r="A1011" s="15" t="inlineStr">
        <is>
          <t>AU22665</t>
        </is>
      </c>
      <c r="B1011" s="16" t="n">
        <v>44893</v>
      </c>
      <c r="C1011" s="15" t="inlineStr">
        <is>
          <t>Registered Nurse</t>
        </is>
      </c>
      <c r="D1011" s="15" t="inlineStr">
        <is>
          <t>NSW Nurse EA</t>
        </is>
      </c>
      <c r="E1011" s="15" t="inlineStr">
        <is>
          <t>PP - Part-time Waged</t>
        </is>
      </c>
      <c r="F1011" s="15" t="inlineStr">
        <is>
          <t>IVFA</t>
        </is>
      </c>
      <c r="G1011" s="15" t="inlineStr">
        <is>
          <t>New South Wales</t>
        </is>
      </c>
      <c r="H1011" s="17" t="inlineStr">
        <is>
          <t>57.00</t>
        </is>
      </c>
      <c r="I1011" s="15" t="inlineStr">
        <is>
          <t>IVF Australia Pty Ltd</t>
        </is>
      </c>
      <c r="J1011" s="18" t="n">
        <v>63.6</v>
      </c>
      <c r="K1011" s="17" t="inlineStr">
        <is>
          <t>63.60</t>
        </is>
      </c>
      <c r="L1011" s="16" t="n">
        <v>45949</v>
      </c>
      <c r="M1011" s="16" t="n">
        <v>44893</v>
      </c>
      <c r="N1011" s="17" t="inlineStr"/>
      <c r="O1011" s="17" t="inlineStr"/>
      <c r="P1011" s="16" t="n"/>
    </row>
    <row r="1012" ht="52.8" customHeight="1">
      <c r="A1012" s="11" t="inlineStr">
        <is>
          <t>AU22735</t>
        </is>
      </c>
      <c r="B1012" s="12" t="n">
        <v>44963</v>
      </c>
      <c r="C1012" s="11" t="inlineStr">
        <is>
          <t>Registered Nurse</t>
        </is>
      </c>
      <c r="D1012" s="11" t="inlineStr">
        <is>
          <t>QLD Nurse EA</t>
        </is>
      </c>
      <c r="E1012" s="11" t="inlineStr">
        <is>
          <t>CA - Casual</t>
        </is>
      </c>
      <c r="F1012" s="11" t="inlineStr">
        <is>
          <t>Day Hospitals</t>
        </is>
      </c>
      <c r="G1012" s="11" t="inlineStr">
        <is>
          <t>Queensland</t>
        </is>
      </c>
      <c r="H1012" s="13" t="inlineStr"/>
      <c r="I1012" s="11" t="inlineStr">
        <is>
          <t>MACKAY Specialist Day Hospital</t>
        </is>
      </c>
      <c r="J1012" s="14" t="n">
        <v>65.15000000000001</v>
      </c>
      <c r="K1012" s="13" t="inlineStr">
        <is>
          <t>65.15</t>
        </is>
      </c>
      <c r="L1012" s="12" t="n">
        <v>45949</v>
      </c>
      <c r="M1012" s="12" t="n">
        <v>44963</v>
      </c>
      <c r="N1012" s="13" t="inlineStr"/>
      <c r="O1012" s="13" t="inlineStr"/>
      <c r="P1012" s="12" t="n"/>
    </row>
    <row r="1013" ht="66" customHeight="1">
      <c r="A1013" s="15" t="inlineStr">
        <is>
          <t>AU22650</t>
        </is>
      </c>
      <c r="B1013" s="16" t="n">
        <v>44881</v>
      </c>
      <c r="C1013" s="15" t="inlineStr">
        <is>
          <t>Senior People &amp; Culture Business Partner</t>
        </is>
      </c>
      <c r="D1013" s="15" t="inlineStr">
        <is>
          <t>Common Law Employment Contract</t>
        </is>
      </c>
      <c r="E1013" s="15" t="inlineStr">
        <is>
          <t>FP - Full-time Salaried</t>
        </is>
      </c>
      <c r="F1013" s="15" t="inlineStr">
        <is>
          <t>Corporate Services</t>
        </is>
      </c>
      <c r="G1013" s="15" t="inlineStr">
        <is>
          <t>Victoria</t>
        </is>
      </c>
      <c r="H1013" s="17" t="inlineStr">
        <is>
          <t>76.00</t>
        </is>
      </c>
      <c r="I1013" s="15" t="inlineStr">
        <is>
          <t>IVF Australia Pty Ltd</t>
        </is>
      </c>
      <c r="J1013" s="18" t="n">
        <v>65.62</v>
      </c>
      <c r="K1013" s="17" t="inlineStr">
        <is>
          <t>65.62</t>
        </is>
      </c>
      <c r="L1013" s="16" t="n">
        <v>45949</v>
      </c>
      <c r="M1013" s="16" t="n">
        <v>44881</v>
      </c>
      <c r="N1013" s="17" t="inlineStr"/>
      <c r="O1013" s="17" t="inlineStr"/>
      <c r="P1013" s="16" t="n"/>
    </row>
    <row r="1014" ht="39.6" customHeight="1">
      <c r="A1014" s="11" t="n">
        <v>20367</v>
      </c>
      <c r="B1014" s="12" t="n">
        <v>41575</v>
      </c>
      <c r="C1014" s="11" t="inlineStr">
        <is>
          <t>Embryologist</t>
        </is>
      </c>
      <c r="D1014" s="11" t="inlineStr">
        <is>
          <t>IVFA Scientists EA</t>
        </is>
      </c>
      <c r="E1014" s="11" t="inlineStr">
        <is>
          <t>FT - Full-time Waged</t>
        </is>
      </c>
      <c r="F1014" s="11" t="inlineStr">
        <is>
          <t>IVFA</t>
        </is>
      </c>
      <c r="G1014" s="11" t="inlineStr">
        <is>
          <t>New South Wales</t>
        </is>
      </c>
      <c r="H1014" s="13" t="inlineStr">
        <is>
          <t>76.00</t>
        </is>
      </c>
      <c r="I1014" s="11" t="inlineStr">
        <is>
          <t>IVF Australia Pty Ltd</t>
        </is>
      </c>
      <c r="J1014" s="14" t="n">
        <v>243.77</v>
      </c>
      <c r="K1014" s="13" t="inlineStr">
        <is>
          <t>65.92</t>
        </is>
      </c>
      <c r="L1014" s="12" t="n">
        <v>45949</v>
      </c>
      <c r="M1014" s="12" t="n">
        <v>45222</v>
      </c>
      <c r="N1014" s="13" t="inlineStr">
        <is>
          <t>327.85</t>
        </is>
      </c>
      <c r="O1014" s="13" t="inlineStr">
        <is>
          <t>150.00</t>
        </is>
      </c>
      <c r="P1014" s="12" t="n"/>
    </row>
    <row r="1015" ht="66" customHeight="1">
      <c r="A1015" s="15" t="inlineStr">
        <is>
          <t>AU23721</t>
        </is>
      </c>
      <c r="B1015" s="16" t="n">
        <v>45866</v>
      </c>
      <c r="C1015" s="15" t="inlineStr">
        <is>
          <t>National Business Developement Manager</t>
        </is>
      </c>
      <c r="D1015" s="15" t="inlineStr">
        <is>
          <t>Common Law Employment Contract</t>
        </is>
      </c>
      <c r="E1015" s="15" t="inlineStr">
        <is>
          <t>FP - Full-time Salaried</t>
        </is>
      </c>
      <c r="F1015" s="15" t="inlineStr">
        <is>
          <t>Corporate Services</t>
        </is>
      </c>
      <c r="G1015" s="15" t="inlineStr">
        <is>
          <t>Victoria</t>
        </is>
      </c>
      <c r="H1015" s="17" t="inlineStr">
        <is>
          <t>76.00</t>
        </is>
      </c>
      <c r="I1015" s="15" t="inlineStr">
        <is>
          <t>IVF Australia Pty Ltd</t>
        </is>
      </c>
      <c r="J1015" s="18" t="n">
        <v>66.79000000000001</v>
      </c>
      <c r="K1015" s="17" t="inlineStr">
        <is>
          <t>66.79</t>
        </is>
      </c>
      <c r="L1015" s="16" t="n">
        <v>45949</v>
      </c>
      <c r="M1015" s="16" t="n">
        <v>45355</v>
      </c>
      <c r="N1015" s="17" t="inlineStr"/>
      <c r="O1015" s="17" t="inlineStr"/>
      <c r="P1015" s="16" t="n"/>
    </row>
    <row r="1016" ht="79.2" customHeight="1">
      <c r="A1016" s="11" t="inlineStr">
        <is>
          <t>AU22998</t>
        </is>
      </c>
      <c r="B1016" s="12" t="n">
        <v>45210</v>
      </c>
      <c r="C1016" s="11" t="inlineStr">
        <is>
          <t>Genetics Scientist</t>
        </is>
      </c>
      <c r="D1016" s="11" t="inlineStr">
        <is>
          <t>Health Professionals and Support Services Award</t>
        </is>
      </c>
      <c r="E1016" s="11" t="inlineStr">
        <is>
          <t>FT - Full-time Waged</t>
        </is>
      </c>
      <c r="F1016" s="11" t="inlineStr">
        <is>
          <t>Diagnostics</t>
        </is>
      </c>
      <c r="G1016" s="11" t="inlineStr">
        <is>
          <t>New South Wales</t>
        </is>
      </c>
      <c r="H1016" s="13" t="inlineStr">
        <is>
          <t>76.00</t>
        </is>
      </c>
      <c r="I1016" s="11" t="inlineStr">
        <is>
          <t>Virtus Health Specialist Diagnostics</t>
        </is>
      </c>
      <c r="J1016" s="14" t="n">
        <v>67.01000000000001</v>
      </c>
      <c r="K1016" s="13" t="inlineStr">
        <is>
          <t>67.01</t>
        </is>
      </c>
      <c r="L1016" s="12" t="n">
        <v>45949</v>
      </c>
      <c r="M1016" s="12" t="n">
        <v>45210</v>
      </c>
      <c r="N1016" s="13" t="inlineStr"/>
      <c r="O1016" s="13" t="inlineStr"/>
      <c r="P1016" s="12" t="n"/>
    </row>
    <row r="1017" ht="39.6" customHeight="1">
      <c r="A1017" s="15" t="inlineStr">
        <is>
          <t>AU22653</t>
        </is>
      </c>
      <c r="B1017" s="16" t="n">
        <v>44874</v>
      </c>
      <c r="C1017" s="15" t="inlineStr">
        <is>
          <t>Registered Nurse</t>
        </is>
      </c>
      <c r="D1017" s="15" t="inlineStr">
        <is>
          <t>NSW Nurse EA</t>
        </is>
      </c>
      <c r="E1017" s="15" t="inlineStr">
        <is>
          <t>FT - Full-time Waged</t>
        </is>
      </c>
      <c r="F1017" s="15" t="inlineStr">
        <is>
          <t>IVFA</t>
        </is>
      </c>
      <c r="G1017" s="15" t="inlineStr">
        <is>
          <t>New South Wales</t>
        </is>
      </c>
      <c r="H1017" s="17" t="inlineStr">
        <is>
          <t>76.00</t>
        </is>
      </c>
      <c r="I1017" s="15" t="inlineStr">
        <is>
          <t>IVF Australia Pty Ltd</t>
        </is>
      </c>
      <c r="J1017" s="18" t="n">
        <v>67.14</v>
      </c>
      <c r="K1017" s="17" t="inlineStr">
        <is>
          <t>67.14</t>
        </is>
      </c>
      <c r="L1017" s="16" t="n">
        <v>45949</v>
      </c>
      <c r="M1017" s="16" t="n">
        <v>44874</v>
      </c>
      <c r="N1017" s="17" t="inlineStr"/>
      <c r="O1017" s="17" t="inlineStr"/>
      <c r="P1017" s="16" t="n"/>
    </row>
    <row r="1018" ht="79.2" customHeight="1">
      <c r="A1018" s="11" t="inlineStr">
        <is>
          <t>AU22997</t>
        </is>
      </c>
      <c r="B1018" s="12" t="n">
        <v>45208</v>
      </c>
      <c r="C1018" s="11" t="inlineStr">
        <is>
          <t>Bioinformation</t>
        </is>
      </c>
      <c r="D1018" s="11" t="inlineStr">
        <is>
          <t>Health Professionals and Support Services Award</t>
        </is>
      </c>
      <c r="E1018" s="11" t="inlineStr">
        <is>
          <t>FT - Full-time Waged</t>
        </is>
      </c>
      <c r="F1018" s="11" t="inlineStr">
        <is>
          <t>Diagnostics</t>
        </is>
      </c>
      <c r="G1018" s="11" t="inlineStr">
        <is>
          <t>New South Wales</t>
        </is>
      </c>
      <c r="H1018" s="13" t="inlineStr">
        <is>
          <t>76.00</t>
        </is>
      </c>
      <c r="I1018" s="11" t="inlineStr">
        <is>
          <t>Virtus Health Specialist Diagnostics</t>
        </is>
      </c>
      <c r="J1018" s="14" t="n">
        <v>67.31</v>
      </c>
      <c r="K1018" s="13" t="inlineStr">
        <is>
          <t>67.31</t>
        </is>
      </c>
      <c r="L1018" s="12" t="n">
        <v>45949</v>
      </c>
      <c r="M1018" s="12" t="n">
        <v>45208</v>
      </c>
      <c r="N1018" s="13" t="inlineStr"/>
      <c r="O1018" s="13" t="inlineStr"/>
      <c r="P1018" s="12" t="n"/>
    </row>
    <row r="1019" ht="52.8" customHeight="1">
      <c r="A1019" s="15" t="inlineStr">
        <is>
          <t>AU22970</t>
        </is>
      </c>
      <c r="B1019" s="16" t="n">
        <v>45180</v>
      </c>
      <c r="C1019" s="15" t="inlineStr">
        <is>
          <t>Accounts Receivable Officer</t>
        </is>
      </c>
      <c r="D1019" s="15" t="inlineStr">
        <is>
          <t>Common Law Employment Contract</t>
        </is>
      </c>
      <c r="E1019" s="15" t="inlineStr">
        <is>
          <t>FP - Full-time Salaried</t>
        </is>
      </c>
      <c r="F1019" s="15" t="inlineStr">
        <is>
          <t>Diagnostics</t>
        </is>
      </c>
      <c r="G1019" s="15" t="inlineStr">
        <is>
          <t>Queensland</t>
        </is>
      </c>
      <c r="H1019" s="17" t="inlineStr">
        <is>
          <t>76.00</t>
        </is>
      </c>
      <c r="I1019" s="15" t="inlineStr">
        <is>
          <t>Queensland Fertility Group Pty Ltd</t>
        </is>
      </c>
      <c r="J1019" s="18" t="n">
        <v>67.47</v>
      </c>
      <c r="K1019" s="17" t="inlineStr">
        <is>
          <t>67.47</t>
        </is>
      </c>
      <c r="L1019" s="16" t="n">
        <v>45949</v>
      </c>
      <c r="M1019" s="16" t="n">
        <v>45180</v>
      </c>
      <c r="N1019" s="17" t="inlineStr"/>
      <c r="O1019" s="17" t="inlineStr"/>
      <c r="P1019" s="16" t="n"/>
    </row>
    <row r="1020" ht="52.8" customHeight="1">
      <c r="A1020" s="11" t="inlineStr">
        <is>
          <t>AU23251</t>
        </is>
      </c>
      <c r="B1020" s="12" t="n">
        <v>45449</v>
      </c>
      <c r="C1020" s="11" t="inlineStr">
        <is>
          <t xml:space="preserve"> Embryologist</t>
        </is>
      </c>
      <c r="D1020" s="11" t="inlineStr">
        <is>
          <t>QLD Scientists EA</t>
        </is>
      </c>
      <c r="E1020" s="11" t="inlineStr">
        <is>
          <t>FT - Full-time Waged</t>
        </is>
      </c>
      <c r="F1020" s="11" t="inlineStr">
        <is>
          <t>Queensland Fertility Group</t>
        </is>
      </c>
      <c r="G1020" s="11" t="inlineStr">
        <is>
          <t>Queensland</t>
        </is>
      </c>
      <c r="H1020" s="13" t="inlineStr">
        <is>
          <t>76.00</t>
        </is>
      </c>
      <c r="I1020" s="11" t="inlineStr">
        <is>
          <t>Queensland Fertility Group Pty Ltd</t>
        </is>
      </c>
      <c r="J1020" s="14" t="n">
        <v>67.81999999999999</v>
      </c>
      <c r="K1020" s="13" t="inlineStr">
        <is>
          <t>67.82</t>
        </is>
      </c>
      <c r="L1020" s="12" t="n">
        <v>45949</v>
      </c>
      <c r="M1020" s="12" t="n">
        <v>45449</v>
      </c>
      <c r="N1020" s="13" t="inlineStr"/>
      <c r="O1020" s="13" t="inlineStr"/>
      <c r="P1020" s="12" t="n"/>
    </row>
    <row r="1021" ht="52.8" customHeight="1">
      <c r="A1021" s="15" t="inlineStr">
        <is>
          <t>AU23176</t>
        </is>
      </c>
      <c r="B1021" s="16" t="n">
        <v>45419</v>
      </c>
      <c r="C1021" s="15" t="inlineStr">
        <is>
          <t>Genetic Scientist</t>
        </is>
      </c>
      <c r="D1021" s="15" t="inlineStr">
        <is>
          <t>QLD Scientists EA</t>
        </is>
      </c>
      <c r="E1021" s="15" t="inlineStr">
        <is>
          <t>FT - Full-time Waged</t>
        </is>
      </c>
      <c r="F1021" s="15" t="inlineStr">
        <is>
          <t>Diagnostics</t>
        </is>
      </c>
      <c r="G1021" s="15" t="inlineStr">
        <is>
          <t>Queensland</t>
        </is>
      </c>
      <c r="H1021" s="17" t="inlineStr">
        <is>
          <t>76.00</t>
        </is>
      </c>
      <c r="I1021" s="15" t="inlineStr">
        <is>
          <t>Queensland Fertility Group Pty Ltd</t>
        </is>
      </c>
      <c r="J1021" s="18" t="n">
        <v>68.97</v>
      </c>
      <c r="K1021" s="17" t="inlineStr">
        <is>
          <t>68.97</t>
        </is>
      </c>
      <c r="L1021" s="16" t="n">
        <v>45949</v>
      </c>
      <c r="M1021" s="16" t="n">
        <v>45419</v>
      </c>
      <c r="N1021" s="17" t="inlineStr"/>
      <c r="O1021" s="17" t="inlineStr"/>
      <c r="P1021" s="16" t="n"/>
    </row>
    <row r="1022" ht="79.2" customHeight="1">
      <c r="A1022" s="11" t="inlineStr">
        <is>
          <t>AU22952</t>
        </is>
      </c>
      <c r="B1022" s="12" t="n">
        <v>45180</v>
      </c>
      <c r="C1022" s="11" t="inlineStr">
        <is>
          <t>Genetics Scientist</t>
        </is>
      </c>
      <c r="D1022" s="11" t="inlineStr">
        <is>
          <t>Health Professionals and Support Services Award</t>
        </is>
      </c>
      <c r="E1022" s="11" t="inlineStr">
        <is>
          <t>FT - Full-time Waged</t>
        </is>
      </c>
      <c r="F1022" s="11" t="inlineStr">
        <is>
          <t>Diagnostics</t>
        </is>
      </c>
      <c r="G1022" s="11" t="inlineStr">
        <is>
          <t>New South Wales</t>
        </is>
      </c>
      <c r="H1022" s="13" t="inlineStr">
        <is>
          <t>76.00</t>
        </is>
      </c>
      <c r="I1022" s="11" t="inlineStr">
        <is>
          <t>Virtus Health Specialist Diagnostics</t>
        </is>
      </c>
      <c r="J1022" s="14" t="n">
        <v>69.41</v>
      </c>
      <c r="K1022" s="13" t="inlineStr">
        <is>
          <t>69.41</t>
        </is>
      </c>
      <c r="L1022" s="12" t="n">
        <v>45949</v>
      </c>
      <c r="M1022" s="12" t="n">
        <v>45180</v>
      </c>
      <c r="N1022" s="13" t="inlineStr"/>
      <c r="O1022" s="13" t="inlineStr"/>
      <c r="P1022" s="12" t="n"/>
    </row>
    <row r="1023" ht="39.6" customHeight="1">
      <c r="A1023" s="15" t="n">
        <v>20171</v>
      </c>
      <c r="B1023" s="16" t="n">
        <v>36727</v>
      </c>
      <c r="C1023" s="15" t="inlineStr">
        <is>
          <t>Embryologist</t>
        </is>
      </c>
      <c r="D1023" s="15" t="inlineStr">
        <is>
          <t>IVFA Scientists EA</t>
        </is>
      </c>
      <c r="E1023" s="15" t="inlineStr">
        <is>
          <t>PP - Part-time Waged</t>
        </is>
      </c>
      <c r="F1023" s="15" t="inlineStr">
        <is>
          <t>IVFA</t>
        </is>
      </c>
      <c r="G1023" s="15" t="inlineStr">
        <is>
          <t>New South Wales</t>
        </is>
      </c>
      <c r="H1023" s="17" t="inlineStr">
        <is>
          <t>51.00</t>
        </is>
      </c>
      <c r="I1023" s="15" t="inlineStr">
        <is>
          <t>IVF Australia Pty Ltd</t>
        </is>
      </c>
      <c r="J1023" s="18" t="n">
        <v>119.32</v>
      </c>
      <c r="K1023" s="17" t="inlineStr">
        <is>
          <t>69.51</t>
        </is>
      </c>
      <c r="L1023" s="16" t="n">
        <v>45949</v>
      </c>
      <c r="M1023" s="16" t="n">
        <v>44762</v>
      </c>
      <c r="N1023" s="17" t="inlineStr">
        <is>
          <t>149.81</t>
        </is>
      </c>
      <c r="O1023" s="17" t="inlineStr">
        <is>
          <t>100.00</t>
        </is>
      </c>
      <c r="P1023" s="16" t="n"/>
    </row>
    <row r="1024" ht="52.8" customHeight="1">
      <c r="A1024" s="11" t="inlineStr">
        <is>
          <t>AU23215</t>
        </is>
      </c>
      <c r="B1024" s="12" t="n">
        <v>45432</v>
      </c>
      <c r="C1024" s="11" t="inlineStr">
        <is>
          <t>Trainee Embryologist</t>
        </is>
      </c>
      <c r="D1024" s="11" t="inlineStr">
        <is>
          <t>QLD Scientists EA</t>
        </is>
      </c>
      <c r="E1024" s="11" t="inlineStr">
        <is>
          <t>PP - Part-time Waged</t>
        </is>
      </c>
      <c r="F1024" s="11" t="inlineStr">
        <is>
          <t>Queensland Fertility Group</t>
        </is>
      </c>
      <c r="G1024" s="11" t="inlineStr">
        <is>
          <t>Queensland</t>
        </is>
      </c>
      <c r="H1024" s="13" t="inlineStr">
        <is>
          <t>60.80</t>
        </is>
      </c>
      <c r="I1024" s="11" t="inlineStr">
        <is>
          <t>Queensland Fertility Group Pty Ltd</t>
        </is>
      </c>
      <c r="J1024" s="14" t="n">
        <v>69.7</v>
      </c>
      <c r="K1024" s="13" t="inlineStr">
        <is>
          <t>69.70</t>
        </is>
      </c>
      <c r="L1024" s="12" t="n">
        <v>45949</v>
      </c>
      <c r="M1024" s="12" t="n">
        <v>45432</v>
      </c>
      <c r="N1024" s="13" t="inlineStr"/>
      <c r="O1024" s="13" t="inlineStr"/>
      <c r="P1024" s="12" t="n"/>
    </row>
    <row r="1025" ht="52.8" customHeight="1">
      <c r="A1025" s="15" t="n">
        <v>80061</v>
      </c>
      <c r="B1025" s="16" t="n">
        <v>40973</v>
      </c>
      <c r="C1025" s="15" t="inlineStr">
        <is>
          <t>Embryologist - Team Leader</t>
        </is>
      </c>
      <c r="D1025" s="15" t="inlineStr">
        <is>
          <t>QLD Scientists EA</t>
        </is>
      </c>
      <c r="E1025" s="15" t="inlineStr">
        <is>
          <t>PP - Part-time Waged</t>
        </is>
      </c>
      <c r="F1025" s="15" t="inlineStr">
        <is>
          <t>The Fertility Centre</t>
        </is>
      </c>
      <c r="G1025" s="15" t="inlineStr">
        <is>
          <t>Queensland</t>
        </is>
      </c>
      <c r="H1025" s="17" t="inlineStr">
        <is>
          <t>45.60</t>
        </is>
      </c>
      <c r="I1025" s="15" t="inlineStr">
        <is>
          <t>Queensland Fertility Group Pty Ltd</t>
        </is>
      </c>
      <c r="J1025" s="18" t="n">
        <v>140.21</v>
      </c>
      <c r="K1025" s="17" t="inlineStr">
        <is>
          <t>69.90</t>
        </is>
      </c>
      <c r="L1025" s="16" t="n">
        <v>45949</v>
      </c>
      <c r="M1025" s="16" t="n">
        <v>44684</v>
      </c>
      <c r="N1025" s="17" t="inlineStr">
        <is>
          <t>184.31</t>
        </is>
      </c>
      <c r="O1025" s="17" t="inlineStr">
        <is>
          <t>114.00</t>
        </is>
      </c>
      <c r="P1025" s="16" t="n"/>
    </row>
    <row r="1026" ht="52.8" customHeight="1">
      <c r="A1026" s="11" t="inlineStr">
        <is>
          <t>AU23196</t>
        </is>
      </c>
      <c r="B1026" s="12" t="n">
        <v>45432</v>
      </c>
      <c r="C1026" s="11" t="inlineStr">
        <is>
          <t>Genetic Scientist</t>
        </is>
      </c>
      <c r="D1026" s="11" t="inlineStr">
        <is>
          <t>QLD Scientists EA</t>
        </is>
      </c>
      <c r="E1026" s="11" t="inlineStr">
        <is>
          <t>FT - Full-time Waged</t>
        </is>
      </c>
      <c r="F1026" s="11" t="inlineStr">
        <is>
          <t>Diagnostics</t>
        </is>
      </c>
      <c r="G1026" s="11" t="inlineStr">
        <is>
          <t>Queensland</t>
        </is>
      </c>
      <c r="H1026" s="13" t="inlineStr">
        <is>
          <t>76.00</t>
        </is>
      </c>
      <c r="I1026" s="11" t="inlineStr">
        <is>
          <t>Queensland Fertility Group Pty Ltd</t>
        </is>
      </c>
      <c r="J1026" s="14" t="n">
        <v>70.18000000000001</v>
      </c>
      <c r="K1026" s="13" t="inlineStr">
        <is>
          <t>70.18</t>
        </is>
      </c>
      <c r="L1026" s="12" t="n">
        <v>45949</v>
      </c>
      <c r="M1026" s="12" t="n">
        <v>45432</v>
      </c>
      <c r="N1026" s="13" t="inlineStr"/>
      <c r="O1026" s="13" t="inlineStr"/>
      <c r="P1026" s="12" t="n"/>
    </row>
    <row r="1027" ht="52.8" customHeight="1">
      <c r="A1027" s="15" t="inlineStr">
        <is>
          <t>AU22710</t>
        </is>
      </c>
      <c r="B1027" s="16" t="n">
        <v>44970</v>
      </c>
      <c r="C1027" s="15" t="inlineStr">
        <is>
          <t>Nurse Coordinator</t>
        </is>
      </c>
      <c r="D1027" s="15" t="inlineStr">
        <is>
          <t>QLD Nurse EA</t>
        </is>
      </c>
      <c r="E1027" s="15" t="inlineStr">
        <is>
          <t>PP - Part-time Waged</t>
        </is>
      </c>
      <c r="F1027" s="15" t="inlineStr">
        <is>
          <t>Queensland Fertility Group</t>
        </is>
      </c>
      <c r="G1027" s="15" t="inlineStr">
        <is>
          <t>Queensland</t>
        </is>
      </c>
      <c r="H1027" s="17" t="inlineStr">
        <is>
          <t>45.60</t>
        </is>
      </c>
      <c r="I1027" s="15" t="inlineStr">
        <is>
          <t>Queensland Fertility Group Pty Ltd</t>
        </is>
      </c>
      <c r="J1027" s="18" t="n">
        <v>70.22</v>
      </c>
      <c r="K1027" s="17" t="inlineStr">
        <is>
          <t>70.22</t>
        </is>
      </c>
      <c r="L1027" s="16" t="n">
        <v>45949</v>
      </c>
      <c r="M1027" s="16" t="n">
        <v>44970</v>
      </c>
      <c r="N1027" s="17" t="inlineStr"/>
      <c r="O1027" s="17" t="inlineStr"/>
      <c r="P1027" s="16" t="n"/>
    </row>
    <row r="1028" ht="39.6" customHeight="1">
      <c r="A1028" s="11" t="inlineStr">
        <is>
          <t>AU22715</t>
        </is>
      </c>
      <c r="B1028" s="12" t="n">
        <v>44949</v>
      </c>
      <c r="C1028" s="11" t="inlineStr">
        <is>
          <t>Registered Nurse</t>
        </is>
      </c>
      <c r="D1028" s="11" t="inlineStr">
        <is>
          <t>NSW Nurse EA</t>
        </is>
      </c>
      <c r="E1028" s="11" t="inlineStr">
        <is>
          <t>PP - Part-time Waged</t>
        </is>
      </c>
      <c r="F1028" s="11" t="inlineStr">
        <is>
          <t>IVFA</t>
        </is>
      </c>
      <c r="G1028" s="11" t="inlineStr">
        <is>
          <t>New South Wales</t>
        </is>
      </c>
      <c r="H1028" s="13" t="inlineStr">
        <is>
          <t>57.00</t>
        </is>
      </c>
      <c r="I1028" s="11" t="inlineStr">
        <is>
          <t>IVF Australia Pty Ltd</t>
        </is>
      </c>
      <c r="J1028" s="14" t="n">
        <v>70.23</v>
      </c>
      <c r="K1028" s="13" t="inlineStr">
        <is>
          <t>70.23</t>
        </is>
      </c>
      <c r="L1028" s="12" t="n">
        <v>45949</v>
      </c>
      <c r="M1028" s="12" t="n">
        <v>44949</v>
      </c>
      <c r="N1028" s="13" t="inlineStr"/>
      <c r="O1028" s="13" t="inlineStr"/>
      <c r="P1028" s="12" t="n"/>
    </row>
    <row r="1029" ht="79.2" customHeight="1">
      <c r="A1029" s="15" t="n">
        <v>60048</v>
      </c>
      <c r="B1029" s="16" t="n">
        <v>44613</v>
      </c>
      <c r="C1029" s="15" t="inlineStr">
        <is>
          <t>CSSD Tech</t>
        </is>
      </c>
      <c r="D1029" s="15" t="inlineStr">
        <is>
          <t>Health Professionals and Support Services Award</t>
        </is>
      </c>
      <c r="E1029" s="15" t="inlineStr">
        <is>
          <t>PP - Part-time Waged</t>
        </is>
      </c>
      <c r="F1029" s="15" t="inlineStr">
        <is>
          <t>Day Hospitals</t>
        </is>
      </c>
      <c r="G1029" s="15" t="inlineStr">
        <is>
          <t>Queensland</t>
        </is>
      </c>
      <c r="H1029" s="17" t="inlineStr">
        <is>
          <t>48.00</t>
        </is>
      </c>
      <c r="I1029" s="15" t="inlineStr">
        <is>
          <t>MACKAY Specialist Day Hospital</t>
        </is>
      </c>
      <c r="J1029" s="18" t="n">
        <v>70.31</v>
      </c>
      <c r="K1029" s="17" t="inlineStr">
        <is>
          <t>70.31</t>
        </is>
      </c>
      <c r="L1029" s="16" t="n">
        <v>45949</v>
      </c>
      <c r="M1029" s="16" t="n">
        <v>44613</v>
      </c>
      <c r="N1029" s="17" t="inlineStr"/>
      <c r="O1029" s="17" t="inlineStr"/>
      <c r="P1029" s="16" t="n"/>
    </row>
    <row r="1030" ht="79.2" customHeight="1">
      <c r="A1030" s="11" t="inlineStr">
        <is>
          <t>AU22803</t>
        </is>
      </c>
      <c r="B1030" s="12" t="n">
        <v>45012</v>
      </c>
      <c r="C1030" s="11" t="inlineStr">
        <is>
          <t>Medical Receptionist</t>
        </is>
      </c>
      <c r="D1030" s="11" t="inlineStr">
        <is>
          <t>Health Professionals and Support Services Award</t>
        </is>
      </c>
      <c r="E1030" s="11" t="inlineStr">
        <is>
          <t>PP - Part-time Waged</t>
        </is>
      </c>
      <c r="F1030" s="11" t="inlineStr">
        <is>
          <t>Queensland Fertility Group</t>
        </is>
      </c>
      <c r="G1030" s="11" t="inlineStr">
        <is>
          <t>Queensland</t>
        </is>
      </c>
      <c r="H1030" s="13" t="inlineStr">
        <is>
          <t>60.80</t>
        </is>
      </c>
      <c r="I1030" s="11" t="inlineStr">
        <is>
          <t>Queensland Fertility Group Pty Ltd</t>
        </is>
      </c>
      <c r="J1030" s="14" t="n">
        <v>70.31</v>
      </c>
      <c r="K1030" s="13" t="inlineStr">
        <is>
          <t>70.31</t>
        </is>
      </c>
      <c r="L1030" s="12" t="n">
        <v>45949</v>
      </c>
      <c r="M1030" s="12" t="n">
        <v>45012</v>
      </c>
      <c r="N1030" s="13" t="inlineStr"/>
      <c r="O1030" s="13" t="inlineStr"/>
      <c r="P1030" s="12" t="n"/>
    </row>
    <row r="1031" ht="39.6" customHeight="1">
      <c r="A1031" s="15" t="inlineStr">
        <is>
          <t>AU23200</t>
        </is>
      </c>
      <c r="B1031" s="16" t="n">
        <v>45384</v>
      </c>
      <c r="C1031" s="15" t="inlineStr">
        <is>
          <t>Registered Nurse</t>
        </is>
      </c>
      <c r="D1031" s="15" t="inlineStr">
        <is>
          <t>NSW Nurse EA</t>
        </is>
      </c>
      <c r="E1031" s="15" t="inlineStr">
        <is>
          <t>FT - Full-time Waged</t>
        </is>
      </c>
      <c r="F1031" s="15" t="inlineStr">
        <is>
          <t>Day Hospitals</t>
        </is>
      </c>
      <c r="G1031" s="15" t="inlineStr">
        <is>
          <t>New South Wales</t>
        </is>
      </c>
      <c r="H1031" s="17" t="inlineStr">
        <is>
          <t>76.00</t>
        </is>
      </c>
      <c r="I1031" s="15" t="inlineStr">
        <is>
          <t>City West Day Surgery</t>
        </is>
      </c>
      <c r="J1031" s="18" t="n">
        <v>70.37</v>
      </c>
      <c r="K1031" s="17" t="inlineStr">
        <is>
          <t>70.37</t>
        </is>
      </c>
      <c r="L1031" s="16" t="n">
        <v>45949</v>
      </c>
      <c r="M1031" s="16" t="n">
        <v>44649</v>
      </c>
      <c r="N1031" s="17" t="inlineStr"/>
      <c r="O1031" s="17" t="inlineStr"/>
      <c r="P1031" s="16" t="n"/>
    </row>
    <row r="1032" ht="52.8" customHeight="1">
      <c r="A1032" s="11" t="inlineStr">
        <is>
          <t>AU23797</t>
        </is>
      </c>
      <c r="B1032" s="12" t="n">
        <v>45894</v>
      </c>
      <c r="C1032" s="11" t="inlineStr">
        <is>
          <t>Senior Scientist</t>
        </is>
      </c>
      <c r="D1032" s="11" t="inlineStr">
        <is>
          <t>QLD Scientists EA</t>
        </is>
      </c>
      <c r="E1032" s="11" t="inlineStr">
        <is>
          <t>FT - Full-time Waged</t>
        </is>
      </c>
      <c r="F1032" s="11" t="inlineStr">
        <is>
          <t>Diagnostics</t>
        </is>
      </c>
      <c r="G1032" s="11" t="inlineStr">
        <is>
          <t>Queensland</t>
        </is>
      </c>
      <c r="H1032" s="13" t="inlineStr">
        <is>
          <t>76.00</t>
        </is>
      </c>
      <c r="I1032" s="11" t="inlineStr">
        <is>
          <t>Queensland Fertility Group Pty Ltd</t>
        </is>
      </c>
      <c r="J1032" s="14" t="n">
        <v>187.09</v>
      </c>
      <c r="K1032" s="13" t="inlineStr">
        <is>
          <t>70.40</t>
        </is>
      </c>
      <c r="L1032" s="12" t="n">
        <v>45949</v>
      </c>
      <c r="M1032" s="12" t="n">
        <v>45894</v>
      </c>
      <c r="N1032" s="13" t="inlineStr">
        <is>
          <t>116.69</t>
        </is>
      </c>
      <c r="O1032" s="13" t="inlineStr"/>
      <c r="P1032" s="12" t="n"/>
    </row>
    <row r="1033" ht="52.8" customHeight="1">
      <c r="A1033" s="15" t="n">
        <v>60046</v>
      </c>
      <c r="B1033" s="16" t="n">
        <v>44343</v>
      </c>
      <c r="C1033" s="15" t="inlineStr">
        <is>
          <t>Registered Nurse</t>
        </is>
      </c>
      <c r="D1033" s="15" t="inlineStr">
        <is>
          <t>QLD Nurse EA</t>
        </is>
      </c>
      <c r="E1033" s="15" t="inlineStr">
        <is>
          <t>CA - Casual</t>
        </is>
      </c>
      <c r="F1033" s="15" t="inlineStr">
        <is>
          <t>Day Hospitals</t>
        </is>
      </c>
      <c r="G1033" s="15" t="inlineStr">
        <is>
          <t>Queensland</t>
        </is>
      </c>
      <c r="H1033" s="17" t="inlineStr"/>
      <c r="I1033" s="15" t="inlineStr">
        <is>
          <t>MACKAY Specialist Day Hospital</t>
        </is>
      </c>
      <c r="J1033" s="18" t="n">
        <v>70.47</v>
      </c>
      <c r="K1033" s="17" t="inlineStr">
        <is>
          <t>70.47</t>
        </is>
      </c>
      <c r="L1033" s="16" t="n">
        <v>45949</v>
      </c>
      <c r="M1033" s="16" t="n">
        <v>44343</v>
      </c>
      <c r="N1033" s="17" t="inlineStr"/>
      <c r="O1033" s="17" t="inlineStr"/>
      <c r="P1033" s="16" t="n"/>
    </row>
    <row r="1034" ht="52.8" customHeight="1">
      <c r="A1034" s="11" t="n">
        <v>80125</v>
      </c>
      <c r="B1034" s="12" t="n">
        <v>41526</v>
      </c>
      <c r="C1034" s="11" t="inlineStr">
        <is>
          <t>Genetic Scientist</t>
        </is>
      </c>
      <c r="D1034" s="11" t="inlineStr">
        <is>
          <t>QLD Scientists EA</t>
        </is>
      </c>
      <c r="E1034" s="11" t="inlineStr">
        <is>
          <t>FT - Full-time Waged</t>
        </is>
      </c>
      <c r="F1034" s="11" t="inlineStr">
        <is>
          <t>Diagnostics</t>
        </is>
      </c>
      <c r="G1034" s="11" t="inlineStr">
        <is>
          <t>Queensland</t>
        </is>
      </c>
      <c r="H1034" s="13" t="inlineStr">
        <is>
          <t>76.00</t>
        </is>
      </c>
      <c r="I1034" s="11" t="inlineStr">
        <is>
          <t>Queensland Fertility Group Pty Ltd</t>
        </is>
      </c>
      <c r="J1034" s="14" t="n">
        <v>400.02</v>
      </c>
      <c r="K1034" s="13" t="inlineStr">
        <is>
          <t>70.69</t>
        </is>
      </c>
      <c r="L1034" s="12" t="n">
        <v>45949</v>
      </c>
      <c r="M1034" s="12" t="n">
        <v>45178</v>
      </c>
      <c r="N1034" s="13" t="inlineStr">
        <is>
          <t>329.33</t>
        </is>
      </c>
      <c r="O1034" s="13" t="inlineStr"/>
      <c r="P1034" s="12" t="n"/>
    </row>
    <row r="1035" ht="66" customHeight="1">
      <c r="A1035" s="15" t="n">
        <v>50142</v>
      </c>
      <c r="B1035" s="16" t="n">
        <v>43669</v>
      </c>
      <c r="C1035" s="15" t="inlineStr">
        <is>
          <t>Administration Clerk</t>
        </is>
      </c>
      <c r="D1035" s="15" t="inlineStr">
        <is>
          <t>NSW Support Services EA</t>
        </is>
      </c>
      <c r="E1035" s="15" t="inlineStr">
        <is>
          <t>PP - Part-time Waged</t>
        </is>
      </c>
      <c r="F1035" s="15" t="inlineStr">
        <is>
          <t>Day Hospitals</t>
        </is>
      </c>
      <c r="G1035" s="15" t="inlineStr">
        <is>
          <t>New South Wales</t>
        </is>
      </c>
      <c r="H1035" s="17" t="inlineStr">
        <is>
          <t>26.00</t>
        </is>
      </c>
      <c r="I1035" s="15" t="inlineStr">
        <is>
          <t>Alexandria Specialist Day Hospital Pty Ltd</t>
        </is>
      </c>
      <c r="J1035" s="18" t="n">
        <v>71.11</v>
      </c>
      <c r="K1035" s="17" t="inlineStr">
        <is>
          <t>71.11</t>
        </is>
      </c>
      <c r="L1035" s="16" t="n">
        <v>45949</v>
      </c>
      <c r="M1035" s="16" t="n">
        <v>43669</v>
      </c>
      <c r="N1035" s="17" t="inlineStr"/>
      <c r="O1035" s="17" t="inlineStr"/>
      <c r="P1035" s="16" t="n"/>
    </row>
    <row r="1036" ht="52.8" customHeight="1">
      <c r="A1036" s="11" t="n">
        <v>60045</v>
      </c>
      <c r="B1036" s="12" t="n">
        <v>44315</v>
      </c>
      <c r="C1036" s="11" t="inlineStr">
        <is>
          <t>Registered Nurse</t>
        </is>
      </c>
      <c r="D1036" s="11" t="inlineStr">
        <is>
          <t>QLD Nurse EA</t>
        </is>
      </c>
      <c r="E1036" s="11" t="inlineStr">
        <is>
          <t>CA - Casual</t>
        </is>
      </c>
      <c r="F1036" s="11" t="inlineStr">
        <is>
          <t>Day Hospitals</t>
        </is>
      </c>
      <c r="G1036" s="11" t="inlineStr">
        <is>
          <t>Queensland</t>
        </is>
      </c>
      <c r="H1036" s="13" t="inlineStr"/>
      <c r="I1036" s="11" t="inlineStr">
        <is>
          <t>MACKAY Specialist Day Hospital</t>
        </is>
      </c>
      <c r="J1036" s="14" t="n">
        <v>71.25</v>
      </c>
      <c r="K1036" s="13" t="inlineStr">
        <is>
          <t>71.25</t>
        </is>
      </c>
      <c r="L1036" s="12" t="n">
        <v>45627</v>
      </c>
      <c r="M1036" s="12" t="n">
        <v>44315</v>
      </c>
      <c r="N1036" s="13" t="inlineStr"/>
      <c r="O1036" s="13" t="inlineStr"/>
      <c r="P1036" s="12" t="n"/>
    </row>
    <row r="1037" ht="79.2" customHeight="1">
      <c r="A1037" s="15" t="n">
        <v>80385</v>
      </c>
      <c r="B1037" s="16" t="n">
        <v>44124</v>
      </c>
      <c r="C1037" s="15" t="inlineStr">
        <is>
          <t>Courier</t>
        </is>
      </c>
      <c r="D1037" s="15" t="inlineStr">
        <is>
          <t>Health Professionals and Support Services Award</t>
        </is>
      </c>
      <c r="E1037" s="15" t="inlineStr">
        <is>
          <t>PP - Part-time Waged</t>
        </is>
      </c>
      <c r="F1037" s="15" t="inlineStr">
        <is>
          <t>Queensland Fertility Group</t>
        </is>
      </c>
      <c r="G1037" s="15" t="inlineStr">
        <is>
          <t>Queensland</t>
        </is>
      </c>
      <c r="H1037" s="17" t="inlineStr">
        <is>
          <t>30.00</t>
        </is>
      </c>
      <c r="I1037" s="15" t="inlineStr">
        <is>
          <t>Queensland Fertility Group Pty Ltd</t>
        </is>
      </c>
      <c r="J1037" s="18" t="n">
        <v>71.73999999999999</v>
      </c>
      <c r="K1037" s="17" t="inlineStr">
        <is>
          <t>71.74</t>
        </is>
      </c>
      <c r="L1037" s="16" t="n">
        <v>45949</v>
      </c>
      <c r="M1037" s="16" t="n">
        <v>44124</v>
      </c>
      <c r="N1037" s="17" t="inlineStr"/>
      <c r="O1037" s="17" t="inlineStr"/>
      <c r="P1037" s="16" t="n"/>
    </row>
    <row r="1038" ht="79.2" customHeight="1">
      <c r="A1038" s="11" t="n">
        <v>80438</v>
      </c>
      <c r="B1038" s="12" t="n">
        <v>44474</v>
      </c>
      <c r="C1038" s="11" t="inlineStr">
        <is>
          <t>Phlebotomist/ Administration</t>
        </is>
      </c>
      <c r="D1038" s="11" t="inlineStr">
        <is>
          <t>Health Professionals and Support Services Award</t>
        </is>
      </c>
      <c r="E1038" s="11" t="inlineStr">
        <is>
          <t>PP - Part-time Waged</t>
        </is>
      </c>
      <c r="F1038" s="11" t="inlineStr">
        <is>
          <t>Queensland Fertility Group</t>
        </is>
      </c>
      <c r="G1038" s="11" t="inlineStr">
        <is>
          <t>Queensland</t>
        </is>
      </c>
      <c r="H1038" s="13" t="inlineStr">
        <is>
          <t>44.00</t>
        </is>
      </c>
      <c r="I1038" s="11" t="inlineStr">
        <is>
          <t>Queensland Fertility Group Pty Ltd</t>
        </is>
      </c>
      <c r="J1038" s="14" t="n">
        <v>72.48</v>
      </c>
      <c r="K1038" s="13" t="inlineStr">
        <is>
          <t>72.48</t>
        </is>
      </c>
      <c r="L1038" s="12" t="n">
        <v>45949</v>
      </c>
      <c r="M1038" s="12" t="n">
        <v>44474</v>
      </c>
      <c r="N1038" s="13" t="inlineStr"/>
      <c r="O1038" s="13" t="inlineStr"/>
      <c r="P1038" s="12" t="n"/>
    </row>
    <row r="1039" ht="52.8" customHeight="1">
      <c r="A1039" s="15" t="n">
        <v>80046</v>
      </c>
      <c r="B1039" s="16" t="n">
        <v>41396</v>
      </c>
      <c r="C1039" s="15" t="inlineStr">
        <is>
          <t>Embryologist</t>
        </is>
      </c>
      <c r="D1039" s="15" t="inlineStr">
        <is>
          <t>QLD Scientists EA</t>
        </is>
      </c>
      <c r="E1039" s="15" t="inlineStr">
        <is>
          <t>PP - Part-time Waged</t>
        </is>
      </c>
      <c r="F1039" s="15" t="inlineStr">
        <is>
          <t>Queensland Fertility Group</t>
        </is>
      </c>
      <c r="G1039" s="15" t="inlineStr">
        <is>
          <t>Queensland</t>
        </is>
      </c>
      <c r="H1039" s="17" t="inlineStr">
        <is>
          <t>60.80</t>
        </is>
      </c>
      <c r="I1039" s="15" t="inlineStr">
        <is>
          <t>Queensland Fertility Group Pty Ltd</t>
        </is>
      </c>
      <c r="J1039" s="18" t="n">
        <v>37.48</v>
      </c>
      <c r="K1039" s="17" t="inlineStr">
        <is>
          <t>73.07</t>
        </is>
      </c>
      <c r="L1039" s="16" t="n">
        <v>45949</v>
      </c>
      <c r="M1039" s="16" t="n">
        <v>44962</v>
      </c>
      <c r="N1039" s="17" t="inlineStr">
        <is>
          <t>230.41</t>
        </is>
      </c>
      <c r="O1039" s="17" t="inlineStr">
        <is>
          <t>266.00</t>
        </is>
      </c>
      <c r="P1039" s="16" t="n"/>
    </row>
    <row r="1040" ht="79.2" customHeight="1">
      <c r="A1040" s="11" t="n">
        <v>80456</v>
      </c>
      <c r="B1040" s="12" t="n">
        <v>44627</v>
      </c>
      <c r="C1040" s="11" t="inlineStr">
        <is>
          <t>Administration</t>
        </is>
      </c>
      <c r="D1040" s="11" t="inlineStr">
        <is>
          <t>Health Professionals and Support Services Award</t>
        </is>
      </c>
      <c r="E1040" s="11" t="inlineStr">
        <is>
          <t>CA - Casual</t>
        </is>
      </c>
      <c r="F1040" s="11" t="inlineStr">
        <is>
          <t>Queensland Fertility Group</t>
        </is>
      </c>
      <c r="G1040" s="11" t="inlineStr">
        <is>
          <t>Queensland</t>
        </is>
      </c>
      <c r="H1040" s="13" t="inlineStr"/>
      <c r="I1040" s="11" t="inlineStr">
        <is>
          <t>Queensland Fertility Group Pty Ltd</t>
        </is>
      </c>
      <c r="J1040" s="14" t="n">
        <v>73.09</v>
      </c>
      <c r="K1040" s="13" t="inlineStr">
        <is>
          <t>73.09</t>
        </is>
      </c>
      <c r="L1040" s="12" t="n">
        <v>45949</v>
      </c>
      <c r="M1040" s="12" t="n">
        <v>44627</v>
      </c>
      <c r="N1040" s="13" t="inlineStr"/>
      <c r="O1040" s="13" t="inlineStr"/>
      <c r="P1040" s="12" t="n"/>
    </row>
    <row r="1041" ht="39.6" customHeight="1">
      <c r="A1041" s="15" t="inlineStr">
        <is>
          <t>AU22673</t>
        </is>
      </c>
      <c r="B1041" s="16" t="n">
        <v>44886</v>
      </c>
      <c r="C1041" s="15" t="inlineStr">
        <is>
          <t>Assistant in Nursing</t>
        </is>
      </c>
      <c r="D1041" s="15" t="inlineStr">
        <is>
          <t>NSW Nurse EA</t>
        </is>
      </c>
      <c r="E1041" s="15" t="inlineStr">
        <is>
          <t>FT - Full-time Waged</t>
        </is>
      </c>
      <c r="F1041" s="15" t="inlineStr">
        <is>
          <t>IVFA</t>
        </is>
      </c>
      <c r="G1041" s="15" t="inlineStr">
        <is>
          <t>New South Wales</t>
        </is>
      </c>
      <c r="H1041" s="17" t="inlineStr">
        <is>
          <t>76.00</t>
        </is>
      </c>
      <c r="I1041" s="15" t="inlineStr">
        <is>
          <t>IVF Australia Pty Ltd</t>
        </is>
      </c>
      <c r="J1041" s="18" t="n">
        <v>73.43000000000001</v>
      </c>
      <c r="K1041" s="17" t="inlineStr">
        <is>
          <t>73.43</t>
        </is>
      </c>
      <c r="L1041" s="16" t="n">
        <v>45879</v>
      </c>
      <c r="M1041" s="16" t="n">
        <v>44886</v>
      </c>
      <c r="N1041" s="17" t="inlineStr"/>
      <c r="O1041" s="17" t="inlineStr"/>
      <c r="P1041" s="16" t="n"/>
    </row>
    <row r="1042" ht="79.2" customHeight="1">
      <c r="A1042" s="11" t="n">
        <v>80081</v>
      </c>
      <c r="B1042" s="12" t="n">
        <v>40141</v>
      </c>
      <c r="C1042" s="11" t="inlineStr">
        <is>
          <t>Revenue and Billing Team Leader</t>
        </is>
      </c>
      <c r="D1042" s="11" t="inlineStr">
        <is>
          <t>Health Professionals and Support Services Award</t>
        </is>
      </c>
      <c r="E1042" s="11" t="inlineStr">
        <is>
          <t>FT - Full-time Waged</t>
        </is>
      </c>
      <c r="F1042" s="11" t="inlineStr">
        <is>
          <t>Queensland Fertility Group</t>
        </is>
      </c>
      <c r="G1042" s="11" t="inlineStr">
        <is>
          <t>Queensland</t>
        </is>
      </c>
      <c r="H1042" s="13" t="inlineStr">
        <is>
          <t>76.00</t>
        </is>
      </c>
      <c r="I1042" s="11" t="inlineStr">
        <is>
          <t>Queensland Fertility Group Pty Ltd</t>
        </is>
      </c>
      <c r="J1042" s="14" t="n">
        <v>697.12</v>
      </c>
      <c r="K1042" s="13" t="inlineStr">
        <is>
          <t>73.54</t>
        </is>
      </c>
      <c r="L1042" s="12" t="n">
        <v>45949</v>
      </c>
      <c r="M1042" s="12" t="n">
        <v>45254</v>
      </c>
      <c r="N1042" s="13" t="inlineStr">
        <is>
          <t>623.58</t>
        </is>
      </c>
      <c r="O1042" s="13" t="inlineStr"/>
      <c r="P1042" s="12" t="n"/>
    </row>
    <row r="1043" ht="66" customHeight="1">
      <c r="A1043" s="15" t="inlineStr">
        <is>
          <t>AU22670</t>
        </is>
      </c>
      <c r="B1043" s="16" t="n">
        <v>44894</v>
      </c>
      <c r="C1043" s="15" t="inlineStr">
        <is>
          <t>Senior People &amp; Culture Business Partner</t>
        </is>
      </c>
      <c r="D1043" s="15" t="inlineStr">
        <is>
          <t>Common Law Employment Contract</t>
        </is>
      </c>
      <c r="E1043" s="15" t="inlineStr">
        <is>
          <t>FP - Full-time Salaried</t>
        </is>
      </c>
      <c r="F1043" s="15" t="inlineStr">
        <is>
          <t>Corporate Services</t>
        </is>
      </c>
      <c r="G1043" s="15" t="inlineStr">
        <is>
          <t>New South Wales</t>
        </is>
      </c>
      <c r="H1043" s="17" t="inlineStr">
        <is>
          <t>76.00</t>
        </is>
      </c>
      <c r="I1043" s="15" t="inlineStr">
        <is>
          <t>IVF Australia Pty Ltd</t>
        </is>
      </c>
      <c r="J1043" s="18" t="n">
        <v>73.59</v>
      </c>
      <c r="K1043" s="17" t="inlineStr">
        <is>
          <t>73.59</t>
        </is>
      </c>
      <c r="L1043" s="16" t="n">
        <v>45949</v>
      </c>
      <c r="M1043" s="16" t="n">
        <v>44894</v>
      </c>
      <c r="N1043" s="17" t="inlineStr"/>
      <c r="O1043" s="17" t="inlineStr"/>
      <c r="P1043" s="16" t="n"/>
    </row>
    <row r="1044" ht="52.8" customHeight="1">
      <c r="A1044" s="11" t="inlineStr">
        <is>
          <t>AU22894</t>
        </is>
      </c>
      <c r="B1044" s="12" t="n">
        <v>45117</v>
      </c>
      <c r="C1044" s="11" t="inlineStr">
        <is>
          <t>Integration Lead</t>
        </is>
      </c>
      <c r="D1044" s="11" t="inlineStr">
        <is>
          <t>Common Law Employment Contract</t>
        </is>
      </c>
      <c r="E1044" s="11" t="inlineStr">
        <is>
          <t>FP - Full-time Salaried</t>
        </is>
      </c>
      <c r="F1044" s="11" t="inlineStr">
        <is>
          <t>Corporate Services</t>
        </is>
      </c>
      <c r="G1044" s="11" t="inlineStr">
        <is>
          <t>Victoria</t>
        </is>
      </c>
      <c r="H1044" s="13" t="inlineStr">
        <is>
          <t>76.00</t>
        </is>
      </c>
      <c r="I1044" s="11" t="inlineStr">
        <is>
          <t>IVF Australia Pty Ltd</t>
        </is>
      </c>
      <c r="J1044" s="14" t="n">
        <v>73.61</v>
      </c>
      <c r="K1044" s="13" t="inlineStr">
        <is>
          <t>73.61</t>
        </is>
      </c>
      <c r="L1044" s="12" t="n">
        <v>45949</v>
      </c>
      <c r="M1044" s="12" t="n">
        <v>45117</v>
      </c>
      <c r="N1044" s="13" t="inlineStr"/>
      <c r="O1044" s="13" t="inlineStr"/>
      <c r="P1044" s="12" t="n"/>
    </row>
    <row r="1045" ht="52.8" customHeight="1">
      <c r="A1045" s="15" t="inlineStr">
        <is>
          <t>AU22930</t>
        </is>
      </c>
      <c r="B1045" s="16" t="n">
        <v>45138</v>
      </c>
      <c r="C1045" s="15" t="inlineStr">
        <is>
          <t>Application Integration Officer</t>
        </is>
      </c>
      <c r="D1045" s="15" t="inlineStr">
        <is>
          <t>Common Law Employment Contract</t>
        </is>
      </c>
      <c r="E1045" s="15" t="inlineStr">
        <is>
          <t>FP - Full-time Salaried</t>
        </is>
      </c>
      <c r="F1045" s="15" t="inlineStr">
        <is>
          <t>Corporate Services</t>
        </is>
      </c>
      <c r="G1045" s="15" t="inlineStr">
        <is>
          <t>Victoria</t>
        </is>
      </c>
      <c r="H1045" s="17" t="inlineStr">
        <is>
          <t>76.00</t>
        </is>
      </c>
      <c r="I1045" s="15" t="inlineStr">
        <is>
          <t>IVF Australia Pty Ltd</t>
        </is>
      </c>
      <c r="J1045" s="18" t="n">
        <v>73.61</v>
      </c>
      <c r="K1045" s="17" t="inlineStr">
        <is>
          <t>73.61</t>
        </is>
      </c>
      <c r="L1045" s="16" t="n">
        <v>45949</v>
      </c>
      <c r="M1045" s="16" t="n">
        <v>45138</v>
      </c>
      <c r="N1045" s="17" t="inlineStr"/>
      <c r="O1045" s="17" t="inlineStr"/>
      <c r="P1045" s="16" t="n"/>
    </row>
    <row r="1046" ht="52.8" customHeight="1">
      <c r="A1046" s="11" t="inlineStr">
        <is>
          <t>AU23861</t>
        </is>
      </c>
      <c r="B1046" s="12" t="n">
        <v>45922</v>
      </c>
      <c r="C1046" s="11" t="inlineStr">
        <is>
          <t>Registered Nurse</t>
        </is>
      </c>
      <c r="D1046" s="11" t="inlineStr">
        <is>
          <t>QLD Nurse EA</t>
        </is>
      </c>
      <c r="E1046" s="11" t="inlineStr">
        <is>
          <t>CA - Casual</t>
        </is>
      </c>
      <c r="F1046" s="11" t="inlineStr">
        <is>
          <t>Queensland Fertility Group</t>
        </is>
      </c>
      <c r="G1046" s="11" t="inlineStr">
        <is>
          <t>Queensland</t>
        </is>
      </c>
      <c r="H1046" s="13" t="inlineStr"/>
      <c r="I1046" s="11" t="inlineStr">
        <is>
          <t>Queensland Fertility Group Pty Ltd</t>
        </is>
      </c>
      <c r="J1046" s="14" t="n">
        <v>74.13</v>
      </c>
      <c r="K1046" s="13" t="inlineStr">
        <is>
          <t>74.13</t>
        </is>
      </c>
      <c r="L1046" s="12" t="n">
        <v>45949</v>
      </c>
      <c r="M1046" s="12" t="n">
        <v>44888</v>
      </c>
      <c r="N1046" s="13" t="inlineStr"/>
      <c r="O1046" s="13" t="inlineStr"/>
      <c r="P1046" s="12" t="n"/>
    </row>
    <row r="1047" ht="39.6" customHeight="1">
      <c r="A1047" s="15" t="n">
        <v>20276</v>
      </c>
      <c r="B1047" s="16" t="n">
        <v>40976</v>
      </c>
      <c r="C1047" s="15" t="inlineStr">
        <is>
          <t>Counsellor</t>
        </is>
      </c>
      <c r="D1047" s="15" t="inlineStr">
        <is>
          <t>NSW Counsellor EA</t>
        </is>
      </c>
      <c r="E1047" s="15" t="inlineStr">
        <is>
          <t>PP - Part-time Waged</t>
        </is>
      </c>
      <c r="F1047" s="15" t="inlineStr">
        <is>
          <t>IVFA</t>
        </is>
      </c>
      <c r="G1047" s="15" t="inlineStr">
        <is>
          <t>New South Wales</t>
        </is>
      </c>
      <c r="H1047" s="17" t="inlineStr">
        <is>
          <t>45.00</t>
        </is>
      </c>
      <c r="I1047" s="15" t="inlineStr">
        <is>
          <t>IVF Australia Pty Ltd</t>
        </is>
      </c>
      <c r="J1047" s="18" t="n">
        <v>30.71</v>
      </c>
      <c r="K1047" s="17" t="inlineStr">
        <is>
          <t>74.25</t>
        </is>
      </c>
      <c r="L1047" s="16" t="n">
        <v>45949</v>
      </c>
      <c r="M1047" s="16" t="n">
        <v>44628</v>
      </c>
      <c r="N1047" s="17" t="inlineStr">
        <is>
          <t>181.96</t>
        </is>
      </c>
      <c r="O1047" s="17" t="inlineStr">
        <is>
          <t>225.50</t>
        </is>
      </c>
      <c r="P1047" s="16" t="n"/>
    </row>
    <row r="1048" ht="39.6" customHeight="1">
      <c r="A1048" s="11" t="n">
        <v>20236</v>
      </c>
      <c r="B1048" s="12" t="n">
        <v>40665</v>
      </c>
      <c r="C1048" s="11" t="inlineStr">
        <is>
          <t>Counsellor</t>
        </is>
      </c>
      <c r="D1048" s="11" t="inlineStr">
        <is>
          <t>NSW Counsellor EA</t>
        </is>
      </c>
      <c r="E1048" s="11" t="inlineStr">
        <is>
          <t>PP - Part-time Waged</t>
        </is>
      </c>
      <c r="F1048" s="11" t="inlineStr">
        <is>
          <t>IVFA</t>
        </is>
      </c>
      <c r="G1048" s="11" t="inlineStr">
        <is>
          <t>New South Wales</t>
        </is>
      </c>
      <c r="H1048" s="13" t="inlineStr">
        <is>
          <t>40.00</t>
        </is>
      </c>
      <c r="I1048" s="11" t="inlineStr">
        <is>
          <t>IVF Australia Pty Ltd</t>
        </is>
      </c>
      <c r="J1048" s="14" t="n">
        <v>34.98</v>
      </c>
      <c r="K1048" s="13" t="inlineStr">
        <is>
          <t>74.35</t>
        </is>
      </c>
      <c r="L1048" s="12" t="n">
        <v>45949</v>
      </c>
      <c r="M1048" s="12" t="n">
        <v>44318</v>
      </c>
      <c r="N1048" s="13" t="inlineStr">
        <is>
          <t>159.13</t>
        </is>
      </c>
      <c r="O1048" s="13" t="inlineStr">
        <is>
          <t>198.50</t>
        </is>
      </c>
      <c r="P1048" s="12" t="n"/>
    </row>
    <row r="1049" ht="39.6" customHeight="1">
      <c r="A1049" s="15" t="n">
        <v>40020</v>
      </c>
      <c r="B1049" s="16" t="n">
        <v>36669</v>
      </c>
      <c r="C1049" s="15" t="inlineStr">
        <is>
          <t>Enrolled Nurse</t>
        </is>
      </c>
      <c r="D1049" s="15" t="inlineStr">
        <is>
          <t>NSW Nurse EA</t>
        </is>
      </c>
      <c r="E1049" s="15" t="inlineStr">
        <is>
          <t>PP - Part-time Waged</t>
        </is>
      </c>
      <c r="F1049" s="15" t="inlineStr">
        <is>
          <t>Day Hospitals</t>
        </is>
      </c>
      <c r="G1049" s="15" t="inlineStr">
        <is>
          <t>New South Wales</t>
        </is>
      </c>
      <c r="H1049" s="17" t="inlineStr">
        <is>
          <t>36.00</t>
        </is>
      </c>
      <c r="I1049" s="15" t="inlineStr">
        <is>
          <t>City West Day Surgery</t>
        </is>
      </c>
      <c r="J1049" s="18" t="n">
        <v>131.56</v>
      </c>
      <c r="K1049" s="17" t="inlineStr">
        <is>
          <t>74.39</t>
        </is>
      </c>
      <c r="L1049" s="16" t="n">
        <v>45949</v>
      </c>
      <c r="M1049" s="16" t="n">
        <v>44704</v>
      </c>
      <c r="N1049" s="17" t="inlineStr">
        <is>
          <t>194.77</t>
        </is>
      </c>
      <c r="O1049" s="17" t="inlineStr">
        <is>
          <t>137.60</t>
        </is>
      </c>
      <c r="P1049" s="16" t="n"/>
    </row>
    <row r="1050" ht="52.8" customHeight="1">
      <c r="A1050" s="11" t="inlineStr">
        <is>
          <t>AU22939</t>
        </is>
      </c>
      <c r="B1050" s="12" t="n">
        <v>45145</v>
      </c>
      <c r="C1050" s="11" t="inlineStr">
        <is>
          <t>Genetic Laboratory Assistant</t>
        </is>
      </c>
      <c r="D1050" s="11" t="inlineStr">
        <is>
          <t>QLD Scientists EA</t>
        </is>
      </c>
      <c r="E1050" s="11" t="inlineStr">
        <is>
          <t>PP - Part-time Waged</t>
        </is>
      </c>
      <c r="F1050" s="11" t="inlineStr">
        <is>
          <t>Diagnostics</t>
        </is>
      </c>
      <c r="G1050" s="11" t="inlineStr">
        <is>
          <t>Queensland</t>
        </is>
      </c>
      <c r="H1050" s="13" t="inlineStr">
        <is>
          <t>45.60</t>
        </is>
      </c>
      <c r="I1050" s="11" t="inlineStr">
        <is>
          <t>Queensland Fertility Group Pty Ltd</t>
        </is>
      </c>
      <c r="J1050" s="14" t="n">
        <v>74.63</v>
      </c>
      <c r="K1050" s="13" t="inlineStr">
        <is>
          <t>74.63</t>
        </is>
      </c>
      <c r="L1050" s="12" t="n">
        <v>45949</v>
      </c>
      <c r="M1050" s="12" t="n">
        <v>45145</v>
      </c>
      <c r="N1050" s="13" t="inlineStr"/>
      <c r="O1050" s="13" t="inlineStr"/>
      <c r="P1050" s="12" t="n"/>
    </row>
    <row r="1051" ht="52.8" customHeight="1">
      <c r="A1051" s="15" t="inlineStr">
        <is>
          <t>AU23133</t>
        </is>
      </c>
      <c r="B1051" s="16" t="n">
        <v>45369</v>
      </c>
      <c r="C1051" s="15" t="inlineStr">
        <is>
          <t>Operation Support Projects</t>
        </is>
      </c>
      <c r="D1051" s="15" t="inlineStr">
        <is>
          <t>Common Law Employment Contract</t>
        </is>
      </c>
      <c r="E1051" s="15" t="inlineStr">
        <is>
          <t>PT - Part-time Salary</t>
        </is>
      </c>
      <c r="F1051" s="15" t="inlineStr">
        <is>
          <t>Queensland Fertility Group</t>
        </is>
      </c>
      <c r="G1051" s="15" t="inlineStr">
        <is>
          <t>Queensland</t>
        </is>
      </c>
      <c r="H1051" s="17" t="inlineStr">
        <is>
          <t>60.80</t>
        </is>
      </c>
      <c r="I1051" s="15" t="inlineStr">
        <is>
          <t>Queensland Fertility Group Pty Ltd</t>
        </is>
      </c>
      <c r="J1051" s="18" t="n">
        <v>74.81999999999999</v>
      </c>
      <c r="K1051" s="17" t="inlineStr">
        <is>
          <t>74.82</t>
        </is>
      </c>
      <c r="L1051" s="16" t="n">
        <v>45949</v>
      </c>
      <c r="M1051" s="16" t="n">
        <v>44110</v>
      </c>
      <c r="N1051" s="17" t="inlineStr"/>
      <c r="O1051" s="17" t="inlineStr"/>
      <c r="P1051" s="16" t="n"/>
    </row>
    <row r="1052" ht="39.6" customHeight="1">
      <c r="A1052" s="11" t="inlineStr">
        <is>
          <t>AU22626</t>
        </is>
      </c>
      <c r="B1052" s="12" t="n">
        <v>44866</v>
      </c>
      <c r="C1052" s="11" t="inlineStr">
        <is>
          <t>Medical Secretary</t>
        </is>
      </c>
      <c r="D1052" s="11" t="inlineStr">
        <is>
          <t>NSW Support Services EA</t>
        </is>
      </c>
      <c r="E1052" s="11" t="inlineStr">
        <is>
          <t>PP - Part-time Waged</t>
        </is>
      </c>
      <c r="F1052" s="11" t="inlineStr">
        <is>
          <t>IVFA</t>
        </is>
      </c>
      <c r="G1052" s="11" t="inlineStr">
        <is>
          <t>New South Wales</t>
        </is>
      </c>
      <c r="H1052" s="13" t="inlineStr">
        <is>
          <t>57.00</t>
        </is>
      </c>
      <c r="I1052" s="11" t="inlineStr">
        <is>
          <t>IVF Australia Pty Ltd</t>
        </is>
      </c>
      <c r="J1052" s="14" t="n">
        <v>74.86</v>
      </c>
      <c r="K1052" s="13" t="inlineStr">
        <is>
          <t>74.86</t>
        </is>
      </c>
      <c r="L1052" s="12" t="n">
        <v>45949</v>
      </c>
      <c r="M1052" s="12" t="n">
        <v>44866</v>
      </c>
      <c r="N1052" s="13" t="inlineStr"/>
      <c r="O1052" s="13" t="inlineStr"/>
      <c r="P1052" s="12" t="n"/>
    </row>
    <row r="1053" ht="39.6" customHeight="1">
      <c r="A1053" s="15" t="inlineStr">
        <is>
          <t>AU23607</t>
        </is>
      </c>
      <c r="B1053" s="16" t="n">
        <v>45782</v>
      </c>
      <c r="C1053" s="15" t="inlineStr">
        <is>
          <t>Registered Nurse</t>
        </is>
      </c>
      <c r="D1053" s="15" t="inlineStr">
        <is>
          <t>NSW Nurse EA</t>
        </is>
      </c>
      <c r="E1053" s="15" t="inlineStr">
        <is>
          <t>CA - Casual</t>
        </is>
      </c>
      <c r="F1053" s="15" t="inlineStr">
        <is>
          <t>IVFA</t>
        </is>
      </c>
      <c r="G1053" s="15" t="inlineStr">
        <is>
          <t>Australian Capital Territory</t>
        </is>
      </c>
      <c r="H1053" s="17" t="inlineStr"/>
      <c r="I1053" s="15" t="inlineStr">
        <is>
          <t>IVF Australia Pty Ltd</t>
        </is>
      </c>
      <c r="J1053" s="18" t="n">
        <v>75.15000000000001</v>
      </c>
      <c r="K1053" s="17" t="inlineStr">
        <is>
          <t>75.15</t>
        </is>
      </c>
      <c r="L1053" s="16" t="n">
        <v>45949</v>
      </c>
      <c r="M1053" s="16" t="n">
        <v>44329</v>
      </c>
      <c r="N1053" s="17" t="inlineStr"/>
      <c r="O1053" s="17" t="inlineStr"/>
      <c r="P1053" s="16" t="n"/>
    </row>
    <row r="1054" ht="39.6" customHeight="1">
      <c r="A1054" s="11" t="inlineStr">
        <is>
          <t>AU22901</t>
        </is>
      </c>
      <c r="B1054" s="12" t="n">
        <v>45103</v>
      </c>
      <c r="C1054" s="11" t="inlineStr">
        <is>
          <t>Embryologist</t>
        </is>
      </c>
      <c r="D1054" s="11" t="inlineStr">
        <is>
          <t>IVFA Scientists EA</t>
        </is>
      </c>
      <c r="E1054" s="11" t="inlineStr">
        <is>
          <t>FT - Full-time Waged</t>
        </is>
      </c>
      <c r="F1054" s="11" t="inlineStr">
        <is>
          <t>IVFA</t>
        </is>
      </c>
      <c r="G1054" s="11" t="inlineStr">
        <is>
          <t>Australian Capital Territory</t>
        </is>
      </c>
      <c r="H1054" s="13" t="inlineStr">
        <is>
          <t>76.00</t>
        </is>
      </c>
      <c r="I1054" s="11" t="inlineStr">
        <is>
          <t>IVF Australia Pty Ltd</t>
        </is>
      </c>
      <c r="J1054" s="14" t="n">
        <v>75.68000000000001</v>
      </c>
      <c r="K1054" s="13" t="inlineStr">
        <is>
          <t>75.68</t>
        </is>
      </c>
      <c r="L1054" s="12" t="n">
        <v>45949</v>
      </c>
      <c r="M1054" s="12" t="n">
        <v>45103</v>
      </c>
      <c r="N1054" s="13" t="inlineStr"/>
      <c r="O1054" s="13" t="inlineStr"/>
      <c r="P1054" s="12" t="n"/>
    </row>
    <row r="1055" ht="39.6" customHeight="1">
      <c r="A1055" s="15" t="n">
        <v>20350</v>
      </c>
      <c r="B1055" s="16" t="n">
        <v>41470</v>
      </c>
      <c r="C1055" s="15" t="inlineStr">
        <is>
          <t>Administration Team Leader</t>
        </is>
      </c>
      <c r="D1055" s="15" t="inlineStr">
        <is>
          <t>NSW Support Services EA</t>
        </is>
      </c>
      <c r="E1055" s="15" t="inlineStr">
        <is>
          <t>FT - Full-time Waged</t>
        </is>
      </c>
      <c r="F1055" s="15" t="inlineStr">
        <is>
          <t>IVFA</t>
        </is>
      </c>
      <c r="G1055" s="15" t="inlineStr">
        <is>
          <t>New South Wales</t>
        </is>
      </c>
      <c r="H1055" s="17" t="inlineStr">
        <is>
          <t>76.00</t>
        </is>
      </c>
      <c r="I1055" s="15" t="inlineStr">
        <is>
          <t>IVF Australia Pty Ltd</t>
        </is>
      </c>
      <c r="J1055" s="18" t="n">
        <v>404.78</v>
      </c>
      <c r="K1055" s="17" t="inlineStr">
        <is>
          <t>76.02</t>
        </is>
      </c>
      <c r="L1055" s="16" t="n">
        <v>45949</v>
      </c>
      <c r="M1055" s="16" t="n">
        <v>45122</v>
      </c>
      <c r="N1055" s="17" t="inlineStr">
        <is>
          <t>328.76</t>
        </is>
      </c>
      <c r="O1055" s="17" t="inlineStr"/>
      <c r="P1055" s="16" t="n"/>
    </row>
    <row r="1056" ht="39.6" customHeight="1">
      <c r="A1056" s="11" t="inlineStr">
        <is>
          <t>AU22861</t>
        </is>
      </c>
      <c r="B1056" s="12" t="n">
        <v>45054</v>
      </c>
      <c r="C1056" s="11" t="inlineStr">
        <is>
          <t>Embryologist</t>
        </is>
      </c>
      <c r="D1056" s="11" t="inlineStr">
        <is>
          <t>IVFA Scientists EA</t>
        </is>
      </c>
      <c r="E1056" s="11" t="inlineStr">
        <is>
          <t>FT - Full-time Waged</t>
        </is>
      </c>
      <c r="F1056" s="11" t="inlineStr">
        <is>
          <t>IVFA</t>
        </is>
      </c>
      <c r="G1056" s="11" t="inlineStr">
        <is>
          <t>New South Wales</t>
        </is>
      </c>
      <c r="H1056" s="13" t="inlineStr">
        <is>
          <t>76.00</t>
        </is>
      </c>
      <c r="I1056" s="11" t="inlineStr">
        <is>
          <t>IVF Australia Pty Ltd</t>
        </is>
      </c>
      <c r="J1056" s="14" t="n">
        <v>76.06</v>
      </c>
      <c r="K1056" s="13" t="inlineStr">
        <is>
          <t>76.06</t>
        </is>
      </c>
      <c r="L1056" s="12" t="n">
        <v>45949</v>
      </c>
      <c r="M1056" s="12" t="n">
        <v>45054</v>
      </c>
      <c r="N1056" s="13" t="inlineStr"/>
      <c r="O1056" s="13" t="inlineStr"/>
      <c r="P1056" s="12" t="n"/>
    </row>
    <row r="1057" ht="52.8" customHeight="1">
      <c r="A1057" s="15" t="inlineStr">
        <is>
          <t>AU22890</t>
        </is>
      </c>
      <c r="B1057" s="16" t="n">
        <v>45103</v>
      </c>
      <c r="C1057" s="15" t="inlineStr">
        <is>
          <t>ICT -INF-System Administrator</t>
        </is>
      </c>
      <c r="D1057" s="15" t="inlineStr">
        <is>
          <t>Common Law Employment Contract</t>
        </is>
      </c>
      <c r="E1057" s="15" t="inlineStr">
        <is>
          <t>FP - Full-time Salaried</t>
        </is>
      </c>
      <c r="F1057" s="15" t="inlineStr">
        <is>
          <t>Corporate Services</t>
        </is>
      </c>
      <c r="G1057" s="15" t="inlineStr">
        <is>
          <t>Queensland</t>
        </is>
      </c>
      <c r="H1057" s="17" t="inlineStr">
        <is>
          <t>76.00</t>
        </is>
      </c>
      <c r="I1057" s="15" t="inlineStr">
        <is>
          <t>IVF Australia Pty Ltd</t>
        </is>
      </c>
      <c r="J1057" s="18" t="n">
        <v>76.20999999999999</v>
      </c>
      <c r="K1057" s="17" t="inlineStr">
        <is>
          <t>76.21</t>
        </is>
      </c>
      <c r="L1057" s="16" t="n">
        <v>45949</v>
      </c>
      <c r="M1057" s="16" t="n">
        <v>45103</v>
      </c>
      <c r="N1057" s="17" t="inlineStr"/>
      <c r="O1057" s="17" t="inlineStr"/>
      <c r="P1057" s="16" t="n"/>
    </row>
    <row r="1058" ht="79.2" customHeight="1">
      <c r="A1058" s="11" t="inlineStr">
        <is>
          <t>AU23484</t>
        </is>
      </c>
      <c r="B1058" s="12" t="n">
        <v>45685</v>
      </c>
      <c r="C1058" s="11" t="inlineStr">
        <is>
          <t>Senior Administration Assistant</t>
        </is>
      </c>
      <c r="D1058" s="11" t="inlineStr">
        <is>
          <t>Health Professionals and Support Services Award</t>
        </is>
      </c>
      <c r="E1058" s="11" t="inlineStr">
        <is>
          <t>FT - Full-time Waged</t>
        </is>
      </c>
      <c r="F1058" s="11" t="inlineStr">
        <is>
          <t>Day Hospitals</t>
        </is>
      </c>
      <c r="G1058" s="11" t="inlineStr">
        <is>
          <t>Queensland</t>
        </is>
      </c>
      <c r="H1058" s="13" t="inlineStr">
        <is>
          <t>76.00</t>
        </is>
      </c>
      <c r="I1058" s="11" t="inlineStr">
        <is>
          <t>Spring Hill Specialist Day Hospital</t>
        </is>
      </c>
      <c r="J1058" s="14" t="n">
        <v>76.28</v>
      </c>
      <c r="K1058" s="13" t="inlineStr">
        <is>
          <t>76.28</t>
        </is>
      </c>
      <c r="L1058" s="12" t="n">
        <v>45949</v>
      </c>
      <c r="M1058" s="12" t="n">
        <v>44455</v>
      </c>
      <c r="N1058" s="13" t="inlineStr"/>
      <c r="O1058" s="13" t="inlineStr"/>
      <c r="P1058" s="12" t="n"/>
    </row>
    <row r="1059" ht="52.8" customHeight="1">
      <c r="A1059" s="15" t="inlineStr">
        <is>
          <t>AU22788</t>
        </is>
      </c>
      <c r="B1059" s="16" t="n">
        <v>45005</v>
      </c>
      <c r="C1059" s="15" t="inlineStr">
        <is>
          <t>Genetic Scientist</t>
        </is>
      </c>
      <c r="D1059" s="15" t="inlineStr">
        <is>
          <t>QLD Scientists EA</t>
        </is>
      </c>
      <c r="E1059" s="15" t="inlineStr">
        <is>
          <t>PP - Part-time Waged</t>
        </is>
      </c>
      <c r="F1059" s="15" t="inlineStr">
        <is>
          <t>Diagnostics</t>
        </is>
      </c>
      <c r="G1059" s="15" t="inlineStr">
        <is>
          <t>Queensland</t>
        </is>
      </c>
      <c r="H1059" s="17" t="inlineStr">
        <is>
          <t>60.80</t>
        </is>
      </c>
      <c r="I1059" s="15" t="inlineStr">
        <is>
          <t>Queensland Fertility Group Pty Ltd</t>
        </is>
      </c>
      <c r="J1059" s="18" t="n">
        <v>76.34</v>
      </c>
      <c r="K1059" s="17" t="inlineStr">
        <is>
          <t>76.34</t>
        </is>
      </c>
      <c r="L1059" s="16" t="n">
        <v>45949</v>
      </c>
      <c r="M1059" s="16" t="n">
        <v>45005</v>
      </c>
      <c r="N1059" s="17" t="inlineStr"/>
      <c r="O1059" s="17" t="inlineStr"/>
      <c r="P1059" s="16" t="n"/>
    </row>
    <row r="1060" ht="66" customHeight="1">
      <c r="A1060" s="11" t="n">
        <v>50168</v>
      </c>
      <c r="B1060" s="12" t="n">
        <v>44032</v>
      </c>
      <c r="C1060" s="11" t="inlineStr">
        <is>
          <t>Registered Nurse</t>
        </is>
      </c>
      <c r="D1060" s="11" t="inlineStr">
        <is>
          <t>NSW Nurse EA</t>
        </is>
      </c>
      <c r="E1060" s="11" t="inlineStr">
        <is>
          <t>CA - Casual</t>
        </is>
      </c>
      <c r="F1060" s="11" t="inlineStr">
        <is>
          <t>Day Hospitals</t>
        </is>
      </c>
      <c r="G1060" s="11" t="inlineStr">
        <is>
          <t>New South Wales</t>
        </is>
      </c>
      <c r="H1060" s="13" t="inlineStr"/>
      <c r="I1060" s="11" t="inlineStr">
        <is>
          <t>Alexandria Specialist Day Hospital Pty Ltd</t>
        </is>
      </c>
      <c r="J1060" s="14" t="n">
        <v>76.36</v>
      </c>
      <c r="K1060" s="13" t="inlineStr">
        <is>
          <t>76.36</t>
        </is>
      </c>
      <c r="L1060" s="12" t="n">
        <v>45949</v>
      </c>
      <c r="M1060" s="12" t="n">
        <v>44032</v>
      </c>
      <c r="N1060" s="13" t="inlineStr"/>
      <c r="O1060" s="13" t="inlineStr"/>
      <c r="P1060" s="12" t="n"/>
    </row>
    <row r="1061" ht="39.6" customHeight="1">
      <c r="A1061" s="15" t="inlineStr">
        <is>
          <t>AU22699</t>
        </is>
      </c>
      <c r="B1061" s="16" t="n">
        <v>44942</v>
      </c>
      <c r="C1061" s="15" t="inlineStr">
        <is>
          <t>Registered Nurse</t>
        </is>
      </c>
      <c r="D1061" s="15" t="inlineStr">
        <is>
          <t>NSW Nurse EA</t>
        </is>
      </c>
      <c r="E1061" s="15" t="inlineStr">
        <is>
          <t>PP - Part-time Waged</t>
        </is>
      </c>
      <c r="F1061" s="15" t="inlineStr">
        <is>
          <t>IVFA</t>
        </is>
      </c>
      <c r="G1061" s="15" t="inlineStr">
        <is>
          <t>New South Wales</t>
        </is>
      </c>
      <c r="H1061" s="17" t="inlineStr">
        <is>
          <t>68.00</t>
        </is>
      </c>
      <c r="I1061" s="15" t="inlineStr">
        <is>
          <t>IVF Australia Pty Ltd</t>
        </is>
      </c>
      <c r="J1061" s="18" t="n">
        <v>77.28</v>
      </c>
      <c r="K1061" s="17" t="inlineStr">
        <is>
          <t>77.28</t>
        </is>
      </c>
      <c r="L1061" s="16" t="n">
        <v>45949</v>
      </c>
      <c r="M1061" s="16" t="n">
        <v>44942</v>
      </c>
      <c r="N1061" s="17" t="inlineStr"/>
      <c r="O1061" s="17" t="inlineStr"/>
      <c r="P1061" s="16" t="n"/>
    </row>
    <row r="1062" ht="52.8" customHeight="1">
      <c r="A1062" s="11" t="inlineStr">
        <is>
          <t>AU23155</t>
        </is>
      </c>
      <c r="B1062" s="12" t="n">
        <v>45390</v>
      </c>
      <c r="C1062" s="11" t="inlineStr">
        <is>
          <t>Enrolled Nurse</t>
        </is>
      </c>
      <c r="D1062" s="11" t="inlineStr">
        <is>
          <t>QLD Nurse EA</t>
        </is>
      </c>
      <c r="E1062" s="11" t="inlineStr">
        <is>
          <t>FT - Full-time Waged</t>
        </is>
      </c>
      <c r="F1062" s="11" t="inlineStr">
        <is>
          <t>Day Hospitals</t>
        </is>
      </c>
      <c r="G1062" s="11" t="inlineStr">
        <is>
          <t>Queensland</t>
        </is>
      </c>
      <c r="H1062" s="13" t="inlineStr">
        <is>
          <t>76.00</t>
        </is>
      </c>
      <c r="I1062" s="11" t="inlineStr">
        <is>
          <t>Spring Hill Specialist Day Hospital</t>
        </is>
      </c>
      <c r="J1062" s="14" t="n">
        <v>77.40000000000001</v>
      </c>
      <c r="K1062" s="13" t="inlineStr">
        <is>
          <t>77.40</t>
        </is>
      </c>
      <c r="L1062" s="12" t="n">
        <v>45949</v>
      </c>
      <c r="M1062" s="12" t="n">
        <v>45299</v>
      </c>
      <c r="N1062" s="13" t="inlineStr"/>
      <c r="O1062" s="13" t="inlineStr"/>
      <c r="P1062" s="12" t="n"/>
    </row>
    <row r="1063" ht="66" customHeight="1">
      <c r="A1063" s="15" t="inlineStr">
        <is>
          <t>AU22859</t>
        </is>
      </c>
      <c r="B1063" s="16" t="n">
        <v>45082</v>
      </c>
      <c r="C1063" s="15" t="inlineStr">
        <is>
          <t>HR &amp; Payroll Implementation Consultant</t>
        </is>
      </c>
      <c r="D1063" s="15" t="inlineStr">
        <is>
          <t>Common Law Employment Contract</t>
        </is>
      </c>
      <c r="E1063" s="15" t="inlineStr">
        <is>
          <t>FP - Full-time Salaried</t>
        </is>
      </c>
      <c r="F1063" s="15" t="inlineStr">
        <is>
          <t>Corporate Services</t>
        </is>
      </c>
      <c r="G1063" s="15" t="inlineStr">
        <is>
          <t>Queensland</t>
        </is>
      </c>
      <c r="H1063" s="17" t="inlineStr">
        <is>
          <t>76.00</t>
        </is>
      </c>
      <c r="I1063" s="15" t="inlineStr">
        <is>
          <t>IVF Australia Pty Ltd</t>
        </is>
      </c>
      <c r="J1063" s="18" t="n">
        <v>77.48</v>
      </c>
      <c r="K1063" s="17" t="inlineStr">
        <is>
          <t>77.48</t>
        </is>
      </c>
      <c r="L1063" s="16" t="n">
        <v>45949</v>
      </c>
      <c r="M1063" s="16" t="n">
        <v>45082</v>
      </c>
      <c r="N1063" s="17" t="inlineStr"/>
      <c r="O1063" s="17" t="inlineStr"/>
      <c r="P1063" s="16" t="n"/>
    </row>
    <row r="1064" ht="52.8" customHeight="1">
      <c r="A1064" s="11" t="inlineStr">
        <is>
          <t>AU22846</t>
        </is>
      </c>
      <c r="B1064" s="12" t="n">
        <v>45068</v>
      </c>
      <c r="C1064" s="11" t="inlineStr">
        <is>
          <t>Senior Payroll Business Partner</t>
        </is>
      </c>
      <c r="D1064" s="11" t="inlineStr">
        <is>
          <t>Common Law Employment Contract</t>
        </is>
      </c>
      <c r="E1064" s="11" t="inlineStr">
        <is>
          <t>FP - Full-time Salaried</t>
        </is>
      </c>
      <c r="F1064" s="11" t="inlineStr">
        <is>
          <t>Corporate Services</t>
        </is>
      </c>
      <c r="G1064" s="11" t="inlineStr">
        <is>
          <t>New South Wales</t>
        </is>
      </c>
      <c r="H1064" s="13" t="inlineStr">
        <is>
          <t>76.00</t>
        </is>
      </c>
      <c r="I1064" s="11" t="inlineStr">
        <is>
          <t>IVF Australia Pty Ltd</t>
        </is>
      </c>
      <c r="J1064" s="14" t="n">
        <v>78.14</v>
      </c>
      <c r="K1064" s="13" t="inlineStr">
        <is>
          <t>78.14</t>
        </is>
      </c>
      <c r="L1064" s="12" t="n">
        <v>45949</v>
      </c>
      <c r="M1064" s="12" t="n">
        <v>45068</v>
      </c>
      <c r="N1064" s="13" t="inlineStr"/>
      <c r="O1064" s="13" t="inlineStr"/>
      <c r="P1064" s="12" t="n"/>
    </row>
    <row r="1065" ht="52.8" customHeight="1">
      <c r="A1065" s="15" t="inlineStr">
        <is>
          <t>AU22667</t>
        </is>
      </c>
      <c r="B1065" s="16" t="n">
        <v>44907</v>
      </c>
      <c r="C1065" s="15" t="inlineStr">
        <is>
          <t>Head of Property</t>
        </is>
      </c>
      <c r="D1065" s="15" t="inlineStr">
        <is>
          <t>Common Law Employment Contract</t>
        </is>
      </c>
      <c r="E1065" s="15" t="inlineStr">
        <is>
          <t>FP - Full-time Salaried</t>
        </is>
      </c>
      <c r="F1065" s="15" t="inlineStr">
        <is>
          <t>Corporate Services</t>
        </is>
      </c>
      <c r="G1065" s="15" t="inlineStr">
        <is>
          <t>Victoria</t>
        </is>
      </c>
      <c r="H1065" s="17" t="inlineStr">
        <is>
          <t>76.00</t>
        </is>
      </c>
      <c r="I1065" s="15" t="inlineStr">
        <is>
          <t>IVF Australia Pty Ltd</t>
        </is>
      </c>
      <c r="J1065" s="18" t="n">
        <v>78.81999999999999</v>
      </c>
      <c r="K1065" s="17" t="inlineStr">
        <is>
          <t>78.82</t>
        </is>
      </c>
      <c r="L1065" s="16" t="n">
        <v>45949</v>
      </c>
      <c r="M1065" s="16" t="n">
        <v>44907</v>
      </c>
      <c r="N1065" s="17" t="inlineStr"/>
      <c r="O1065" s="17" t="inlineStr"/>
      <c r="P1065" s="16" t="n"/>
    </row>
    <row r="1066" ht="52.8" customHeight="1">
      <c r="A1066" s="11" t="inlineStr">
        <is>
          <t>AU23136</t>
        </is>
      </c>
      <c r="B1066" s="12" t="n">
        <v>45369</v>
      </c>
      <c r="C1066" s="11" t="inlineStr">
        <is>
          <t>Genetic Laboratory Assistant</t>
        </is>
      </c>
      <c r="D1066" s="11" t="inlineStr">
        <is>
          <t>QLD Scientists EA</t>
        </is>
      </c>
      <c r="E1066" s="11" t="inlineStr">
        <is>
          <t>CO - Contract</t>
        </is>
      </c>
      <c r="F1066" s="11" t="inlineStr">
        <is>
          <t>Diagnostics</t>
        </is>
      </c>
      <c r="G1066" s="11" t="inlineStr">
        <is>
          <t>Queensland</t>
        </is>
      </c>
      <c r="H1066" s="13" t="inlineStr">
        <is>
          <t>76.00</t>
        </is>
      </c>
      <c r="I1066" s="11" t="inlineStr">
        <is>
          <t>Queensland Fertility Group Pty Ltd</t>
        </is>
      </c>
      <c r="J1066" s="14" t="n">
        <v>78.95</v>
      </c>
      <c r="K1066" s="13" t="inlineStr">
        <is>
          <t>78.95</t>
        </is>
      </c>
      <c r="L1066" s="12" t="n">
        <v>45949</v>
      </c>
      <c r="M1066" s="12" t="n">
        <v>45369</v>
      </c>
      <c r="N1066" s="13" t="inlineStr"/>
      <c r="O1066" s="13" t="inlineStr"/>
      <c r="P1066" s="12" t="n"/>
    </row>
    <row r="1067" ht="66" customHeight="1">
      <c r="A1067" s="15" t="inlineStr">
        <is>
          <t>AU23845</t>
        </is>
      </c>
      <c r="B1067" s="16" t="n">
        <v>45908</v>
      </c>
      <c r="C1067" s="15" t="inlineStr">
        <is>
          <t>Registered Nurse</t>
        </is>
      </c>
      <c r="D1067" s="15" t="inlineStr">
        <is>
          <t>NSW Nurse EA</t>
        </is>
      </c>
      <c r="E1067" s="15" t="inlineStr">
        <is>
          <t>PP - Part-time Waged</t>
        </is>
      </c>
      <c r="F1067" s="15" t="inlineStr">
        <is>
          <t>Day Hospitals</t>
        </is>
      </c>
      <c r="G1067" s="15" t="inlineStr">
        <is>
          <t>New South Wales</t>
        </is>
      </c>
      <c r="H1067" s="17" t="inlineStr">
        <is>
          <t>32.00</t>
        </is>
      </c>
      <c r="I1067" s="15" t="inlineStr">
        <is>
          <t>North Shore Specialist Day Hospital Pty Ltd</t>
        </is>
      </c>
      <c r="J1067" s="18" t="n">
        <v>79.05</v>
      </c>
      <c r="K1067" s="17" t="inlineStr">
        <is>
          <t>79.05</t>
        </is>
      </c>
      <c r="L1067" s="16" t="n">
        <v>45949</v>
      </c>
      <c r="M1067" s="16" t="n">
        <v>43087</v>
      </c>
      <c r="N1067" s="17" t="inlineStr"/>
      <c r="O1067" s="17" t="inlineStr"/>
      <c r="P1067" s="16" t="n"/>
    </row>
    <row r="1068" ht="39.6" customHeight="1">
      <c r="A1068" s="11" t="inlineStr">
        <is>
          <t>AU22503</t>
        </is>
      </c>
      <c r="B1068" s="12" t="n">
        <v>44753</v>
      </c>
      <c r="C1068" s="11" t="inlineStr">
        <is>
          <t>Counsellor</t>
        </is>
      </c>
      <c r="D1068" s="11" t="inlineStr">
        <is>
          <t>NSW Counsellor EA</t>
        </is>
      </c>
      <c r="E1068" s="11" t="inlineStr">
        <is>
          <t>PP - Part-time Waged</t>
        </is>
      </c>
      <c r="F1068" s="11" t="inlineStr">
        <is>
          <t>IVFA</t>
        </is>
      </c>
      <c r="G1068" s="11" t="inlineStr">
        <is>
          <t>New South Wales</t>
        </is>
      </c>
      <c r="H1068" s="13" t="inlineStr">
        <is>
          <t>64.00</t>
        </is>
      </c>
      <c r="I1068" s="11" t="inlineStr">
        <is>
          <t>IVF Australia Pty Ltd</t>
        </is>
      </c>
      <c r="J1068" s="14" t="n">
        <v>79.31</v>
      </c>
      <c r="K1068" s="13" t="inlineStr">
        <is>
          <t>79.31</t>
        </is>
      </c>
      <c r="L1068" s="12" t="n">
        <v>45949</v>
      </c>
      <c r="M1068" s="12" t="n">
        <v>44753</v>
      </c>
      <c r="N1068" s="13" t="inlineStr"/>
      <c r="O1068" s="13" t="inlineStr"/>
      <c r="P1068" s="12" t="n"/>
    </row>
    <row r="1069" ht="52.8" customHeight="1">
      <c r="A1069" s="15" t="inlineStr">
        <is>
          <t>AU22764</t>
        </is>
      </c>
      <c r="B1069" s="16" t="n">
        <v>44958</v>
      </c>
      <c r="C1069" s="15" t="inlineStr">
        <is>
          <t>Non-accredited CREI Trainee</t>
        </is>
      </c>
      <c r="D1069" s="15" t="inlineStr">
        <is>
          <t>Common Law Employment Contract</t>
        </is>
      </c>
      <c r="E1069" s="15" t="inlineStr">
        <is>
          <t>FT - Full-time Waged</t>
        </is>
      </c>
      <c r="F1069" s="15" t="inlineStr">
        <is>
          <t>IVFA</t>
        </is>
      </c>
      <c r="G1069" s="15" t="inlineStr">
        <is>
          <t>New South Wales</t>
        </is>
      </c>
      <c r="H1069" s="17" t="inlineStr">
        <is>
          <t>76.00</t>
        </is>
      </c>
      <c r="I1069" s="15" t="inlineStr">
        <is>
          <t>IVF Australia Pty Ltd</t>
        </is>
      </c>
      <c r="J1069" s="18" t="n">
        <v>79.67</v>
      </c>
      <c r="K1069" s="17" t="inlineStr">
        <is>
          <t>79.67</t>
        </is>
      </c>
      <c r="L1069" s="16" t="n">
        <v>45949</v>
      </c>
      <c r="M1069" s="16" t="n">
        <v>44958</v>
      </c>
      <c r="N1069" s="17" t="inlineStr"/>
      <c r="O1069" s="17" t="inlineStr"/>
      <c r="P1069" s="16" t="n"/>
    </row>
    <row r="1070" ht="52.8" customHeight="1">
      <c r="A1070" s="11" t="n">
        <v>80119</v>
      </c>
      <c r="B1070" s="12" t="n">
        <v>41442</v>
      </c>
      <c r="C1070" s="11" t="inlineStr">
        <is>
          <t>Genetic Senior Scientist</t>
        </is>
      </c>
      <c r="D1070" s="11" t="inlineStr">
        <is>
          <t>QLD Scientists EA</t>
        </is>
      </c>
      <c r="E1070" s="11" t="inlineStr">
        <is>
          <t>FT - Full-time Waged</t>
        </is>
      </c>
      <c r="F1070" s="11" t="inlineStr">
        <is>
          <t>Diagnostics</t>
        </is>
      </c>
      <c r="G1070" s="11" t="inlineStr">
        <is>
          <t>Queensland</t>
        </is>
      </c>
      <c r="H1070" s="13" t="inlineStr">
        <is>
          <t>76.00</t>
        </is>
      </c>
      <c r="I1070" s="11" t="inlineStr">
        <is>
          <t>Queensland Fertility Group Pty Ltd</t>
        </is>
      </c>
      <c r="J1070" s="14" t="n">
        <v>36.2</v>
      </c>
      <c r="K1070" s="13" t="inlineStr">
        <is>
          <t>79.86</t>
        </is>
      </c>
      <c r="L1070" s="12" t="n">
        <v>45949</v>
      </c>
      <c r="M1070" s="12" t="n">
        <v>45094</v>
      </c>
      <c r="N1070" s="13" t="inlineStr">
        <is>
          <t>328.74</t>
        </is>
      </c>
      <c r="O1070" s="13" t="inlineStr">
        <is>
          <t>372.40</t>
        </is>
      </c>
      <c r="P1070" s="12" t="n"/>
    </row>
    <row r="1071" ht="39.6" customHeight="1">
      <c r="A1071" s="15" t="inlineStr">
        <is>
          <t>AU22531</t>
        </is>
      </c>
      <c r="B1071" s="16" t="n">
        <v>44788</v>
      </c>
      <c r="C1071" s="15" t="inlineStr">
        <is>
          <t>Embryologist</t>
        </is>
      </c>
      <c r="D1071" s="15" t="inlineStr">
        <is>
          <t>IVFA Scientists EA</t>
        </is>
      </c>
      <c r="E1071" s="15" t="inlineStr">
        <is>
          <t>PP - Part-time Waged</t>
        </is>
      </c>
      <c r="F1071" s="15" t="inlineStr">
        <is>
          <t>IVFA</t>
        </is>
      </c>
      <c r="G1071" s="15" t="inlineStr">
        <is>
          <t>New South Wales</t>
        </is>
      </c>
      <c r="H1071" s="17" t="inlineStr">
        <is>
          <t>68.50</t>
        </is>
      </c>
      <c r="I1071" s="15" t="inlineStr">
        <is>
          <t>IVF Australia Pty Ltd</t>
        </is>
      </c>
      <c r="J1071" s="18" t="n">
        <v>79.97</v>
      </c>
      <c r="K1071" s="17" t="inlineStr">
        <is>
          <t>79.97</t>
        </is>
      </c>
      <c r="L1071" s="16" t="n">
        <v>45949</v>
      </c>
      <c r="M1071" s="16" t="n">
        <v>44788</v>
      </c>
      <c r="N1071" s="17" t="inlineStr"/>
      <c r="O1071" s="17" t="inlineStr"/>
      <c r="P1071" s="16" t="n"/>
    </row>
    <row r="1072" ht="26.4" customHeight="1">
      <c r="A1072" s="11" t="n">
        <v>40137</v>
      </c>
      <c r="B1072" s="12" t="n">
        <v>44292</v>
      </c>
      <c r="C1072" s="11" t="inlineStr">
        <is>
          <t>Registered Nurse</t>
        </is>
      </c>
      <c r="D1072" s="11" t="inlineStr">
        <is>
          <t>NSW Nurse EA</t>
        </is>
      </c>
      <c r="E1072" s="11" t="inlineStr">
        <is>
          <t>CA - Casual</t>
        </is>
      </c>
      <c r="F1072" s="11" t="inlineStr">
        <is>
          <t>Day Hospitals</t>
        </is>
      </c>
      <c r="G1072" s="11" t="inlineStr">
        <is>
          <t>New South Wales</t>
        </is>
      </c>
      <c r="H1072" s="13" t="inlineStr"/>
      <c r="I1072" s="11" t="inlineStr">
        <is>
          <t>City West Day Surgery</t>
        </is>
      </c>
      <c r="J1072" s="14" t="n">
        <v>80.15000000000001</v>
      </c>
      <c r="K1072" s="13" t="inlineStr">
        <is>
          <t>80.15</t>
        </is>
      </c>
      <c r="L1072" s="12" t="n">
        <v>45949</v>
      </c>
      <c r="M1072" s="12" t="n">
        <v>44292</v>
      </c>
      <c r="N1072" s="13" t="inlineStr"/>
      <c r="O1072" s="13" t="inlineStr"/>
      <c r="P1072" s="12" t="n"/>
    </row>
    <row r="1073" ht="52.8" customHeight="1">
      <c r="A1073" s="15" t="n">
        <v>80116</v>
      </c>
      <c r="B1073" s="16" t="n">
        <v>41422</v>
      </c>
      <c r="C1073" s="15" t="inlineStr">
        <is>
          <t>Genetic Senior Scientist</t>
        </is>
      </c>
      <c r="D1073" s="15" t="inlineStr">
        <is>
          <t>QLD Scientists EA</t>
        </is>
      </c>
      <c r="E1073" s="15" t="inlineStr">
        <is>
          <t>FT - Full-time Waged</t>
        </is>
      </c>
      <c r="F1073" s="15" t="inlineStr">
        <is>
          <t>Diagnostics</t>
        </is>
      </c>
      <c r="G1073" s="15" t="inlineStr">
        <is>
          <t>Queensland</t>
        </is>
      </c>
      <c r="H1073" s="17" t="inlineStr">
        <is>
          <t>76.00</t>
        </is>
      </c>
      <c r="I1073" s="15" t="inlineStr">
        <is>
          <t>Queensland Fertility Group Pty Ltd</t>
        </is>
      </c>
      <c r="J1073" s="18" t="n">
        <v>167.39</v>
      </c>
      <c r="K1073" s="17" t="inlineStr">
        <is>
          <t>80.20</t>
        </is>
      </c>
      <c r="L1073" s="16" t="n">
        <v>45949</v>
      </c>
      <c r="M1073" s="16" t="n">
        <v>45074</v>
      </c>
      <c r="N1073" s="17" t="inlineStr">
        <is>
          <t>261.99</t>
        </is>
      </c>
      <c r="O1073" s="17" t="inlineStr">
        <is>
          <t>174.80</t>
        </is>
      </c>
      <c r="P1073" s="16" t="n"/>
    </row>
    <row r="1074" ht="79.2" customHeight="1">
      <c r="A1074" s="11" t="n">
        <v>90095</v>
      </c>
      <c r="B1074" s="12" t="n">
        <v>43560</v>
      </c>
      <c r="C1074" s="11" t="inlineStr">
        <is>
          <t>Courier</t>
        </is>
      </c>
      <c r="D1074" s="11" t="inlineStr">
        <is>
          <t>Health Professionals and Support Services Award</t>
        </is>
      </c>
      <c r="E1074" s="11" t="inlineStr">
        <is>
          <t>CA - Casual</t>
        </is>
      </c>
      <c r="F1074" s="11" t="inlineStr">
        <is>
          <t>Diagnostics</t>
        </is>
      </c>
      <c r="G1074" s="11" t="inlineStr">
        <is>
          <t>New South Wales</t>
        </is>
      </c>
      <c r="H1074" s="13" t="inlineStr"/>
      <c r="I1074" s="11" t="inlineStr">
        <is>
          <t>Virtus Health Specialist Diagnostics</t>
        </is>
      </c>
      <c r="J1074" s="14" t="n">
        <v>80.2</v>
      </c>
      <c r="K1074" s="13" t="inlineStr">
        <is>
          <t>80.20</t>
        </is>
      </c>
      <c r="L1074" s="12" t="n">
        <v>45949</v>
      </c>
      <c r="M1074" s="12" t="n">
        <v>43560</v>
      </c>
      <c r="N1074" s="13" t="inlineStr"/>
      <c r="O1074" s="13" t="inlineStr"/>
      <c r="P1074" s="12" t="n"/>
    </row>
    <row r="1075" ht="66" customHeight="1">
      <c r="A1075" s="15" t="inlineStr">
        <is>
          <t>AU22817</t>
        </is>
      </c>
      <c r="B1075" s="16" t="n">
        <v>45033</v>
      </c>
      <c r="C1075" s="15" t="inlineStr">
        <is>
          <t>Head of Department - Cytogenetics</t>
        </is>
      </c>
      <c r="D1075" s="15" t="inlineStr">
        <is>
          <t>Common Law Employment Contract</t>
        </is>
      </c>
      <c r="E1075" s="15" t="inlineStr">
        <is>
          <t>FP - Full-time Salaried</t>
        </is>
      </c>
      <c r="F1075" s="15" t="inlineStr">
        <is>
          <t>Diagnostics</t>
        </is>
      </c>
      <c r="G1075" s="15" t="inlineStr">
        <is>
          <t>Queensland</t>
        </is>
      </c>
      <c r="H1075" s="17" t="inlineStr">
        <is>
          <t>76.00</t>
        </is>
      </c>
      <c r="I1075" s="15" t="inlineStr">
        <is>
          <t>Virtus Health Specialist Diagnostics</t>
        </is>
      </c>
      <c r="J1075" s="18" t="n">
        <v>80.52</v>
      </c>
      <c r="K1075" s="17" t="inlineStr">
        <is>
          <t>80.52</t>
        </is>
      </c>
      <c r="L1075" s="16" t="n">
        <v>45949</v>
      </c>
      <c r="M1075" s="16" t="n">
        <v>45033</v>
      </c>
      <c r="N1075" s="17" t="inlineStr"/>
      <c r="O1075" s="17" t="inlineStr"/>
      <c r="P1075" s="16" t="n"/>
    </row>
    <row r="1076" ht="52.8" customHeight="1">
      <c r="A1076" s="11" t="inlineStr">
        <is>
          <t>AU22821</t>
        </is>
      </c>
      <c r="B1076" s="12" t="n">
        <v>45042</v>
      </c>
      <c r="C1076" s="11" t="inlineStr">
        <is>
          <t>Workforce Scheduling Business Analyst</t>
        </is>
      </c>
      <c r="D1076" s="11" t="inlineStr">
        <is>
          <t>Common Law Employment Contract</t>
        </is>
      </c>
      <c r="E1076" s="11" t="inlineStr">
        <is>
          <t>FP - Full-time Salaried</t>
        </is>
      </c>
      <c r="F1076" s="11" t="inlineStr">
        <is>
          <t>Corporate Services</t>
        </is>
      </c>
      <c r="G1076" s="11" t="inlineStr">
        <is>
          <t>Queensland</t>
        </is>
      </c>
      <c r="H1076" s="13" t="inlineStr">
        <is>
          <t>76.00</t>
        </is>
      </c>
      <c r="I1076" s="11" t="inlineStr">
        <is>
          <t>IVF Australia Pty Ltd</t>
        </is>
      </c>
      <c r="J1076" s="14" t="n">
        <v>80.52</v>
      </c>
      <c r="K1076" s="13" t="inlineStr">
        <is>
          <t>80.52</t>
        </is>
      </c>
      <c r="L1076" s="12" t="n">
        <v>45949</v>
      </c>
      <c r="M1076" s="12" t="n">
        <v>45042</v>
      </c>
      <c r="N1076" s="13" t="inlineStr"/>
      <c r="O1076" s="13" t="inlineStr"/>
      <c r="P1076" s="12" t="n"/>
    </row>
    <row r="1077" ht="39.6" customHeight="1">
      <c r="A1077" s="15" t="inlineStr">
        <is>
          <t>AU22812</t>
        </is>
      </c>
      <c r="B1077" s="16" t="n">
        <v>45015</v>
      </c>
      <c r="C1077" s="15" t="inlineStr">
        <is>
          <t>Medical Secretary</t>
        </is>
      </c>
      <c r="D1077" s="15" t="inlineStr">
        <is>
          <t>NSW Support Services EA</t>
        </is>
      </c>
      <c r="E1077" s="15" t="inlineStr">
        <is>
          <t>FT - Full-time Waged</t>
        </is>
      </c>
      <c r="F1077" s="15" t="inlineStr">
        <is>
          <t>IVFA</t>
        </is>
      </c>
      <c r="G1077" s="15" t="inlineStr">
        <is>
          <t>New South Wales</t>
        </is>
      </c>
      <c r="H1077" s="17" t="inlineStr">
        <is>
          <t>76.00</t>
        </is>
      </c>
      <c r="I1077" s="15" t="inlineStr">
        <is>
          <t>IVF Australia Pty Ltd</t>
        </is>
      </c>
      <c r="J1077" s="18" t="n">
        <v>81.14</v>
      </c>
      <c r="K1077" s="17" t="inlineStr">
        <is>
          <t>81.14</t>
        </is>
      </c>
      <c r="L1077" s="16" t="n">
        <v>45949</v>
      </c>
      <c r="M1077" s="16" t="n">
        <v>45015</v>
      </c>
      <c r="N1077" s="17" t="inlineStr"/>
      <c r="O1077" s="17" t="inlineStr"/>
      <c r="P1077" s="16" t="n"/>
    </row>
    <row r="1078" ht="52.8" customHeight="1">
      <c r="A1078" s="11" t="inlineStr">
        <is>
          <t>AU23465</t>
        </is>
      </c>
      <c r="B1078" s="12" t="n">
        <v>45663</v>
      </c>
      <c r="C1078" s="11" t="inlineStr">
        <is>
          <t>Payroll Business Partner</t>
        </is>
      </c>
      <c r="D1078" s="11" t="inlineStr">
        <is>
          <t>Common Law Employment Contract</t>
        </is>
      </c>
      <c r="E1078" s="11" t="inlineStr">
        <is>
          <t>CA - Casual</t>
        </is>
      </c>
      <c r="F1078" s="11" t="inlineStr">
        <is>
          <t>Corporate Services</t>
        </is>
      </c>
      <c r="G1078" s="11" t="inlineStr">
        <is>
          <t>New South Wales</t>
        </is>
      </c>
      <c r="H1078" s="13" t="inlineStr"/>
      <c r="I1078" s="11" t="inlineStr">
        <is>
          <t>IVF Australia Pty Ltd</t>
        </is>
      </c>
      <c r="J1078" s="14" t="n">
        <v>81.15000000000001</v>
      </c>
      <c r="K1078" s="13" t="inlineStr">
        <is>
          <t>81.15</t>
        </is>
      </c>
      <c r="L1078" s="12" t="n">
        <v>45949</v>
      </c>
      <c r="M1078" s="12" t="n">
        <v>45047</v>
      </c>
      <c r="N1078" s="13" t="inlineStr"/>
      <c r="O1078" s="13" t="inlineStr"/>
      <c r="P1078" s="12" t="n"/>
    </row>
    <row r="1079" ht="66" customHeight="1">
      <c r="A1079" s="15" t="inlineStr">
        <is>
          <t>AU22909</t>
        </is>
      </c>
      <c r="B1079" s="16" t="n">
        <v>45110</v>
      </c>
      <c r="C1079" s="15" t="inlineStr">
        <is>
          <t>Registered Nurse</t>
        </is>
      </c>
      <c r="D1079" s="15" t="inlineStr">
        <is>
          <t>NSW Nurse EA</t>
        </is>
      </c>
      <c r="E1079" s="15" t="inlineStr">
        <is>
          <t>PP - Part-time Waged</t>
        </is>
      </c>
      <c r="F1079" s="15" t="inlineStr">
        <is>
          <t>Day Hospitals</t>
        </is>
      </c>
      <c r="G1079" s="15" t="inlineStr">
        <is>
          <t>New South Wales</t>
        </is>
      </c>
      <c r="H1079" s="17" t="inlineStr">
        <is>
          <t>15.20</t>
        </is>
      </c>
      <c r="I1079" s="15" t="inlineStr">
        <is>
          <t>Alexandria Specialist Day Hospital Pty Ltd</t>
        </is>
      </c>
      <c r="J1079" s="18" t="n">
        <v>107.13</v>
      </c>
      <c r="K1079" s="17" t="inlineStr">
        <is>
          <t>81.32</t>
        </is>
      </c>
      <c r="L1079" s="16" t="n">
        <v>45949</v>
      </c>
      <c r="M1079" s="16" t="n">
        <v>44418</v>
      </c>
      <c r="N1079" s="17" t="inlineStr">
        <is>
          <t>25.81</t>
        </is>
      </c>
      <c r="O1079" s="17" t="inlineStr"/>
      <c r="P1079" s="16" t="n"/>
    </row>
    <row r="1080" ht="52.8" customHeight="1">
      <c r="A1080" s="11" t="inlineStr">
        <is>
          <t>AU22581</t>
        </is>
      </c>
      <c r="B1080" s="12" t="n">
        <v>44837</v>
      </c>
      <c r="C1080" s="11" t="inlineStr">
        <is>
          <t>Genetic Laboratory Technician</t>
        </is>
      </c>
      <c r="D1080" s="11" t="inlineStr">
        <is>
          <t>QLD Scientists EA</t>
        </is>
      </c>
      <c r="E1080" s="11" t="inlineStr">
        <is>
          <t>FT - Full-time Waged</t>
        </is>
      </c>
      <c r="F1080" s="11" t="inlineStr">
        <is>
          <t>Diagnostics</t>
        </is>
      </c>
      <c r="G1080" s="11" t="inlineStr">
        <is>
          <t>Queensland</t>
        </is>
      </c>
      <c r="H1080" s="13" t="inlineStr">
        <is>
          <t>76.00</t>
        </is>
      </c>
      <c r="I1080" s="11" t="inlineStr">
        <is>
          <t>Queensland Fertility Group Pty Ltd</t>
        </is>
      </c>
      <c r="J1080" s="14" t="n">
        <v>81.55</v>
      </c>
      <c r="K1080" s="13" t="inlineStr">
        <is>
          <t>81.55</t>
        </is>
      </c>
      <c r="L1080" s="12" t="n">
        <v>45949</v>
      </c>
      <c r="M1080" s="12" t="n">
        <v>44837</v>
      </c>
      <c r="N1080" s="13" t="inlineStr"/>
      <c r="O1080" s="13" t="inlineStr"/>
      <c r="P1080" s="12" t="n"/>
    </row>
    <row r="1081" ht="52.8" customHeight="1">
      <c r="A1081" s="15" t="inlineStr">
        <is>
          <t>AU22547</t>
        </is>
      </c>
      <c r="B1081" s="16" t="n">
        <v>44774</v>
      </c>
      <c r="C1081" s="15" t="inlineStr">
        <is>
          <t>Embryologist</t>
        </is>
      </c>
      <c r="D1081" s="15" t="inlineStr">
        <is>
          <t>QLD Scientists EA</t>
        </is>
      </c>
      <c r="E1081" s="15" t="inlineStr">
        <is>
          <t>PP - Part-time Waged</t>
        </is>
      </c>
      <c r="F1081" s="15" t="inlineStr">
        <is>
          <t>Queensland Fertility Group</t>
        </is>
      </c>
      <c r="G1081" s="15" t="inlineStr">
        <is>
          <t>Queensland</t>
        </is>
      </c>
      <c r="H1081" s="17" t="inlineStr">
        <is>
          <t>60.80</t>
        </is>
      </c>
      <c r="I1081" s="15" t="inlineStr">
        <is>
          <t>Queensland Fertility Group Pty Ltd</t>
        </is>
      </c>
      <c r="J1081" s="18" t="n">
        <v>82.02</v>
      </c>
      <c r="K1081" s="17" t="inlineStr">
        <is>
          <t>82.02</t>
        </is>
      </c>
      <c r="L1081" s="16" t="n">
        <v>45949</v>
      </c>
      <c r="M1081" s="16" t="n">
        <v>44774</v>
      </c>
      <c r="N1081" s="17" t="inlineStr"/>
      <c r="O1081" s="17" t="inlineStr"/>
      <c r="P1081" s="16" t="n"/>
    </row>
    <row r="1082" ht="66" customHeight="1">
      <c r="A1082" s="11" t="n">
        <v>50216</v>
      </c>
      <c r="B1082" s="12" t="n">
        <v>44683</v>
      </c>
      <c r="C1082" s="11" t="inlineStr">
        <is>
          <t>Enrolled Nurse</t>
        </is>
      </c>
      <c r="D1082" s="11" t="inlineStr">
        <is>
          <t>NSW Nurse EA</t>
        </is>
      </c>
      <c r="E1082" s="11" t="inlineStr">
        <is>
          <t>PP - Part-time Waged</t>
        </is>
      </c>
      <c r="F1082" s="11" t="inlineStr">
        <is>
          <t>Day Hospitals</t>
        </is>
      </c>
      <c r="G1082" s="11" t="inlineStr">
        <is>
          <t>New South Wales</t>
        </is>
      </c>
      <c r="H1082" s="13" t="inlineStr">
        <is>
          <t>45.60</t>
        </is>
      </c>
      <c r="I1082" s="11" t="inlineStr">
        <is>
          <t>Alexandria Specialist Day Hospital Pty Ltd</t>
        </is>
      </c>
      <c r="J1082" s="14" t="n">
        <v>82.08</v>
      </c>
      <c r="K1082" s="13" t="inlineStr">
        <is>
          <t>82.08</t>
        </is>
      </c>
      <c r="L1082" s="12" t="n">
        <v>45949</v>
      </c>
      <c r="M1082" s="12" t="n">
        <v>44683</v>
      </c>
      <c r="N1082" s="13" t="inlineStr"/>
      <c r="O1082" s="13" t="inlineStr"/>
      <c r="P1082" s="12" t="n"/>
    </row>
    <row r="1083" ht="52.8" customHeight="1">
      <c r="A1083" s="15" t="n">
        <v>80101</v>
      </c>
      <c r="B1083" s="16" t="n">
        <v>41053</v>
      </c>
      <c r="C1083" s="15" t="inlineStr">
        <is>
          <t>Andrologist</t>
        </is>
      </c>
      <c r="D1083" s="15" t="inlineStr">
        <is>
          <t>QLD Scientists EA</t>
        </is>
      </c>
      <c r="E1083" s="15" t="inlineStr">
        <is>
          <t>FT - Full-time Waged</t>
        </is>
      </c>
      <c r="F1083" s="15" t="inlineStr">
        <is>
          <t>Queensland Fertility Group</t>
        </is>
      </c>
      <c r="G1083" s="15" t="inlineStr">
        <is>
          <t>Queensland</t>
        </is>
      </c>
      <c r="H1083" s="17" t="inlineStr">
        <is>
          <t>76.00</t>
        </is>
      </c>
      <c r="I1083" s="15" t="inlineStr">
        <is>
          <t>Queensland Fertility Group Pty Ltd</t>
        </is>
      </c>
      <c r="J1083" s="18" t="n">
        <v>35.26</v>
      </c>
      <c r="K1083" s="17" t="inlineStr">
        <is>
          <t>82.32</t>
        </is>
      </c>
      <c r="L1083" s="16" t="n">
        <v>45599</v>
      </c>
      <c r="M1083" s="16" t="n">
        <v>44705</v>
      </c>
      <c r="N1083" s="17" t="inlineStr">
        <is>
          <t>256.94</t>
        </is>
      </c>
      <c r="O1083" s="17" t="inlineStr">
        <is>
          <t>304.00</t>
        </is>
      </c>
      <c r="P1083" s="16" t="n"/>
    </row>
    <row r="1084" ht="66" customHeight="1">
      <c r="A1084" s="11" t="inlineStr">
        <is>
          <t>AU22834</t>
        </is>
      </c>
      <c r="B1084" s="12" t="n">
        <v>45040</v>
      </c>
      <c r="C1084" s="11" t="inlineStr">
        <is>
          <t>Principal Clinical Scientist - Molecular Genetics</t>
        </is>
      </c>
      <c r="D1084" s="11" t="inlineStr">
        <is>
          <t>Common Law Employment Contract</t>
        </is>
      </c>
      <c r="E1084" s="11" t="inlineStr">
        <is>
          <t>FP - Full-time Salaried</t>
        </is>
      </c>
      <c r="F1084" s="11" t="inlineStr">
        <is>
          <t>Diagnostics</t>
        </is>
      </c>
      <c r="G1084" s="11" t="inlineStr">
        <is>
          <t>New South Wales</t>
        </is>
      </c>
      <c r="H1084" s="13" t="inlineStr">
        <is>
          <t>76.00</t>
        </is>
      </c>
      <c r="I1084" s="11" t="inlineStr">
        <is>
          <t>Virtus Health Specialist Diagnostics</t>
        </is>
      </c>
      <c r="J1084" s="14" t="n">
        <v>82.33</v>
      </c>
      <c r="K1084" s="13" t="inlineStr">
        <is>
          <t>82.33</t>
        </is>
      </c>
      <c r="L1084" s="12" t="n">
        <v>45949</v>
      </c>
      <c r="M1084" s="12" t="n">
        <v>45040</v>
      </c>
      <c r="N1084" s="13" t="inlineStr"/>
      <c r="O1084" s="13" t="inlineStr"/>
      <c r="P1084" s="12" t="n"/>
    </row>
    <row r="1085" ht="66" customHeight="1">
      <c r="A1085" s="15" t="n">
        <v>30371</v>
      </c>
      <c r="B1085" s="16" t="n">
        <v>44411</v>
      </c>
      <c r="C1085" s="15" t="inlineStr">
        <is>
          <t>Registered Nurse</t>
        </is>
      </c>
      <c r="D1085" s="15" t="inlineStr">
        <is>
          <t>NSW Nurse EA</t>
        </is>
      </c>
      <c r="E1085" s="15" t="inlineStr">
        <is>
          <t>PP - Part-time Waged</t>
        </is>
      </c>
      <c r="F1085" s="15" t="inlineStr">
        <is>
          <t>Day Hospitals</t>
        </is>
      </c>
      <c r="G1085" s="15" t="inlineStr">
        <is>
          <t>New South Wales</t>
        </is>
      </c>
      <c r="H1085" s="17" t="inlineStr">
        <is>
          <t>48.00</t>
        </is>
      </c>
      <c r="I1085" s="15" t="inlineStr">
        <is>
          <t>North Shore Specialist Day Hospital Pty Ltd</t>
        </is>
      </c>
      <c r="J1085" s="18" t="n">
        <v>82.47</v>
      </c>
      <c r="K1085" s="17" t="inlineStr">
        <is>
          <t>82.47</t>
        </is>
      </c>
      <c r="L1085" s="16" t="n">
        <v>45949</v>
      </c>
      <c r="M1085" s="16" t="n">
        <v>44411</v>
      </c>
      <c r="N1085" s="17" t="inlineStr"/>
      <c r="O1085" s="17" t="inlineStr"/>
      <c r="P1085" s="16" t="n"/>
    </row>
    <row r="1086" ht="39.6" customHeight="1">
      <c r="A1086" s="11" t="inlineStr">
        <is>
          <t>AU22693</t>
        </is>
      </c>
      <c r="B1086" s="12" t="n">
        <v>44935</v>
      </c>
      <c r="C1086" s="11" t="inlineStr">
        <is>
          <t>Senior Administration Officer</t>
        </is>
      </c>
      <c r="D1086" s="11" t="inlineStr">
        <is>
          <t>NSW Support Services EA</t>
        </is>
      </c>
      <c r="E1086" s="11" t="inlineStr">
        <is>
          <t>PP - Part-time Waged</t>
        </is>
      </c>
      <c r="F1086" s="11" t="inlineStr">
        <is>
          <t>IVFA</t>
        </is>
      </c>
      <c r="G1086" s="11" t="inlineStr">
        <is>
          <t>New South Wales</t>
        </is>
      </c>
      <c r="H1086" s="13" t="inlineStr">
        <is>
          <t>64.00</t>
        </is>
      </c>
      <c r="I1086" s="11" t="inlineStr">
        <is>
          <t>IVF Australia Pty Ltd</t>
        </is>
      </c>
      <c r="J1086" s="14" t="n">
        <v>82.47</v>
      </c>
      <c r="K1086" s="13" t="inlineStr">
        <is>
          <t>82.47</t>
        </is>
      </c>
      <c r="L1086" s="12" t="n">
        <v>45949</v>
      </c>
      <c r="M1086" s="12" t="n">
        <v>44935</v>
      </c>
      <c r="N1086" s="13" t="inlineStr"/>
      <c r="O1086" s="13" t="inlineStr"/>
      <c r="P1086" s="12" t="n"/>
    </row>
    <row r="1087" ht="79.2" customHeight="1">
      <c r="A1087" s="15" t="inlineStr">
        <is>
          <t>AU22662</t>
        </is>
      </c>
      <c r="B1087" s="16" t="n">
        <v>44886</v>
      </c>
      <c r="C1087" s="15" t="inlineStr">
        <is>
          <t xml:space="preserve">Senior Medical Administrator </t>
        </is>
      </c>
      <c r="D1087" s="15" t="inlineStr">
        <is>
          <t>Health Professionals and Support Services Award</t>
        </is>
      </c>
      <c r="E1087" s="15" t="inlineStr">
        <is>
          <t>FT - Full-time Waged</t>
        </is>
      </c>
      <c r="F1087" s="15" t="inlineStr">
        <is>
          <t>Queensland Fertility Group</t>
        </is>
      </c>
      <c r="G1087" s="15" t="inlineStr">
        <is>
          <t>Queensland</t>
        </is>
      </c>
      <c r="H1087" s="17" t="inlineStr">
        <is>
          <t>76.00</t>
        </is>
      </c>
      <c r="I1087" s="15" t="inlineStr">
        <is>
          <t>Queensland Fertility Group Pty Ltd</t>
        </is>
      </c>
      <c r="J1087" s="18" t="n">
        <v>82.75</v>
      </c>
      <c r="K1087" s="17" t="inlineStr">
        <is>
          <t>82.75</t>
        </is>
      </c>
      <c r="L1087" s="16" t="n">
        <v>45879</v>
      </c>
      <c r="M1087" s="16" t="n">
        <v>44886</v>
      </c>
      <c r="N1087" s="17" t="inlineStr"/>
      <c r="O1087" s="17" t="inlineStr"/>
      <c r="P1087" s="16" t="n"/>
    </row>
    <row r="1088" ht="39.6" customHeight="1">
      <c r="A1088" s="11" t="n">
        <v>20896</v>
      </c>
      <c r="B1088" s="12" t="n">
        <v>44543</v>
      </c>
      <c r="C1088" s="11" t="inlineStr">
        <is>
          <t>Nurse Coordinator</t>
        </is>
      </c>
      <c r="D1088" s="11" t="inlineStr">
        <is>
          <t>NSW Nurse EA</t>
        </is>
      </c>
      <c r="E1088" s="11" t="inlineStr">
        <is>
          <t>PP - Part-time Waged</t>
        </is>
      </c>
      <c r="F1088" s="11" t="inlineStr">
        <is>
          <t>IVFA</t>
        </is>
      </c>
      <c r="G1088" s="11" t="inlineStr">
        <is>
          <t>New South Wales</t>
        </is>
      </c>
      <c r="H1088" s="13" t="inlineStr">
        <is>
          <t>57.00</t>
        </is>
      </c>
      <c r="I1088" s="11" t="inlineStr">
        <is>
          <t>IVF Australia Pty Ltd</t>
        </is>
      </c>
      <c r="J1088" s="14" t="n">
        <v>83.55</v>
      </c>
      <c r="K1088" s="13" t="inlineStr">
        <is>
          <t>83.55</t>
        </is>
      </c>
      <c r="L1088" s="12" t="n">
        <v>45949</v>
      </c>
      <c r="M1088" s="12" t="n">
        <v>44543</v>
      </c>
      <c r="N1088" s="13" t="inlineStr"/>
      <c r="O1088" s="13" t="inlineStr"/>
      <c r="P1088" s="12" t="n"/>
    </row>
    <row r="1089" ht="39.6" customHeight="1">
      <c r="A1089" s="15" t="inlineStr">
        <is>
          <t>AU23753</t>
        </is>
      </c>
      <c r="B1089" s="16" t="n">
        <v>45865</v>
      </c>
      <c r="C1089" s="15" t="inlineStr">
        <is>
          <t>Assistant in Nursing</t>
        </is>
      </c>
      <c r="D1089" s="15" t="inlineStr">
        <is>
          <t>NSW Nurse EA</t>
        </is>
      </c>
      <c r="E1089" s="15" t="inlineStr">
        <is>
          <t>CA - Casual</t>
        </is>
      </c>
      <c r="F1089" s="15" t="inlineStr">
        <is>
          <t>IVFA</t>
        </is>
      </c>
      <c r="G1089" s="15" t="inlineStr">
        <is>
          <t>New South Wales</t>
        </is>
      </c>
      <c r="H1089" s="17" t="inlineStr"/>
      <c r="I1089" s="15" t="inlineStr">
        <is>
          <t>IVF Australia Pty Ltd</t>
        </is>
      </c>
      <c r="J1089" s="18" t="n">
        <v>83.86</v>
      </c>
      <c r="K1089" s="17" t="inlineStr">
        <is>
          <t>83.86</t>
        </is>
      </c>
      <c r="L1089" s="16" t="n">
        <v>45949</v>
      </c>
      <c r="M1089" s="16" t="n">
        <v>44839</v>
      </c>
      <c r="N1089" s="17" t="inlineStr"/>
      <c r="O1089" s="17" t="inlineStr"/>
      <c r="P1089" s="16" t="n"/>
    </row>
    <row r="1090" ht="39.6" customHeight="1">
      <c r="A1090" s="11" t="inlineStr">
        <is>
          <t>AU22498</t>
        </is>
      </c>
      <c r="B1090" s="12" t="n">
        <v>44739</v>
      </c>
      <c r="C1090" s="11" t="inlineStr">
        <is>
          <t>Registered Nurse</t>
        </is>
      </c>
      <c r="D1090" s="11" t="inlineStr">
        <is>
          <t>NSW Nurse EA</t>
        </is>
      </c>
      <c r="E1090" s="11" t="inlineStr">
        <is>
          <t>FT - Full-time Waged</t>
        </is>
      </c>
      <c r="F1090" s="11" t="inlineStr">
        <is>
          <t>IVFA</t>
        </is>
      </c>
      <c r="G1090" s="11" t="inlineStr">
        <is>
          <t>New South Wales</t>
        </is>
      </c>
      <c r="H1090" s="13" t="inlineStr">
        <is>
          <t>76.00</t>
        </is>
      </c>
      <c r="I1090" s="11" t="inlineStr">
        <is>
          <t>IVF Australia Pty Ltd</t>
        </is>
      </c>
      <c r="J1090" s="14" t="n">
        <v>83.88</v>
      </c>
      <c r="K1090" s="13" t="inlineStr">
        <is>
          <t>83.88</t>
        </is>
      </c>
      <c r="L1090" s="12" t="n">
        <v>45949</v>
      </c>
      <c r="M1090" s="12" t="n">
        <v>44739</v>
      </c>
      <c r="N1090" s="13" t="inlineStr"/>
      <c r="O1090" s="13" t="inlineStr"/>
      <c r="P1090" s="12" t="n"/>
    </row>
    <row r="1091" ht="52.8" customHeight="1">
      <c r="A1091" s="15" t="inlineStr">
        <is>
          <t>AU23608</t>
        </is>
      </c>
      <c r="B1091" s="16" t="n">
        <v>45754</v>
      </c>
      <c r="C1091" s="15" t="inlineStr">
        <is>
          <t>Genetic Laboratory Assistant</t>
        </is>
      </c>
      <c r="D1091" s="15" t="inlineStr">
        <is>
          <t>QLD Scientists EA</t>
        </is>
      </c>
      <c r="E1091" s="15" t="inlineStr">
        <is>
          <t>FT - Full-time Waged</t>
        </is>
      </c>
      <c r="F1091" s="15" t="inlineStr">
        <is>
          <t>Diagnostics</t>
        </is>
      </c>
      <c r="G1091" s="15" t="inlineStr">
        <is>
          <t>Queensland</t>
        </is>
      </c>
      <c r="H1091" s="17" t="inlineStr">
        <is>
          <t>76.00</t>
        </is>
      </c>
      <c r="I1091" s="15" t="inlineStr">
        <is>
          <t>Queensland Fertility Group Pty Ltd</t>
        </is>
      </c>
      <c r="J1091" s="18" t="n">
        <v>84.3</v>
      </c>
      <c r="K1091" s="17" t="inlineStr">
        <is>
          <t>84.30</t>
        </is>
      </c>
      <c r="L1091" s="16" t="n">
        <v>45949</v>
      </c>
      <c r="M1091" s="16" t="n">
        <v>45145</v>
      </c>
      <c r="N1091" s="17" t="inlineStr"/>
      <c r="O1091" s="17" t="inlineStr"/>
      <c r="P1091" s="16" t="n"/>
    </row>
    <row r="1092" ht="66" customHeight="1">
      <c r="A1092" s="11" t="n">
        <v>50200</v>
      </c>
      <c r="B1092" s="12" t="n">
        <v>44319</v>
      </c>
      <c r="C1092" s="11" t="inlineStr">
        <is>
          <t>Administration Clerk</t>
        </is>
      </c>
      <c r="D1092" s="11" t="inlineStr">
        <is>
          <t>NSW Support Services EA</t>
        </is>
      </c>
      <c r="E1092" s="11" t="inlineStr">
        <is>
          <t>PP - Part-time Waged</t>
        </is>
      </c>
      <c r="F1092" s="11" t="inlineStr">
        <is>
          <t>Day Hospitals</t>
        </is>
      </c>
      <c r="G1092" s="11" t="inlineStr">
        <is>
          <t>New South Wales</t>
        </is>
      </c>
      <c r="H1092" s="13" t="inlineStr">
        <is>
          <t>48.00</t>
        </is>
      </c>
      <c r="I1092" s="11" t="inlineStr">
        <is>
          <t>Alexandria Specialist Day Hospital Pty Ltd</t>
        </is>
      </c>
      <c r="J1092" s="14" t="n">
        <v>84.51000000000001</v>
      </c>
      <c r="K1092" s="13" t="inlineStr">
        <is>
          <t>84.51</t>
        </is>
      </c>
      <c r="L1092" s="12" t="n">
        <v>45949</v>
      </c>
      <c r="M1092" s="12" t="n">
        <v>44319</v>
      </c>
      <c r="N1092" s="13" t="inlineStr"/>
      <c r="O1092" s="13" t="inlineStr"/>
      <c r="P1092" s="12" t="n"/>
    </row>
    <row r="1093" ht="52.8" customHeight="1">
      <c r="A1093" s="15" t="n">
        <v>80123</v>
      </c>
      <c r="B1093" s="16" t="n">
        <v>41358</v>
      </c>
      <c r="C1093" s="15" t="inlineStr">
        <is>
          <t>Genetic Senior Scientist</t>
        </is>
      </c>
      <c r="D1093" s="15" t="inlineStr">
        <is>
          <t>QLD Scientists EA</t>
        </is>
      </c>
      <c r="E1093" s="15" t="inlineStr">
        <is>
          <t>FT - Full-time Waged</t>
        </is>
      </c>
      <c r="F1093" s="15" t="inlineStr">
        <is>
          <t>Diagnostics</t>
        </is>
      </c>
      <c r="G1093" s="15" t="inlineStr">
        <is>
          <t>Queensland</t>
        </is>
      </c>
      <c r="H1093" s="17" t="inlineStr">
        <is>
          <t>76.00</t>
        </is>
      </c>
      <c r="I1093" s="15" t="inlineStr">
        <is>
          <t>Queensland Fertility Group Pty Ltd</t>
        </is>
      </c>
      <c r="J1093" s="18" t="n">
        <v>3.81</v>
      </c>
      <c r="K1093" s="17" t="inlineStr">
        <is>
          <t>84.88</t>
        </is>
      </c>
      <c r="L1093" s="16" t="n">
        <v>45949</v>
      </c>
      <c r="M1093" s="16" t="n">
        <v>45010</v>
      </c>
      <c r="N1093" s="17" t="inlineStr">
        <is>
          <t>329.33</t>
        </is>
      </c>
      <c r="O1093" s="17" t="inlineStr">
        <is>
          <t>410.40</t>
        </is>
      </c>
      <c r="P1093" s="16" t="n"/>
    </row>
    <row r="1094" ht="52.8" customHeight="1">
      <c r="A1094" s="11" t="inlineStr">
        <is>
          <t>AU22750</t>
        </is>
      </c>
      <c r="B1094" s="12" t="n">
        <v>44984</v>
      </c>
      <c r="C1094" s="11" t="inlineStr">
        <is>
          <t>Accounts Payable</t>
        </is>
      </c>
      <c r="D1094" s="11" t="inlineStr">
        <is>
          <t>Common Law Employment Contract</t>
        </is>
      </c>
      <c r="E1094" s="11" t="inlineStr">
        <is>
          <t>FP - Full-time Salaried</t>
        </is>
      </c>
      <c r="F1094" s="11" t="inlineStr">
        <is>
          <t>IVFA</t>
        </is>
      </c>
      <c r="G1094" s="11" t="inlineStr">
        <is>
          <t>New South Wales</t>
        </is>
      </c>
      <c r="H1094" s="13" t="inlineStr">
        <is>
          <t>76.00</t>
        </is>
      </c>
      <c r="I1094" s="11" t="inlineStr">
        <is>
          <t>IVF Australia Pty Ltd</t>
        </is>
      </c>
      <c r="J1094" s="14" t="n">
        <v>85.38</v>
      </c>
      <c r="K1094" s="13" t="inlineStr">
        <is>
          <t>85.38</t>
        </is>
      </c>
      <c r="L1094" s="12" t="n">
        <v>45949</v>
      </c>
      <c r="M1094" s="12" t="n">
        <v>44984</v>
      </c>
      <c r="N1094" s="13" t="inlineStr"/>
      <c r="O1094" s="13" t="inlineStr"/>
      <c r="P1094" s="12" t="n"/>
    </row>
    <row r="1095" ht="39.6" customHeight="1">
      <c r="A1095" s="15" t="inlineStr">
        <is>
          <t>AU22777</t>
        </is>
      </c>
      <c r="B1095" s="16" t="n">
        <v>44998</v>
      </c>
      <c r="C1095" s="15" t="inlineStr">
        <is>
          <t>Nures Coordinator</t>
        </is>
      </c>
      <c r="D1095" s="15" t="inlineStr">
        <is>
          <t>NSW Nurse EA</t>
        </is>
      </c>
      <c r="E1095" s="15" t="inlineStr">
        <is>
          <t>FT - Full-time Waged</t>
        </is>
      </c>
      <c r="F1095" s="15" t="inlineStr">
        <is>
          <t>IVFA</t>
        </is>
      </c>
      <c r="G1095" s="15" t="inlineStr">
        <is>
          <t>New South Wales</t>
        </is>
      </c>
      <c r="H1095" s="17" t="inlineStr">
        <is>
          <t>76.00</t>
        </is>
      </c>
      <c r="I1095" s="15" t="inlineStr">
        <is>
          <t>IVF Australia Pty Ltd</t>
        </is>
      </c>
      <c r="J1095" s="18" t="n">
        <v>85.45</v>
      </c>
      <c r="K1095" s="17" t="inlineStr">
        <is>
          <t>85.45</t>
        </is>
      </c>
      <c r="L1095" s="16" t="n">
        <v>45949</v>
      </c>
      <c r="M1095" s="16" t="n">
        <v>44998</v>
      </c>
      <c r="N1095" s="17" t="inlineStr"/>
      <c r="O1095" s="17" t="inlineStr"/>
      <c r="P1095" s="16" t="n"/>
    </row>
    <row r="1096" ht="39.6" customHeight="1">
      <c r="A1096" s="11" t="n">
        <v>20870</v>
      </c>
      <c r="B1096" s="12" t="n">
        <v>44397</v>
      </c>
      <c r="C1096" s="11" t="inlineStr">
        <is>
          <t>Registered Nurse</t>
        </is>
      </c>
      <c r="D1096" s="11" t="inlineStr">
        <is>
          <t>NSW Nurse EA</t>
        </is>
      </c>
      <c r="E1096" s="11" t="inlineStr">
        <is>
          <t>FT - Full-time Waged</t>
        </is>
      </c>
      <c r="F1096" s="11" t="inlineStr">
        <is>
          <t>The Fertility Centre</t>
        </is>
      </c>
      <c r="G1096" s="11" t="inlineStr">
        <is>
          <t>New South Wales</t>
        </is>
      </c>
      <c r="H1096" s="13" t="inlineStr">
        <is>
          <t>76.00</t>
        </is>
      </c>
      <c r="I1096" s="11" t="inlineStr">
        <is>
          <t>IVF Australia Pty Ltd</t>
        </is>
      </c>
      <c r="J1096" s="14" t="n">
        <v>85.76000000000001</v>
      </c>
      <c r="K1096" s="13" t="inlineStr">
        <is>
          <t>85.76</t>
        </is>
      </c>
      <c r="L1096" s="12" t="n">
        <v>45949</v>
      </c>
      <c r="M1096" s="12" t="n">
        <v>44397</v>
      </c>
      <c r="N1096" s="13" t="inlineStr"/>
      <c r="O1096" s="13" t="inlineStr"/>
      <c r="P1096" s="12" t="n"/>
    </row>
    <row r="1097" ht="66" customHeight="1">
      <c r="A1097" s="15" t="n">
        <v>20917</v>
      </c>
      <c r="B1097" s="16" t="n">
        <v>41358</v>
      </c>
      <c r="C1097" s="15" t="inlineStr">
        <is>
          <t>VSDH Quality and Operational Support Manager</t>
        </is>
      </c>
      <c r="D1097" s="15" t="inlineStr">
        <is>
          <t>Common Law Employment Contract</t>
        </is>
      </c>
      <c r="E1097" s="15" t="inlineStr">
        <is>
          <t>FP - Full-time Salaried</t>
        </is>
      </c>
      <c r="F1097" s="15" t="inlineStr">
        <is>
          <t>Corporate Services</t>
        </is>
      </c>
      <c r="G1097" s="15" t="inlineStr">
        <is>
          <t>New South Wales</t>
        </is>
      </c>
      <c r="H1097" s="17" t="inlineStr">
        <is>
          <t>76.00</t>
        </is>
      </c>
      <c r="I1097" s="15" t="inlineStr">
        <is>
          <t>IVF Australia Pty Ltd</t>
        </is>
      </c>
      <c r="J1097" s="18" t="n">
        <v>373.31</v>
      </c>
      <c r="K1097" s="17" t="inlineStr">
        <is>
          <t>86.15</t>
        </is>
      </c>
      <c r="L1097" s="16" t="n">
        <v>45949</v>
      </c>
      <c r="M1097" s="16" t="n">
        <v>45010</v>
      </c>
      <c r="N1097" s="17" t="inlineStr">
        <is>
          <t>325.16</t>
        </is>
      </c>
      <c r="O1097" s="17" t="inlineStr">
        <is>
          <t>38.00</t>
        </is>
      </c>
      <c r="P1097" s="16" t="n"/>
    </row>
    <row r="1098" ht="52.8" customHeight="1">
      <c r="A1098" s="11" t="inlineStr">
        <is>
          <t>AU22799</t>
        </is>
      </c>
      <c r="B1098" s="12" t="n">
        <v>45005</v>
      </c>
      <c r="C1098" s="11" t="inlineStr">
        <is>
          <t>Genetic Scientist</t>
        </is>
      </c>
      <c r="D1098" s="11" t="inlineStr">
        <is>
          <t>QLD Scientists EA</t>
        </is>
      </c>
      <c r="E1098" s="11" t="inlineStr">
        <is>
          <t>FT - Full-time Waged</t>
        </is>
      </c>
      <c r="F1098" s="11" t="inlineStr">
        <is>
          <t>Diagnostics</t>
        </is>
      </c>
      <c r="G1098" s="11" t="inlineStr">
        <is>
          <t>Queensland</t>
        </is>
      </c>
      <c r="H1098" s="13" t="inlineStr">
        <is>
          <t>76.00</t>
        </is>
      </c>
      <c r="I1098" s="11" t="inlineStr">
        <is>
          <t>Queensland Fertility Group Pty Ltd</t>
        </is>
      </c>
      <c r="J1098" s="14" t="n">
        <v>86.40000000000001</v>
      </c>
      <c r="K1098" s="13" t="inlineStr">
        <is>
          <t>86.40</t>
        </is>
      </c>
      <c r="L1098" s="12" t="n">
        <v>45949</v>
      </c>
      <c r="M1098" s="12" t="n">
        <v>45005</v>
      </c>
      <c r="N1098" s="13" t="inlineStr"/>
      <c r="O1098" s="13" t="inlineStr"/>
      <c r="P1098" s="12" t="n"/>
    </row>
    <row r="1099" ht="52.8" customHeight="1">
      <c r="A1099" s="15" t="inlineStr">
        <is>
          <t>AU22776</t>
        </is>
      </c>
      <c r="B1099" s="16" t="n">
        <v>44993</v>
      </c>
      <c r="C1099" s="15" t="inlineStr">
        <is>
          <t>Clinical Nurse Specialist</t>
        </is>
      </c>
      <c r="D1099" s="15" t="inlineStr">
        <is>
          <t>QLD Nurse EA</t>
        </is>
      </c>
      <c r="E1099" s="15" t="inlineStr">
        <is>
          <t>Part Time</t>
        </is>
      </c>
      <c r="F1099" s="15" t="inlineStr">
        <is>
          <t>Queensland Fertility Group</t>
        </is>
      </c>
      <c r="G1099" s="15" t="inlineStr">
        <is>
          <t>Queensland</t>
        </is>
      </c>
      <c r="H1099" s="17" t="inlineStr">
        <is>
          <t>64.00</t>
        </is>
      </c>
      <c r="I1099" s="15" t="inlineStr">
        <is>
          <t>Queensland Fertility Group Pty Ltd</t>
        </is>
      </c>
      <c r="J1099" s="18" t="n">
        <v>86.45</v>
      </c>
      <c r="K1099" s="17" t="inlineStr">
        <is>
          <t>86.45</t>
        </is>
      </c>
      <c r="L1099" s="16" t="n">
        <v>45949</v>
      </c>
      <c r="M1099" s="16" t="n">
        <v>44993</v>
      </c>
      <c r="N1099" s="17" t="inlineStr"/>
      <c r="O1099" s="17" t="inlineStr"/>
      <c r="P1099" s="16" t="n"/>
    </row>
    <row r="1100" ht="39.6" customHeight="1">
      <c r="A1100" s="11" t="n">
        <v>20330</v>
      </c>
      <c r="B1100" s="12" t="n">
        <v>41338</v>
      </c>
      <c r="C1100" s="11" t="inlineStr">
        <is>
          <t>Administration Manager</t>
        </is>
      </c>
      <c r="D1100" s="11" t="inlineStr">
        <is>
          <t>NSW Support Services EA</t>
        </is>
      </c>
      <c r="E1100" s="11" t="inlineStr">
        <is>
          <t>FT - Full-time Waged</t>
        </is>
      </c>
      <c r="F1100" s="11" t="inlineStr">
        <is>
          <t>IVFA</t>
        </is>
      </c>
      <c r="G1100" s="11" t="inlineStr">
        <is>
          <t>New South Wales</t>
        </is>
      </c>
      <c r="H1100" s="13" t="inlineStr">
        <is>
          <t>76.00</t>
        </is>
      </c>
      <c r="I1100" s="11" t="inlineStr">
        <is>
          <t>IVF Australia Pty Ltd</t>
        </is>
      </c>
      <c r="J1100" s="14" t="n">
        <v>298.48</v>
      </c>
      <c r="K1100" s="13" t="inlineStr">
        <is>
          <t>87.11</t>
        </is>
      </c>
      <c r="L1100" s="12" t="n">
        <v>45949</v>
      </c>
      <c r="M1100" s="12" t="n">
        <v>44990</v>
      </c>
      <c r="N1100" s="13" t="inlineStr">
        <is>
          <t>249.37</t>
        </is>
      </c>
      <c r="O1100" s="13" t="inlineStr">
        <is>
          <t>38.00</t>
        </is>
      </c>
      <c r="P1100" s="12" t="n"/>
    </row>
    <row r="1101" ht="52.8" customHeight="1">
      <c r="A1101" s="15" t="inlineStr">
        <is>
          <t>AU22758</t>
        </is>
      </c>
      <c r="B1101" s="16" t="n">
        <v>44986</v>
      </c>
      <c r="C1101" s="15" t="inlineStr">
        <is>
          <t>National Donor Lead Specialist</t>
        </is>
      </c>
      <c r="D1101" s="15" t="inlineStr">
        <is>
          <t>Common Law Employment Contract</t>
        </is>
      </c>
      <c r="E1101" s="15" t="inlineStr">
        <is>
          <t>FP - Full-time Salaried</t>
        </is>
      </c>
      <c r="F1101" s="15" t="inlineStr">
        <is>
          <t>Corporate Services</t>
        </is>
      </c>
      <c r="G1101" s="15" t="inlineStr">
        <is>
          <t>South Australia</t>
        </is>
      </c>
      <c r="H1101" s="17" t="inlineStr">
        <is>
          <t>76.00</t>
        </is>
      </c>
      <c r="I1101" s="15" t="inlineStr">
        <is>
          <t>IVF Australia Pty Ltd</t>
        </is>
      </c>
      <c r="J1101" s="18" t="n">
        <v>87.18000000000001</v>
      </c>
      <c r="K1101" s="17" t="inlineStr">
        <is>
          <t>87.18</t>
        </is>
      </c>
      <c r="L1101" s="16" t="n">
        <v>45949</v>
      </c>
      <c r="M1101" s="16" t="n">
        <v>44986</v>
      </c>
      <c r="N1101" s="17" t="inlineStr"/>
      <c r="O1101" s="17" t="inlineStr"/>
      <c r="P1101" s="16" t="n"/>
    </row>
    <row r="1102" ht="66" customHeight="1">
      <c r="A1102" s="11" t="n">
        <v>20341</v>
      </c>
      <c r="B1102" s="12" t="n">
        <v>41344</v>
      </c>
      <c r="C1102" s="11" t="inlineStr">
        <is>
          <t>Business Development Manager - Regional and ACT</t>
        </is>
      </c>
      <c r="D1102" s="11" t="inlineStr">
        <is>
          <t>Common Law Employment Contract</t>
        </is>
      </c>
      <c r="E1102" s="11" t="inlineStr">
        <is>
          <t>FP - Full-time Salaried</t>
        </is>
      </c>
      <c r="F1102" s="11" t="inlineStr">
        <is>
          <t>IVFA</t>
        </is>
      </c>
      <c r="G1102" s="11" t="inlineStr">
        <is>
          <t>New South Wales</t>
        </is>
      </c>
      <c r="H1102" s="13" t="inlineStr">
        <is>
          <t>76.00</t>
        </is>
      </c>
      <c r="I1102" s="11" t="inlineStr">
        <is>
          <t>IVF Australia Pty Ltd</t>
        </is>
      </c>
      <c r="J1102" s="14" t="n">
        <v>340.25</v>
      </c>
      <c r="K1102" s="13" t="inlineStr">
        <is>
          <t>87.42</t>
        </is>
      </c>
      <c r="L1102" s="12" t="n">
        <v>45949</v>
      </c>
      <c r="M1102" s="12" t="n">
        <v>44996</v>
      </c>
      <c r="N1102" s="13" t="inlineStr">
        <is>
          <t>328.83</t>
        </is>
      </c>
      <c r="O1102" s="13" t="inlineStr">
        <is>
          <t>76.00</t>
        </is>
      </c>
      <c r="P1102" s="12" t="n"/>
    </row>
    <row r="1103" ht="52.8" customHeight="1">
      <c r="A1103" s="15" t="inlineStr">
        <is>
          <t>AU22768</t>
        </is>
      </c>
      <c r="B1103" s="16" t="n">
        <v>44984</v>
      </c>
      <c r="C1103" s="15" t="inlineStr">
        <is>
          <t>Genetic Scientist</t>
        </is>
      </c>
      <c r="D1103" s="15" t="inlineStr">
        <is>
          <t>QLD Scientists EA</t>
        </is>
      </c>
      <c r="E1103" s="15" t="inlineStr">
        <is>
          <t>FT - Full-time Waged</t>
        </is>
      </c>
      <c r="F1103" s="15" t="inlineStr">
        <is>
          <t>Diagnostics</t>
        </is>
      </c>
      <c r="G1103" s="15" t="inlineStr">
        <is>
          <t>Queensland</t>
        </is>
      </c>
      <c r="H1103" s="17" t="inlineStr">
        <is>
          <t>76.00</t>
        </is>
      </c>
      <c r="I1103" s="15" t="inlineStr">
        <is>
          <t>Queensland Fertility Group Pty Ltd</t>
        </is>
      </c>
      <c r="J1103" s="18" t="n">
        <v>88.3</v>
      </c>
      <c r="K1103" s="17" t="inlineStr">
        <is>
          <t>88.30</t>
        </is>
      </c>
      <c r="L1103" s="16" t="n">
        <v>45949</v>
      </c>
      <c r="M1103" s="16" t="n">
        <v>44984</v>
      </c>
      <c r="N1103" s="17" t="inlineStr"/>
      <c r="O1103" s="17" t="inlineStr"/>
      <c r="P1103" s="16" t="n"/>
    </row>
    <row r="1104" ht="79.2" customHeight="1">
      <c r="A1104" s="11" t="n">
        <v>90098</v>
      </c>
      <c r="B1104" s="12" t="n">
        <v>43614</v>
      </c>
      <c r="C1104" s="11" t="inlineStr">
        <is>
          <t>Courier</t>
        </is>
      </c>
      <c r="D1104" s="11" t="inlineStr">
        <is>
          <t>Health Professionals and Support Services Award</t>
        </is>
      </c>
      <c r="E1104" s="11" t="inlineStr">
        <is>
          <t>CA - Casual</t>
        </is>
      </c>
      <c r="F1104" s="11" t="inlineStr">
        <is>
          <t>Diagnostics</t>
        </is>
      </c>
      <c r="G1104" s="11" t="inlineStr">
        <is>
          <t>New South Wales</t>
        </is>
      </c>
      <c r="H1104" s="13" t="inlineStr"/>
      <c r="I1104" s="11" t="inlineStr">
        <is>
          <t>Virtus Health Specialist Diagnostics</t>
        </is>
      </c>
      <c r="J1104" s="14" t="n">
        <v>88.36</v>
      </c>
      <c r="K1104" s="13" t="inlineStr">
        <is>
          <t>88.36</t>
        </is>
      </c>
      <c r="L1104" s="12" t="n">
        <v>45949</v>
      </c>
      <c r="M1104" s="12" t="n">
        <v>43614</v>
      </c>
      <c r="N1104" s="13" t="inlineStr"/>
      <c r="O1104" s="13" t="inlineStr"/>
      <c r="P1104" s="12" t="n"/>
    </row>
    <row r="1105" ht="39.6" customHeight="1">
      <c r="A1105" s="15" t="inlineStr">
        <is>
          <t>AU22646</t>
        </is>
      </c>
      <c r="B1105" s="16" t="n">
        <v>44886</v>
      </c>
      <c r="C1105" s="15" t="inlineStr">
        <is>
          <t>Registered Nurse</t>
        </is>
      </c>
      <c r="D1105" s="15" t="inlineStr">
        <is>
          <t>NSW Nurse EA</t>
        </is>
      </c>
      <c r="E1105" s="15" t="inlineStr">
        <is>
          <t>FT - Full-time Waged</t>
        </is>
      </c>
      <c r="F1105" s="15" t="inlineStr">
        <is>
          <t>The Fertility Centre</t>
        </is>
      </c>
      <c r="G1105" s="15" t="inlineStr">
        <is>
          <t>New South Wales</t>
        </is>
      </c>
      <c r="H1105" s="17" t="inlineStr">
        <is>
          <t>76.00</t>
        </is>
      </c>
      <c r="I1105" s="15" t="inlineStr">
        <is>
          <t>IVF Australia Pty Ltd</t>
        </is>
      </c>
      <c r="J1105" s="18" t="n">
        <v>88.51000000000001</v>
      </c>
      <c r="K1105" s="17" t="inlineStr">
        <is>
          <t>88.51</t>
        </is>
      </c>
      <c r="L1105" s="16" t="n">
        <v>45949</v>
      </c>
      <c r="M1105" s="16" t="n">
        <v>44886</v>
      </c>
      <c r="N1105" s="17" t="inlineStr"/>
      <c r="O1105" s="17" t="inlineStr"/>
      <c r="P1105" s="16" t="n"/>
    </row>
    <row r="1106" ht="66" customHeight="1">
      <c r="A1106" s="11" t="inlineStr">
        <is>
          <t>AU22634</t>
        </is>
      </c>
      <c r="B1106" s="12" t="n">
        <v>44872</v>
      </c>
      <c r="C1106" s="11" t="inlineStr">
        <is>
          <t>Registered Nurse</t>
        </is>
      </c>
      <c r="D1106" s="11" t="inlineStr">
        <is>
          <t>NSW Nurse EA</t>
        </is>
      </c>
      <c r="E1106" s="11" t="inlineStr">
        <is>
          <t>FT - Full-time Waged</t>
        </is>
      </c>
      <c r="F1106" s="11" t="inlineStr">
        <is>
          <t>Day Hospitals</t>
        </is>
      </c>
      <c r="G1106" s="11" t="inlineStr">
        <is>
          <t>New South Wales</t>
        </is>
      </c>
      <c r="H1106" s="13" t="inlineStr">
        <is>
          <t>76.00</t>
        </is>
      </c>
      <c r="I1106" s="11" t="inlineStr">
        <is>
          <t>Alexandria Specialist Day Hospital Pty Ltd</t>
        </is>
      </c>
      <c r="J1106" s="14" t="n">
        <v>88.61</v>
      </c>
      <c r="K1106" s="13" t="inlineStr">
        <is>
          <t>88.61</t>
        </is>
      </c>
      <c r="L1106" s="12" t="n">
        <v>45949</v>
      </c>
      <c r="M1106" s="12" t="n">
        <v>44872</v>
      </c>
      <c r="N1106" s="13" t="inlineStr"/>
      <c r="O1106" s="13" t="inlineStr"/>
      <c r="P1106" s="12" t="n"/>
    </row>
    <row r="1107" ht="66" customHeight="1">
      <c r="A1107" s="15" t="inlineStr">
        <is>
          <t>AU22656</t>
        </is>
      </c>
      <c r="B1107" s="16" t="n">
        <v>44886</v>
      </c>
      <c r="C1107" s="15" t="inlineStr">
        <is>
          <t>Registered Nurse</t>
        </is>
      </c>
      <c r="D1107" s="15" t="inlineStr">
        <is>
          <t>NSW Nurse EA</t>
        </is>
      </c>
      <c r="E1107" s="15" t="inlineStr">
        <is>
          <t>FT - Full-time Waged</t>
        </is>
      </c>
      <c r="F1107" s="15" t="inlineStr">
        <is>
          <t>Day Hospitals</t>
        </is>
      </c>
      <c r="G1107" s="15" t="inlineStr">
        <is>
          <t>New South Wales</t>
        </is>
      </c>
      <c r="H1107" s="17" t="inlineStr">
        <is>
          <t>76.00</t>
        </is>
      </c>
      <c r="I1107" s="15" t="inlineStr">
        <is>
          <t>Alexandria Specialist Day Hospital Pty Ltd</t>
        </is>
      </c>
      <c r="J1107" s="18" t="n">
        <v>88.7</v>
      </c>
      <c r="K1107" s="17" t="inlineStr">
        <is>
          <t>88.70</t>
        </is>
      </c>
      <c r="L1107" s="16" t="n">
        <v>45949</v>
      </c>
      <c r="M1107" s="16" t="n">
        <v>44886</v>
      </c>
      <c r="N1107" s="17" t="inlineStr"/>
      <c r="O1107" s="17" t="inlineStr"/>
      <c r="P1107" s="16" t="n"/>
    </row>
    <row r="1108" ht="79.2" customHeight="1">
      <c r="A1108" s="11" t="n">
        <v>80089</v>
      </c>
      <c r="B1108" s="12" t="n">
        <v>41289</v>
      </c>
      <c r="C1108" s="11" t="inlineStr">
        <is>
          <t>Donor Liaison</t>
        </is>
      </c>
      <c r="D1108" s="11" t="inlineStr">
        <is>
          <t>Health Professionals and Support Services Award</t>
        </is>
      </c>
      <c r="E1108" s="11" t="inlineStr">
        <is>
          <t>FT - Full-time Waged</t>
        </is>
      </c>
      <c r="F1108" s="11" t="inlineStr">
        <is>
          <t>Queensland Fertility Group</t>
        </is>
      </c>
      <c r="G1108" s="11" t="inlineStr">
        <is>
          <t>Queensland</t>
        </is>
      </c>
      <c r="H1108" s="13" t="inlineStr">
        <is>
          <t>76.00</t>
        </is>
      </c>
      <c r="I1108" s="11" t="inlineStr">
        <is>
          <t>Queensland Fertility Group Pty Ltd</t>
        </is>
      </c>
      <c r="J1108" s="14" t="n">
        <v>296.15</v>
      </c>
      <c r="K1108" s="13" t="inlineStr">
        <is>
          <t>88.95</t>
        </is>
      </c>
      <c r="L1108" s="12" t="n">
        <v>45949</v>
      </c>
      <c r="M1108" s="12" t="n">
        <v>44941</v>
      </c>
      <c r="N1108" s="13" t="inlineStr">
        <is>
          <t>245.20</t>
        </is>
      </c>
      <c r="O1108" s="13" t="inlineStr">
        <is>
          <t>38.00</t>
        </is>
      </c>
      <c r="P1108" s="12" t="n"/>
    </row>
    <row r="1109" ht="79.2" customHeight="1">
      <c r="A1109" s="15" t="n">
        <v>60022</v>
      </c>
      <c r="B1109" s="16" t="n">
        <v>38034</v>
      </c>
      <c r="C1109" s="15" t="inlineStr">
        <is>
          <t>Administration Team Leader</t>
        </is>
      </c>
      <c r="D1109" s="15" t="inlineStr">
        <is>
          <t>Health Professionals and Support Services Award</t>
        </is>
      </c>
      <c r="E1109" s="15" t="inlineStr">
        <is>
          <t>FT - Full-time Waged</t>
        </is>
      </c>
      <c r="F1109" s="15" t="inlineStr">
        <is>
          <t>Day Hospitals</t>
        </is>
      </c>
      <c r="G1109" s="15" t="inlineStr">
        <is>
          <t>Queensland</t>
        </is>
      </c>
      <c r="H1109" s="17" t="inlineStr">
        <is>
          <t>76.00</t>
        </is>
      </c>
      <c r="I1109" s="15" t="inlineStr">
        <is>
          <t>MACKAY Specialist Day Hospital</t>
        </is>
      </c>
      <c r="J1109" s="18" t="n">
        <v>546.37</v>
      </c>
      <c r="K1109" s="17" t="inlineStr">
        <is>
          <t>89.23</t>
        </is>
      </c>
      <c r="L1109" s="16" t="n">
        <v>45949</v>
      </c>
      <c r="M1109" s="16" t="n">
        <v>44974</v>
      </c>
      <c r="N1109" s="17" t="inlineStr">
        <is>
          <t>457.14</t>
        </is>
      </c>
      <c r="O1109" s="17" t="inlineStr"/>
      <c r="P1109" s="16" t="n"/>
    </row>
    <row r="1110" ht="52.8" customHeight="1">
      <c r="A1110" s="11" t="inlineStr">
        <is>
          <t>AU22791</t>
        </is>
      </c>
      <c r="B1110" s="12" t="n">
        <v>45005</v>
      </c>
      <c r="C1110" s="11" t="inlineStr">
        <is>
          <t>Nures Coordinator</t>
        </is>
      </c>
      <c r="D1110" s="11" t="inlineStr">
        <is>
          <t>QLD Nurse EA</t>
        </is>
      </c>
      <c r="E1110" s="11" t="inlineStr">
        <is>
          <t>PP - Part-time Waged</t>
        </is>
      </c>
      <c r="F1110" s="11" t="inlineStr">
        <is>
          <t>The Fertility Centre</t>
        </is>
      </c>
      <c r="G1110" s="11" t="inlineStr">
        <is>
          <t>Queensland</t>
        </is>
      </c>
      <c r="H1110" s="13" t="inlineStr">
        <is>
          <t>53.20</t>
        </is>
      </c>
      <c r="I1110" s="11" t="inlineStr">
        <is>
          <t>Queensland Fertility Group Pty Ltd</t>
        </is>
      </c>
      <c r="J1110" s="14" t="n">
        <v>89.8</v>
      </c>
      <c r="K1110" s="13" t="inlineStr">
        <is>
          <t>89.80</t>
        </is>
      </c>
      <c r="L1110" s="12" t="n">
        <v>45949</v>
      </c>
      <c r="M1110" s="12" t="n">
        <v>45005</v>
      </c>
      <c r="N1110" s="13" t="inlineStr"/>
      <c r="O1110" s="13" t="inlineStr"/>
      <c r="P1110" s="12" t="n"/>
    </row>
    <row r="1111" ht="52.8" customHeight="1">
      <c r="A1111" s="15" t="inlineStr">
        <is>
          <t>AU22749</t>
        </is>
      </c>
      <c r="B1111" s="16" t="n">
        <v>44971</v>
      </c>
      <c r="C1111" s="15" t="inlineStr">
        <is>
          <t xml:space="preserve">Business Development Manager </t>
        </is>
      </c>
      <c r="D1111" s="15" t="inlineStr">
        <is>
          <t>Common Law Employment Contract</t>
        </is>
      </c>
      <c r="E1111" s="15" t="inlineStr">
        <is>
          <t>FP - Full-time Salaried</t>
        </is>
      </c>
      <c r="F1111" s="15" t="inlineStr">
        <is>
          <t>Queensland Fertility Group</t>
        </is>
      </c>
      <c r="G1111" s="15" t="inlineStr">
        <is>
          <t>Queensland</t>
        </is>
      </c>
      <c r="H1111" s="17" t="inlineStr">
        <is>
          <t>76.00</t>
        </is>
      </c>
      <c r="I1111" s="15" t="inlineStr">
        <is>
          <t>Queensland Fertility Group Pty Ltd</t>
        </is>
      </c>
      <c r="J1111" s="18" t="n">
        <v>89.81</v>
      </c>
      <c r="K1111" s="17" t="inlineStr">
        <is>
          <t>89.81</t>
        </is>
      </c>
      <c r="L1111" s="16" t="n">
        <v>45949</v>
      </c>
      <c r="M1111" s="16" t="n">
        <v>44971</v>
      </c>
      <c r="N1111" s="17" t="inlineStr"/>
      <c r="O1111" s="17" t="inlineStr"/>
      <c r="P1111" s="16" t="n"/>
    </row>
    <row r="1112" ht="79.2" customHeight="1">
      <c r="A1112" s="11" t="inlineStr">
        <is>
          <t>AU22724</t>
        </is>
      </c>
      <c r="B1112" s="12" t="n">
        <v>44961</v>
      </c>
      <c r="C1112" s="11" t="inlineStr">
        <is>
          <t>Administration</t>
        </is>
      </c>
      <c r="D1112" s="11" t="inlineStr">
        <is>
          <t>Health Professionals and Support Services Award</t>
        </is>
      </c>
      <c r="E1112" s="11" t="inlineStr">
        <is>
          <t>FT - Full-time Waged</t>
        </is>
      </c>
      <c r="F1112" s="11" t="inlineStr">
        <is>
          <t>Queensland Fertility Group</t>
        </is>
      </c>
      <c r="G1112" s="11" t="inlineStr">
        <is>
          <t>Queensland</t>
        </is>
      </c>
      <c r="H1112" s="13" t="inlineStr">
        <is>
          <t>76.00</t>
        </is>
      </c>
      <c r="I1112" s="11" t="inlineStr">
        <is>
          <t>Queensland Fertility Group Pty Ltd</t>
        </is>
      </c>
      <c r="J1112" s="14" t="n">
        <v>89.92</v>
      </c>
      <c r="K1112" s="13" t="inlineStr">
        <is>
          <t>89.92</t>
        </is>
      </c>
      <c r="L1112" s="12" t="n">
        <v>45949</v>
      </c>
      <c r="M1112" s="12" t="n">
        <v>44961</v>
      </c>
      <c r="N1112" s="13" t="inlineStr"/>
      <c r="O1112" s="13" t="inlineStr"/>
      <c r="P1112" s="12" t="n"/>
    </row>
    <row r="1113" ht="39.6" customHeight="1">
      <c r="A1113" s="15" t="n">
        <v>20281</v>
      </c>
      <c r="B1113" s="16" t="n">
        <v>40969</v>
      </c>
      <c r="C1113" s="15" t="inlineStr">
        <is>
          <t>Donor Coordinator</t>
        </is>
      </c>
      <c r="D1113" s="15" t="inlineStr">
        <is>
          <t>NSW Nurse EA</t>
        </is>
      </c>
      <c r="E1113" s="15" t="inlineStr">
        <is>
          <t>PP - Part-time Waged</t>
        </is>
      </c>
      <c r="F1113" s="15" t="inlineStr">
        <is>
          <t>IVFA</t>
        </is>
      </c>
      <c r="G1113" s="15" t="inlineStr">
        <is>
          <t>New South Wales</t>
        </is>
      </c>
      <c r="H1113" s="17" t="inlineStr">
        <is>
          <t>57.00</t>
        </is>
      </c>
      <c r="I1113" s="15" t="inlineStr">
        <is>
          <t>IVF Australia Pty Ltd</t>
        </is>
      </c>
      <c r="J1113" s="18" t="n">
        <v>342.94</v>
      </c>
      <c r="K1113" s="17" t="inlineStr">
        <is>
          <t>89.98</t>
        </is>
      </c>
      <c r="L1113" s="16" t="n">
        <v>45949</v>
      </c>
      <c r="M1113" s="16" t="n">
        <v>44621</v>
      </c>
      <c r="N1113" s="17" t="inlineStr">
        <is>
          <t>252.96</t>
        </is>
      </c>
      <c r="O1113" s="17" t="inlineStr"/>
      <c r="P1113" s="16" t="n"/>
    </row>
    <row r="1114" ht="39.6" customHeight="1">
      <c r="A1114" s="11" t="inlineStr">
        <is>
          <t>AU22520</t>
        </is>
      </c>
      <c r="B1114" s="12" t="n">
        <v>44774</v>
      </c>
      <c r="C1114" s="11" t="inlineStr">
        <is>
          <t>Administration Clerk</t>
        </is>
      </c>
      <c r="D1114" s="11" t="inlineStr">
        <is>
          <t>NSW Support Services EA</t>
        </is>
      </c>
      <c r="E1114" s="11" t="inlineStr">
        <is>
          <t>PP - Part-time Waged</t>
        </is>
      </c>
      <c r="F1114" s="11" t="inlineStr">
        <is>
          <t>Day Hospitals</t>
        </is>
      </c>
      <c r="G1114" s="11" t="inlineStr">
        <is>
          <t>New South Wales</t>
        </is>
      </c>
      <c r="H1114" s="13" t="inlineStr">
        <is>
          <t>44.00</t>
        </is>
      </c>
      <c r="I1114" s="11" t="inlineStr">
        <is>
          <t>City West Day Surgery</t>
        </is>
      </c>
      <c r="J1114" s="14" t="n">
        <v>90.15000000000001</v>
      </c>
      <c r="K1114" s="13" t="inlineStr">
        <is>
          <t>90.15</t>
        </is>
      </c>
      <c r="L1114" s="12" t="n">
        <v>45949</v>
      </c>
      <c r="M1114" s="12" t="n">
        <v>44774</v>
      </c>
      <c r="N1114" s="13" t="inlineStr"/>
      <c r="O1114" s="13" t="inlineStr"/>
      <c r="P1114" s="12" t="n"/>
    </row>
    <row r="1115" ht="39.6" customHeight="1">
      <c r="A1115" s="15" t="inlineStr">
        <is>
          <t>AU22702</t>
        </is>
      </c>
      <c r="B1115" s="16" t="n">
        <v>44935</v>
      </c>
      <c r="C1115" s="15" t="inlineStr">
        <is>
          <t>Embryologist</t>
        </is>
      </c>
      <c r="D1115" s="15" t="inlineStr">
        <is>
          <t>IVFA Scientists EA</t>
        </is>
      </c>
      <c r="E1115" s="15" t="inlineStr">
        <is>
          <t>FT - Full-time Waged</t>
        </is>
      </c>
      <c r="F1115" s="15" t="inlineStr">
        <is>
          <t>IVFA</t>
        </is>
      </c>
      <c r="G1115" s="15" t="inlineStr">
        <is>
          <t>New South Wales</t>
        </is>
      </c>
      <c r="H1115" s="17" t="inlineStr">
        <is>
          <t>76.00</t>
        </is>
      </c>
      <c r="I1115" s="15" t="inlineStr">
        <is>
          <t>IVF Australia Pty Ltd</t>
        </is>
      </c>
      <c r="J1115" s="18" t="n">
        <v>90.23999999999999</v>
      </c>
      <c r="K1115" s="17" t="inlineStr">
        <is>
          <t>90.24</t>
        </is>
      </c>
      <c r="L1115" s="16" t="n">
        <v>45949</v>
      </c>
      <c r="M1115" s="16" t="n">
        <v>44935</v>
      </c>
      <c r="N1115" s="17" t="inlineStr"/>
      <c r="O1115" s="17" t="inlineStr"/>
      <c r="P1115" s="16" t="n"/>
    </row>
    <row r="1116" ht="52.8" customHeight="1">
      <c r="A1116" s="11" t="inlineStr">
        <is>
          <t>AU22741</t>
        </is>
      </c>
      <c r="B1116" s="12" t="n">
        <v>44963</v>
      </c>
      <c r="C1116" s="11" t="inlineStr">
        <is>
          <t>Genetic Scientist</t>
        </is>
      </c>
      <c r="D1116" s="11" t="inlineStr">
        <is>
          <t>QLD Scientists EA</t>
        </is>
      </c>
      <c r="E1116" s="11" t="inlineStr">
        <is>
          <t>FT - Full-time Waged</t>
        </is>
      </c>
      <c r="F1116" s="11" t="inlineStr">
        <is>
          <t>Diagnostics</t>
        </is>
      </c>
      <c r="G1116" s="11" t="inlineStr">
        <is>
          <t>Queensland</t>
        </is>
      </c>
      <c r="H1116" s="13" t="inlineStr">
        <is>
          <t>76.00</t>
        </is>
      </c>
      <c r="I1116" s="11" t="inlineStr">
        <is>
          <t>Queensland Fertility Group Pty Ltd</t>
        </is>
      </c>
      <c r="J1116" s="14" t="n">
        <v>91.58</v>
      </c>
      <c r="K1116" s="13" t="inlineStr">
        <is>
          <t>91.58</t>
        </is>
      </c>
      <c r="L1116" s="12" t="n">
        <v>45949</v>
      </c>
      <c r="M1116" s="12" t="n">
        <v>44963</v>
      </c>
      <c r="N1116" s="13" t="inlineStr"/>
      <c r="O1116" s="13" t="inlineStr"/>
      <c r="P1116" s="12" t="n"/>
    </row>
    <row r="1117" ht="52.8" customHeight="1">
      <c r="A1117" s="15" t="inlineStr">
        <is>
          <t>AU22696</t>
        </is>
      </c>
      <c r="B1117" s="16" t="n">
        <v>44937</v>
      </c>
      <c r="C1117" s="15" t="inlineStr">
        <is>
          <t>Senior Researcher</t>
        </is>
      </c>
      <c r="D1117" s="15" t="inlineStr">
        <is>
          <t>Common Law Employment Contract</t>
        </is>
      </c>
      <c r="E1117" s="15" t="inlineStr">
        <is>
          <t>FP - Full-time Salaried</t>
        </is>
      </c>
      <c r="F1117" s="15" t="inlineStr">
        <is>
          <t>Corporate Services</t>
        </is>
      </c>
      <c r="G1117" s="15" t="inlineStr">
        <is>
          <t>Victoria</t>
        </is>
      </c>
      <c r="H1117" s="17" t="inlineStr">
        <is>
          <t>76.00</t>
        </is>
      </c>
      <c r="I1117" s="15" t="inlineStr">
        <is>
          <t>IVF Australia Pty Ltd</t>
        </is>
      </c>
      <c r="J1117" s="18" t="n">
        <v>91.76000000000001</v>
      </c>
      <c r="K1117" s="17" t="inlineStr">
        <is>
          <t>91.76</t>
        </is>
      </c>
      <c r="L1117" s="16" t="n">
        <v>45949</v>
      </c>
      <c r="M1117" s="16" t="n">
        <v>44937</v>
      </c>
      <c r="N1117" s="17" t="inlineStr"/>
      <c r="O1117" s="17" t="inlineStr"/>
      <c r="P1117" s="16" t="n"/>
    </row>
    <row r="1118" ht="39.6" customHeight="1">
      <c r="A1118" s="11" t="n">
        <v>100043</v>
      </c>
      <c r="B1118" s="12" t="n">
        <v>44343</v>
      </c>
      <c r="C1118" s="11" t="inlineStr">
        <is>
          <t>Clinical Nurse Specialist</t>
        </is>
      </c>
      <c r="D1118" s="11" t="inlineStr">
        <is>
          <t>NSW Nurse EA</t>
        </is>
      </c>
      <c r="E1118" s="11" t="inlineStr">
        <is>
          <t>PP - Part-time Waged</t>
        </is>
      </c>
      <c r="F1118" s="11" t="inlineStr">
        <is>
          <t>IVFA</t>
        </is>
      </c>
      <c r="G1118" s="11" t="inlineStr">
        <is>
          <t>New South Wales</t>
        </is>
      </c>
      <c r="H1118" s="13" t="inlineStr">
        <is>
          <t>51.00</t>
        </is>
      </c>
      <c r="I1118" s="11" t="inlineStr">
        <is>
          <t>IVF Australia Pty Ltd</t>
        </is>
      </c>
      <c r="J1118" s="14" t="n">
        <v>92.06</v>
      </c>
      <c r="K1118" s="13" t="inlineStr">
        <is>
          <t>92.06</t>
        </is>
      </c>
      <c r="L1118" s="12" t="n">
        <v>45949</v>
      </c>
      <c r="M1118" s="12" t="n">
        <v>44343</v>
      </c>
      <c r="N1118" s="13" t="inlineStr"/>
      <c r="O1118" s="13" t="inlineStr"/>
      <c r="P1118" s="12" t="n"/>
    </row>
    <row r="1119" ht="79.2" customHeight="1">
      <c r="A1119" s="15" t="inlineStr">
        <is>
          <t>AU22556</t>
        </is>
      </c>
      <c r="B1119" s="16" t="n">
        <v>44098</v>
      </c>
      <c r="C1119" s="15" t="inlineStr">
        <is>
          <t>Phlebotomist</t>
        </is>
      </c>
      <c r="D1119" s="15" t="inlineStr">
        <is>
          <t>Health Professionals and Support Services Award</t>
        </is>
      </c>
      <c r="E1119" s="15" t="inlineStr">
        <is>
          <t>CA - Casual</t>
        </is>
      </c>
      <c r="F1119" s="15" t="inlineStr">
        <is>
          <t>IVFA</t>
        </is>
      </c>
      <c r="G1119" s="15" t="inlineStr">
        <is>
          <t>New South Wales</t>
        </is>
      </c>
      <c r="H1119" s="17" t="inlineStr"/>
      <c r="I1119" s="15" t="inlineStr">
        <is>
          <t>IVF Australia Pty Ltd</t>
        </is>
      </c>
      <c r="J1119" s="18" t="n">
        <v>92.14</v>
      </c>
      <c r="K1119" s="17" t="inlineStr">
        <is>
          <t>92.14</t>
        </is>
      </c>
      <c r="L1119" s="16" t="n">
        <v>45949</v>
      </c>
      <c r="M1119" s="16" t="n">
        <v>44098</v>
      </c>
      <c r="N1119" s="17" t="inlineStr"/>
      <c r="O1119" s="17" t="inlineStr"/>
      <c r="P1119" s="16" t="n"/>
    </row>
    <row r="1120" ht="39.6" customHeight="1">
      <c r="A1120" s="11" t="n">
        <v>20914</v>
      </c>
      <c r="B1120" s="12" t="n">
        <v>44620</v>
      </c>
      <c r="C1120" s="11" t="inlineStr">
        <is>
          <t>Registered Nurse</t>
        </is>
      </c>
      <c r="D1120" s="11" t="inlineStr">
        <is>
          <t>NSW Nurse EA</t>
        </is>
      </c>
      <c r="E1120" s="11" t="inlineStr">
        <is>
          <t>PP - Part-time Waged</t>
        </is>
      </c>
      <c r="F1120" s="11" t="inlineStr">
        <is>
          <t>IVFA</t>
        </is>
      </c>
      <c r="G1120" s="11" t="inlineStr">
        <is>
          <t>New South Wales</t>
        </is>
      </c>
      <c r="H1120" s="13" t="inlineStr">
        <is>
          <t>57.00</t>
        </is>
      </c>
      <c r="I1120" s="11" t="inlineStr">
        <is>
          <t>IVF Australia Pty Ltd</t>
        </is>
      </c>
      <c r="J1120" s="14" t="n">
        <v>92.29000000000001</v>
      </c>
      <c r="K1120" s="13" t="inlineStr">
        <is>
          <t>92.29</t>
        </is>
      </c>
      <c r="L1120" s="12" t="n">
        <v>45949</v>
      </c>
      <c r="M1120" s="12" t="n">
        <v>44620</v>
      </c>
      <c r="N1120" s="13" t="inlineStr"/>
      <c r="O1120" s="13" t="inlineStr"/>
      <c r="P1120" s="12" t="n"/>
    </row>
    <row r="1121" ht="66" customHeight="1">
      <c r="A1121" s="15" t="n">
        <v>50180</v>
      </c>
      <c r="B1121" s="16" t="n">
        <v>44130</v>
      </c>
      <c r="C1121" s="15" t="inlineStr">
        <is>
          <t>Registered Nurse</t>
        </is>
      </c>
      <c r="D1121" s="15" t="inlineStr">
        <is>
          <t>NSW Nurse EA</t>
        </is>
      </c>
      <c r="E1121" s="15" t="inlineStr">
        <is>
          <t>PP - Part-time Waged</t>
        </is>
      </c>
      <c r="F1121" s="15" t="inlineStr">
        <is>
          <t>Day Hospitals</t>
        </is>
      </c>
      <c r="G1121" s="15" t="inlineStr">
        <is>
          <t>New South Wales</t>
        </is>
      </c>
      <c r="H1121" s="17" t="inlineStr">
        <is>
          <t>45.60</t>
        </is>
      </c>
      <c r="I1121" s="15" t="inlineStr">
        <is>
          <t>Alexandria Specialist Day Hospital Pty Ltd</t>
        </is>
      </c>
      <c r="J1121" s="18" t="n">
        <v>142.63</v>
      </c>
      <c r="K1121" s="17" t="inlineStr">
        <is>
          <t>93.08</t>
        </is>
      </c>
      <c r="L1121" s="16" t="n">
        <v>45949</v>
      </c>
      <c r="M1121" s="16" t="n">
        <v>44130</v>
      </c>
      <c r="N1121" s="17" t="inlineStr">
        <is>
          <t>49.55</t>
        </is>
      </c>
      <c r="O1121" s="17" t="inlineStr"/>
      <c r="P1121" s="16" t="n"/>
    </row>
    <row r="1122" ht="39.6" customHeight="1">
      <c r="A1122" s="11" t="n">
        <v>20080</v>
      </c>
      <c r="B1122" s="12" t="n">
        <v>38698</v>
      </c>
      <c r="C1122" s="11" t="inlineStr">
        <is>
          <t>Administration</t>
        </is>
      </c>
      <c r="D1122" s="11" t="inlineStr">
        <is>
          <t>NSW Support Services EA</t>
        </is>
      </c>
      <c r="E1122" s="11" t="inlineStr">
        <is>
          <t>PP - Part-time Waged</t>
        </is>
      </c>
      <c r="F1122" s="11" t="inlineStr">
        <is>
          <t>IVFA</t>
        </is>
      </c>
      <c r="G1122" s="11" t="inlineStr">
        <is>
          <t>New South Wales</t>
        </is>
      </c>
      <c r="H1122" s="13" t="inlineStr">
        <is>
          <t>55.00</t>
        </is>
      </c>
      <c r="I1122" s="11" t="inlineStr">
        <is>
          <t>IVF Australia Pty Ltd</t>
        </is>
      </c>
      <c r="J1122" s="14" t="n">
        <v>43.7</v>
      </c>
      <c r="K1122" s="13" t="inlineStr">
        <is>
          <t>93.21</t>
        </is>
      </c>
      <c r="L1122" s="12" t="n">
        <v>45949</v>
      </c>
      <c r="M1122" s="12" t="n">
        <v>44542</v>
      </c>
      <c r="N1122" s="13" t="inlineStr">
        <is>
          <t>30.23</t>
        </is>
      </c>
      <c r="O1122" s="13" t="inlineStr">
        <is>
          <t>79.74</t>
        </is>
      </c>
      <c r="P1122" s="12" t="n"/>
    </row>
    <row r="1123" ht="39.6" customHeight="1">
      <c r="A1123" s="15" t="inlineStr">
        <is>
          <t>AU22496</t>
        </is>
      </c>
      <c r="B1123" s="16" t="n">
        <v>44746</v>
      </c>
      <c r="C1123" s="15" t="inlineStr">
        <is>
          <t>Counsellor</t>
        </is>
      </c>
      <c r="D1123" s="15" t="inlineStr">
        <is>
          <t>NSW Counsellor EA</t>
        </is>
      </c>
      <c r="E1123" s="15" t="inlineStr">
        <is>
          <t>PP - Part-time Waged</t>
        </is>
      </c>
      <c r="F1123" s="15" t="inlineStr">
        <is>
          <t>IVFA</t>
        </is>
      </c>
      <c r="G1123" s="15" t="inlineStr">
        <is>
          <t>New South Wales</t>
        </is>
      </c>
      <c r="H1123" s="17" t="inlineStr">
        <is>
          <t>48.00</t>
        </is>
      </c>
      <c r="I1123" s="15" t="inlineStr">
        <is>
          <t>IVF Australia Pty Ltd</t>
        </is>
      </c>
      <c r="J1123" s="18" t="n">
        <v>93.39</v>
      </c>
      <c r="K1123" s="17" t="inlineStr">
        <is>
          <t>93.39</t>
        </is>
      </c>
      <c r="L1123" s="16" t="n">
        <v>45949</v>
      </c>
      <c r="M1123" s="16" t="n">
        <v>44746</v>
      </c>
      <c r="N1123" s="17" t="inlineStr"/>
      <c r="O1123" s="17" t="inlineStr"/>
      <c r="P1123" s="16" t="n"/>
    </row>
    <row r="1124" ht="52.8" customHeight="1">
      <c r="A1124" s="11" t="inlineStr">
        <is>
          <t>AU22703</t>
        </is>
      </c>
      <c r="B1124" s="12" t="n">
        <v>44929</v>
      </c>
      <c r="C1124" s="11" t="inlineStr">
        <is>
          <t>Embryologist/Team Leader</t>
        </is>
      </c>
      <c r="D1124" s="11" t="inlineStr">
        <is>
          <t>QLD Scientists EA</t>
        </is>
      </c>
      <c r="E1124" s="11" t="inlineStr">
        <is>
          <t>FT - Full-time Waged</t>
        </is>
      </c>
      <c r="F1124" s="11" t="inlineStr">
        <is>
          <t>Queensland Fertility Group</t>
        </is>
      </c>
      <c r="G1124" s="11" t="inlineStr">
        <is>
          <t>Queensland</t>
        </is>
      </c>
      <c r="H1124" s="13" t="inlineStr">
        <is>
          <t>76.00</t>
        </is>
      </c>
      <c r="I1124" s="11" t="inlineStr">
        <is>
          <t>Queensland Fertility Group Pty Ltd</t>
        </is>
      </c>
      <c r="J1124" s="14" t="n">
        <v>93.83</v>
      </c>
      <c r="K1124" s="13" t="inlineStr">
        <is>
          <t>93.83</t>
        </is>
      </c>
      <c r="L1124" s="12" t="n">
        <v>45949</v>
      </c>
      <c r="M1124" s="12" t="n">
        <v>44832</v>
      </c>
      <c r="N1124" s="13" t="inlineStr"/>
      <c r="O1124" s="13" t="inlineStr"/>
      <c r="P1124" s="12" t="n"/>
    </row>
    <row r="1125" ht="79.2" customHeight="1">
      <c r="A1125" s="15" t="n">
        <v>60104</v>
      </c>
      <c r="B1125" s="16" t="n">
        <v>41050</v>
      </c>
      <c r="C1125" s="15" t="inlineStr">
        <is>
          <t>CSSD Tech</t>
        </is>
      </c>
      <c r="D1125" s="15" t="inlineStr">
        <is>
          <t>Health Professionals and Support Services Award</t>
        </is>
      </c>
      <c r="E1125" s="15" t="inlineStr">
        <is>
          <t>PP - Part-time Waged</t>
        </is>
      </c>
      <c r="F1125" s="15" t="inlineStr">
        <is>
          <t>Day Hospitals</t>
        </is>
      </c>
      <c r="G1125" s="15" t="inlineStr">
        <is>
          <t>Queensland</t>
        </is>
      </c>
      <c r="H1125" s="17" t="inlineStr">
        <is>
          <t>48.00</t>
        </is>
      </c>
      <c r="I1125" s="15" t="inlineStr">
        <is>
          <t>Spring Hill Specialist Day Hospital</t>
        </is>
      </c>
      <c r="J1125" s="18" t="n">
        <v>93.52</v>
      </c>
      <c r="K1125" s="17" t="inlineStr">
        <is>
          <t>93.88</t>
        </is>
      </c>
      <c r="L1125" s="16" t="n">
        <v>45949</v>
      </c>
      <c r="M1125" s="16" t="n">
        <v>44702</v>
      </c>
      <c r="N1125" s="17" t="inlineStr">
        <is>
          <t>223.64</t>
        </is>
      </c>
      <c r="O1125" s="17" t="inlineStr">
        <is>
          <t>224.00</t>
        </is>
      </c>
      <c r="P1125" s="16" t="n"/>
    </row>
    <row r="1126" ht="52.8" customHeight="1">
      <c r="A1126" s="11" t="n">
        <v>20678</v>
      </c>
      <c r="B1126" s="12" t="n">
        <v>43570</v>
      </c>
      <c r="C1126" s="11" t="inlineStr">
        <is>
          <t>Genetic Counsellor</t>
        </is>
      </c>
      <c r="D1126" s="11" t="inlineStr">
        <is>
          <t>Common Law Employment Contract</t>
        </is>
      </c>
      <c r="E1126" s="11" t="inlineStr">
        <is>
          <t>PP - Part-time Waged</t>
        </is>
      </c>
      <c r="F1126" s="11" t="inlineStr">
        <is>
          <t>IVFA</t>
        </is>
      </c>
      <c r="G1126" s="11" t="inlineStr">
        <is>
          <t>New South Wales</t>
        </is>
      </c>
      <c r="H1126" s="13" t="inlineStr">
        <is>
          <t>64.00</t>
        </is>
      </c>
      <c r="I1126" s="11" t="inlineStr">
        <is>
          <t>IVF Australia Pty Ltd</t>
        </is>
      </c>
      <c r="J1126" s="14" t="n">
        <v>94.47</v>
      </c>
      <c r="K1126" s="13" t="inlineStr">
        <is>
          <t>94.47</t>
        </is>
      </c>
      <c r="L1126" s="12" t="n">
        <v>45949</v>
      </c>
      <c r="M1126" s="12" t="n">
        <v>43570</v>
      </c>
      <c r="N1126" s="13" t="inlineStr"/>
      <c r="O1126" s="13" t="inlineStr"/>
      <c r="P1126" s="12" t="n"/>
    </row>
    <row r="1127" ht="39.6" customHeight="1">
      <c r="A1127" s="15" t="n">
        <v>40121</v>
      </c>
      <c r="B1127" s="16" t="n">
        <v>44039</v>
      </c>
      <c r="C1127" s="15" t="inlineStr">
        <is>
          <t>Enrolled Nurse</t>
        </is>
      </c>
      <c r="D1127" s="15" t="inlineStr">
        <is>
          <t>NSW Nurse EA</t>
        </is>
      </c>
      <c r="E1127" s="15" t="inlineStr">
        <is>
          <t>PP - Part-time Waged</t>
        </is>
      </c>
      <c r="F1127" s="15" t="inlineStr">
        <is>
          <t>Day Hospitals</t>
        </is>
      </c>
      <c r="G1127" s="15" t="inlineStr">
        <is>
          <t>New South Wales</t>
        </is>
      </c>
      <c r="H1127" s="17" t="inlineStr">
        <is>
          <t>36.00</t>
        </is>
      </c>
      <c r="I1127" s="15" t="inlineStr">
        <is>
          <t>City West Day Surgery</t>
        </is>
      </c>
      <c r="J1127" s="18" t="n">
        <v>94.55</v>
      </c>
      <c r="K1127" s="17" t="inlineStr">
        <is>
          <t>94.55</t>
        </is>
      </c>
      <c r="L1127" s="16" t="n">
        <v>45949</v>
      </c>
      <c r="M1127" s="16" t="n">
        <v>44039</v>
      </c>
      <c r="N1127" s="17" t="inlineStr"/>
      <c r="O1127" s="17" t="inlineStr"/>
      <c r="P1127" s="16" t="n"/>
    </row>
    <row r="1128" ht="39.6" customHeight="1">
      <c r="A1128" s="11" t="n">
        <v>20776</v>
      </c>
      <c r="B1128" s="12" t="n">
        <v>44061</v>
      </c>
      <c r="C1128" s="11" t="inlineStr">
        <is>
          <t>Administration</t>
        </is>
      </c>
      <c r="D1128" s="11" t="inlineStr">
        <is>
          <t>NSW Support Services EA</t>
        </is>
      </c>
      <c r="E1128" s="11" t="inlineStr">
        <is>
          <t>PP - Part-time Waged</t>
        </is>
      </c>
      <c r="F1128" s="11" t="inlineStr">
        <is>
          <t>IVFA</t>
        </is>
      </c>
      <c r="G1128" s="11" t="inlineStr">
        <is>
          <t>New South Wales</t>
        </is>
      </c>
      <c r="H1128" s="13" t="inlineStr">
        <is>
          <t>40.00</t>
        </is>
      </c>
      <c r="I1128" s="11" t="inlineStr">
        <is>
          <t>IVF Australia Pty Ltd</t>
        </is>
      </c>
      <c r="J1128" s="14" t="n">
        <v>94.72</v>
      </c>
      <c r="K1128" s="13" t="inlineStr">
        <is>
          <t>94.72</t>
        </is>
      </c>
      <c r="L1128" s="12" t="n">
        <v>45949</v>
      </c>
      <c r="M1128" s="12" t="n">
        <v>44061</v>
      </c>
      <c r="N1128" s="13" t="inlineStr"/>
      <c r="O1128" s="13" t="inlineStr"/>
      <c r="P1128" s="12" t="n"/>
    </row>
    <row r="1129" ht="39.6" customHeight="1">
      <c r="A1129" s="15" t="n">
        <v>20780</v>
      </c>
      <c r="B1129" s="16" t="n">
        <v>44055</v>
      </c>
      <c r="C1129" s="15" t="inlineStr">
        <is>
          <t xml:space="preserve">Patient Care Consultant </t>
        </is>
      </c>
      <c r="D1129" s="15" t="inlineStr">
        <is>
          <t>NSW Support Services EA</t>
        </is>
      </c>
      <c r="E1129" s="15" t="inlineStr">
        <is>
          <t>PP - Part-time Waged</t>
        </is>
      </c>
      <c r="F1129" s="15" t="inlineStr">
        <is>
          <t>The Fertility Centre</t>
        </is>
      </c>
      <c r="G1129" s="15" t="inlineStr">
        <is>
          <t>New South Wales</t>
        </is>
      </c>
      <c r="H1129" s="17" t="inlineStr">
        <is>
          <t>44.00</t>
        </is>
      </c>
      <c r="I1129" s="15" t="inlineStr">
        <is>
          <t>IVF Australia Pty Ltd</t>
        </is>
      </c>
      <c r="J1129" s="18" t="n">
        <v>94.98</v>
      </c>
      <c r="K1129" s="17" t="inlineStr">
        <is>
          <t>94.98</t>
        </is>
      </c>
      <c r="L1129" s="16" t="n">
        <v>45949</v>
      </c>
      <c r="M1129" s="16" t="n">
        <v>44055</v>
      </c>
      <c r="N1129" s="17" t="inlineStr"/>
      <c r="O1129" s="17" t="inlineStr"/>
      <c r="P1129" s="16" t="n"/>
    </row>
    <row r="1130" ht="79.2" customHeight="1">
      <c r="A1130" s="11" t="inlineStr">
        <is>
          <t>AU22672</t>
        </is>
      </c>
      <c r="B1130" s="12" t="n">
        <v>44893</v>
      </c>
      <c r="C1130" s="11" t="inlineStr">
        <is>
          <t>Medical Scientist</t>
        </is>
      </c>
      <c r="D1130" s="11" t="inlineStr">
        <is>
          <t>Health Professionals and Support Services Award</t>
        </is>
      </c>
      <c r="E1130" s="11" t="inlineStr">
        <is>
          <t>FT - Full-time Waged</t>
        </is>
      </c>
      <c r="F1130" s="11" t="inlineStr">
        <is>
          <t>Diagnostics</t>
        </is>
      </c>
      <c r="G1130" s="11" t="inlineStr">
        <is>
          <t>New South Wales</t>
        </is>
      </c>
      <c r="H1130" s="13" t="inlineStr">
        <is>
          <t>76.00</t>
        </is>
      </c>
      <c r="I1130" s="11" t="inlineStr">
        <is>
          <t>Virtus Health Specialist Diagnostics</t>
        </is>
      </c>
      <c r="J1130" s="14" t="n">
        <v>95.13</v>
      </c>
      <c r="K1130" s="13" t="inlineStr">
        <is>
          <t>95.13</t>
        </is>
      </c>
      <c r="L1130" s="12" t="n">
        <v>45949</v>
      </c>
      <c r="M1130" s="12" t="n">
        <v>44893</v>
      </c>
      <c r="N1130" s="13" t="inlineStr"/>
      <c r="O1130" s="13" t="inlineStr"/>
      <c r="P1130" s="12" t="n"/>
    </row>
    <row r="1131" ht="39.6" customHeight="1">
      <c r="A1131" s="15" t="inlineStr">
        <is>
          <t>AU22621</t>
        </is>
      </c>
      <c r="B1131" s="16" t="n">
        <v>44872</v>
      </c>
      <c r="C1131" s="15" t="inlineStr">
        <is>
          <t>Clinical Nurse Specialist</t>
        </is>
      </c>
      <c r="D1131" s="15" t="inlineStr">
        <is>
          <t>NSW Nurse EA</t>
        </is>
      </c>
      <c r="E1131" s="15" t="inlineStr">
        <is>
          <t>FT - Full-time Waged</t>
        </is>
      </c>
      <c r="F1131" s="15" t="inlineStr">
        <is>
          <t>IVFA</t>
        </is>
      </c>
      <c r="G1131" s="15" t="inlineStr">
        <is>
          <t>New South Wales</t>
        </is>
      </c>
      <c r="H1131" s="17" t="inlineStr">
        <is>
          <t>76.00</t>
        </is>
      </c>
      <c r="I1131" s="15" t="inlineStr">
        <is>
          <t>IVF Australia Pty Ltd</t>
        </is>
      </c>
      <c r="J1131" s="18" t="n">
        <v>95.16</v>
      </c>
      <c r="K1131" s="17" t="inlineStr">
        <is>
          <t>95.16</t>
        </is>
      </c>
      <c r="L1131" s="16" t="n">
        <v>45949</v>
      </c>
      <c r="M1131" s="16" t="n">
        <v>44872</v>
      </c>
      <c r="N1131" s="17" t="inlineStr"/>
      <c r="O1131" s="17" t="inlineStr"/>
      <c r="P1131" s="16" t="n"/>
    </row>
    <row r="1132" ht="39.6" customHeight="1">
      <c r="A1132" s="11" t="inlineStr">
        <is>
          <t>AU22645</t>
        </is>
      </c>
      <c r="B1132" s="12" t="n">
        <v>44879</v>
      </c>
      <c r="C1132" s="11" t="inlineStr">
        <is>
          <t>Embryologist</t>
        </is>
      </c>
      <c r="D1132" s="11" t="inlineStr">
        <is>
          <t>IVFA Scientists EA</t>
        </is>
      </c>
      <c r="E1132" s="11" t="inlineStr">
        <is>
          <t>FT - Full-time Waged</t>
        </is>
      </c>
      <c r="F1132" s="11" t="inlineStr">
        <is>
          <t>IVFA</t>
        </is>
      </c>
      <c r="G1132" s="11" t="inlineStr">
        <is>
          <t>Australian Capital Territory</t>
        </is>
      </c>
      <c r="H1132" s="13" t="inlineStr">
        <is>
          <t>76.00</t>
        </is>
      </c>
      <c r="I1132" s="11" t="inlineStr">
        <is>
          <t>IVF Australia Pty Ltd</t>
        </is>
      </c>
      <c r="J1132" s="14" t="n">
        <v>95.43000000000001</v>
      </c>
      <c r="K1132" s="13" t="inlineStr">
        <is>
          <t>95.43</t>
        </is>
      </c>
      <c r="L1132" s="12" t="n">
        <v>45949</v>
      </c>
      <c r="M1132" s="12" t="n">
        <v>44879</v>
      </c>
      <c r="N1132" s="13" t="inlineStr"/>
      <c r="O1132" s="13" t="inlineStr"/>
      <c r="P1132" s="12" t="n"/>
    </row>
    <row r="1133" ht="79.2" customHeight="1">
      <c r="A1133" s="15" t="n">
        <v>90056</v>
      </c>
      <c r="B1133" s="16" t="n">
        <v>42836</v>
      </c>
      <c r="C1133" s="15" t="inlineStr">
        <is>
          <t>Courier</t>
        </is>
      </c>
      <c r="D1133" s="15" t="inlineStr">
        <is>
          <t>Health Professionals and Support Services Award</t>
        </is>
      </c>
      <c r="E1133" s="15" t="inlineStr">
        <is>
          <t>CA - Casual</t>
        </is>
      </c>
      <c r="F1133" s="15" t="inlineStr">
        <is>
          <t>Diagnostics</t>
        </is>
      </c>
      <c r="G1133" s="15" t="inlineStr">
        <is>
          <t>New South Wales</t>
        </is>
      </c>
      <c r="H1133" s="17" t="inlineStr"/>
      <c r="I1133" s="15" t="inlineStr">
        <is>
          <t>Virtus Health Specialist Diagnostics</t>
        </is>
      </c>
      <c r="J1133" s="18" t="n">
        <v>95.43000000000001</v>
      </c>
      <c r="K1133" s="17" t="inlineStr">
        <is>
          <t>95.43</t>
        </is>
      </c>
      <c r="L1133" s="16" t="n">
        <v>45949</v>
      </c>
      <c r="M1133" s="16" t="n">
        <v>42836</v>
      </c>
      <c r="N1133" s="17" t="inlineStr"/>
      <c r="O1133" s="17" t="inlineStr"/>
      <c r="P1133" s="16" t="n"/>
    </row>
    <row r="1134" ht="79.2" customHeight="1">
      <c r="A1134" s="11" t="n">
        <v>90107</v>
      </c>
      <c r="B1134" s="12" t="n">
        <v>43766</v>
      </c>
      <c r="C1134" s="11" t="inlineStr">
        <is>
          <t>Courier</t>
        </is>
      </c>
      <c r="D1134" s="11" t="inlineStr">
        <is>
          <t>Health Professionals and Support Services Award</t>
        </is>
      </c>
      <c r="E1134" s="11" t="inlineStr">
        <is>
          <t>CA - Casual</t>
        </is>
      </c>
      <c r="F1134" s="11" t="inlineStr">
        <is>
          <t>Diagnostics</t>
        </is>
      </c>
      <c r="G1134" s="11" t="inlineStr">
        <is>
          <t>New South Wales</t>
        </is>
      </c>
      <c r="H1134" s="13" t="inlineStr"/>
      <c r="I1134" s="11" t="inlineStr">
        <is>
          <t>Virtus Health Specialist Diagnostics</t>
        </is>
      </c>
      <c r="J1134" s="14" t="n">
        <v>95.73</v>
      </c>
      <c r="K1134" s="13" t="inlineStr">
        <is>
          <t>95.73</t>
        </is>
      </c>
      <c r="L1134" s="12" t="n">
        <v>45949</v>
      </c>
      <c r="M1134" s="12" t="n">
        <v>43766</v>
      </c>
      <c r="N1134" s="13" t="inlineStr"/>
      <c r="O1134" s="13" t="inlineStr"/>
      <c r="P1134" s="12" t="n"/>
    </row>
    <row r="1135" ht="66" customHeight="1">
      <c r="A1135" s="15" t="n">
        <v>30382</v>
      </c>
      <c r="B1135" s="16" t="n">
        <v>44711</v>
      </c>
      <c r="C1135" s="15" t="inlineStr">
        <is>
          <t>Registered Nurse</t>
        </is>
      </c>
      <c r="D1135" s="15" t="inlineStr">
        <is>
          <t>NSW Nurse EA</t>
        </is>
      </c>
      <c r="E1135" s="15" t="inlineStr">
        <is>
          <t>FT - Full-time Waged</t>
        </is>
      </c>
      <c r="F1135" s="15" t="inlineStr">
        <is>
          <t>Day Hospitals</t>
        </is>
      </c>
      <c r="G1135" s="15" t="inlineStr">
        <is>
          <t>New South Wales</t>
        </is>
      </c>
      <c r="H1135" s="17" t="inlineStr">
        <is>
          <t>76.00</t>
        </is>
      </c>
      <c r="I1135" s="15" t="inlineStr">
        <is>
          <t>North Shore Specialist Day Hospital Pty Ltd</t>
        </is>
      </c>
      <c r="J1135" s="18" t="n">
        <v>95.73999999999999</v>
      </c>
      <c r="K1135" s="17" t="inlineStr">
        <is>
          <t>95.74</t>
        </is>
      </c>
      <c r="L1135" s="16" t="n">
        <v>45949</v>
      </c>
      <c r="M1135" s="16" t="n">
        <v>44711</v>
      </c>
      <c r="N1135" s="17" t="inlineStr"/>
      <c r="O1135" s="17" t="inlineStr"/>
      <c r="P1135" s="16" t="n"/>
    </row>
    <row r="1136" ht="39.6" customHeight="1">
      <c r="A1136" s="11" t="inlineStr">
        <is>
          <t>AU23232</t>
        </is>
      </c>
      <c r="B1136" s="12" t="n">
        <v>45446</v>
      </c>
      <c r="C1136" s="11" t="inlineStr">
        <is>
          <t>Registered Nurse</t>
        </is>
      </c>
      <c r="D1136" s="11" t="inlineStr">
        <is>
          <t>NSW Nurse EA</t>
        </is>
      </c>
      <c r="E1136" s="11" t="inlineStr">
        <is>
          <t>PP - Part-time Waged</t>
        </is>
      </c>
      <c r="F1136" s="11" t="inlineStr">
        <is>
          <t>IVFA</t>
        </is>
      </c>
      <c r="G1136" s="11" t="inlineStr">
        <is>
          <t>New South Wales</t>
        </is>
      </c>
      <c r="H1136" s="13" t="inlineStr">
        <is>
          <t>57.00</t>
        </is>
      </c>
      <c r="I1136" s="11" t="inlineStr">
        <is>
          <t>IVF Australia Pty Ltd</t>
        </is>
      </c>
      <c r="J1136" s="14" t="n">
        <v>96.01000000000001</v>
      </c>
      <c r="K1136" s="13" t="inlineStr">
        <is>
          <t>96.01</t>
        </is>
      </c>
      <c r="L1136" s="12" t="n">
        <v>45949</v>
      </c>
      <c r="M1136" s="12" t="n">
        <v>44347</v>
      </c>
      <c r="N1136" s="13" t="inlineStr"/>
      <c r="O1136" s="13" t="inlineStr"/>
      <c r="P1136" s="12" t="n"/>
    </row>
    <row r="1137" ht="66" customHeight="1">
      <c r="A1137" s="15" t="inlineStr">
        <is>
          <t>AU22541</t>
        </is>
      </c>
      <c r="B1137" s="16" t="n">
        <v>44803</v>
      </c>
      <c r="C1137" s="15" t="inlineStr">
        <is>
          <t>Associate Nurse Unit Manager</t>
        </is>
      </c>
      <c r="D1137" s="15" t="inlineStr">
        <is>
          <t>NSW Nurse EA</t>
        </is>
      </c>
      <c r="E1137" s="15" t="inlineStr">
        <is>
          <t>PP - Part-time Waged</t>
        </is>
      </c>
      <c r="F1137" s="15" t="inlineStr">
        <is>
          <t>Day Hospitals</t>
        </is>
      </c>
      <c r="G1137" s="15" t="inlineStr">
        <is>
          <t>New South Wales</t>
        </is>
      </c>
      <c r="H1137" s="17" t="inlineStr">
        <is>
          <t>60.80</t>
        </is>
      </c>
      <c r="I1137" s="15" t="inlineStr">
        <is>
          <t>Alexandria Specialist Day Hospital Pty Ltd</t>
        </is>
      </c>
      <c r="J1137" s="18" t="n">
        <v>96.06999999999999</v>
      </c>
      <c r="K1137" s="17" t="inlineStr">
        <is>
          <t>96.07</t>
        </is>
      </c>
      <c r="L1137" s="16" t="n">
        <v>45949</v>
      </c>
      <c r="M1137" s="16" t="n">
        <v>44803</v>
      </c>
      <c r="N1137" s="17" t="inlineStr"/>
      <c r="O1137" s="17" t="inlineStr"/>
      <c r="P1137" s="16" t="n"/>
    </row>
    <row r="1138" ht="52.8" customHeight="1">
      <c r="A1138" s="11" t="inlineStr">
        <is>
          <t>AU23752</t>
        </is>
      </c>
      <c r="B1138" s="12" t="n">
        <v>45852</v>
      </c>
      <c r="C1138" s="11" t="inlineStr">
        <is>
          <t>Genetic Scientist</t>
        </is>
      </c>
      <c r="D1138" s="11" t="inlineStr">
        <is>
          <t>QLD Scientists EA</t>
        </is>
      </c>
      <c r="E1138" s="11" t="inlineStr">
        <is>
          <t>CA - Casual</t>
        </is>
      </c>
      <c r="F1138" s="11" t="inlineStr">
        <is>
          <t>Diagnostics</t>
        </is>
      </c>
      <c r="G1138" s="11" t="inlineStr">
        <is>
          <t>Victoria</t>
        </is>
      </c>
      <c r="H1138" s="13" t="inlineStr"/>
      <c r="I1138" s="11" t="inlineStr">
        <is>
          <t>Queensland Fertility Group Pty Ltd</t>
        </is>
      </c>
      <c r="J1138" s="14" t="n">
        <v>96.12</v>
      </c>
      <c r="K1138" s="13" t="inlineStr">
        <is>
          <t>96.12</t>
        </is>
      </c>
      <c r="L1138" s="12" t="n">
        <v>45935</v>
      </c>
      <c r="M1138" s="12" t="n">
        <v>44375</v>
      </c>
      <c r="N1138" s="13" t="inlineStr"/>
      <c r="O1138" s="13" t="inlineStr"/>
      <c r="P1138" s="12" t="n"/>
    </row>
    <row r="1139" ht="39.6" customHeight="1">
      <c r="A1139" s="15" t="inlineStr">
        <is>
          <t>AU22619</t>
        </is>
      </c>
      <c r="B1139" s="16" t="n">
        <v>44865</v>
      </c>
      <c r="C1139" s="15" t="inlineStr">
        <is>
          <t>Clinical Nurse Specialist</t>
        </is>
      </c>
      <c r="D1139" s="15" t="inlineStr">
        <is>
          <t>NSW Nurse EA</t>
        </is>
      </c>
      <c r="E1139" s="15" t="inlineStr">
        <is>
          <t>FT - Full-time Waged</t>
        </is>
      </c>
      <c r="F1139" s="15" t="inlineStr">
        <is>
          <t>IVFA</t>
        </is>
      </c>
      <c r="G1139" s="15" t="inlineStr">
        <is>
          <t>New South Wales</t>
        </is>
      </c>
      <c r="H1139" s="17" t="inlineStr">
        <is>
          <t>76.00</t>
        </is>
      </c>
      <c r="I1139" s="15" t="inlineStr">
        <is>
          <t>IVF Australia Pty Ltd</t>
        </is>
      </c>
      <c r="J1139" s="18" t="n">
        <v>96.14</v>
      </c>
      <c r="K1139" s="17" t="inlineStr">
        <is>
          <t>96.14</t>
        </is>
      </c>
      <c r="L1139" s="16" t="n">
        <v>45949</v>
      </c>
      <c r="M1139" s="16" t="n">
        <v>44865</v>
      </c>
      <c r="N1139" s="17" t="inlineStr"/>
      <c r="O1139" s="17" t="inlineStr"/>
      <c r="P1139" s="16" t="n"/>
    </row>
    <row r="1140" ht="39.6" customHeight="1">
      <c r="A1140" s="11" t="n">
        <v>20322</v>
      </c>
      <c r="B1140" s="12" t="n">
        <v>41246</v>
      </c>
      <c r="C1140" s="11" t="inlineStr">
        <is>
          <t>Embryologist</t>
        </is>
      </c>
      <c r="D1140" s="11" t="inlineStr">
        <is>
          <t>IVFA Scientists EA</t>
        </is>
      </c>
      <c r="E1140" s="11" t="inlineStr">
        <is>
          <t>FT - Full-time Waged</t>
        </is>
      </c>
      <c r="F1140" s="11" t="inlineStr">
        <is>
          <t>IVFA</t>
        </is>
      </c>
      <c r="G1140" s="11" t="inlineStr">
        <is>
          <t>New South Wales</t>
        </is>
      </c>
      <c r="H1140" s="13" t="inlineStr">
        <is>
          <t>76.00</t>
        </is>
      </c>
      <c r="I1140" s="11" t="inlineStr">
        <is>
          <t>IVF Australia Pty Ltd</t>
        </is>
      </c>
      <c r="J1140" s="14" t="n">
        <v>45.24</v>
      </c>
      <c r="K1140" s="13" t="inlineStr">
        <is>
          <t>96.42</t>
        </is>
      </c>
      <c r="L1140" s="12" t="n">
        <v>45949</v>
      </c>
      <c r="M1140" s="12" t="n">
        <v>44898</v>
      </c>
      <c r="N1140" s="13" t="inlineStr">
        <is>
          <t>329.32</t>
        </is>
      </c>
      <c r="O1140" s="13" t="inlineStr">
        <is>
          <t>380.50</t>
        </is>
      </c>
      <c r="P1140" s="12" t="n"/>
    </row>
    <row r="1141" ht="66" customHeight="1">
      <c r="A1141" s="15" t="n">
        <v>30078</v>
      </c>
      <c r="B1141" s="16" t="n">
        <v>40833</v>
      </c>
      <c r="C1141" s="15" t="inlineStr">
        <is>
          <t>Registered Nurse</t>
        </is>
      </c>
      <c r="D1141" s="15" t="inlineStr">
        <is>
          <t>NSW Nurse EA</t>
        </is>
      </c>
      <c r="E1141" s="15" t="inlineStr">
        <is>
          <t>PP - Part-time Waged</t>
        </is>
      </c>
      <c r="F1141" s="15" t="inlineStr">
        <is>
          <t>Day Hospitals</t>
        </is>
      </c>
      <c r="G1141" s="15" t="inlineStr">
        <is>
          <t>New South Wales</t>
        </is>
      </c>
      <c r="H1141" s="17" t="inlineStr">
        <is>
          <t>32.00</t>
        </is>
      </c>
      <c r="I1141" s="15" t="inlineStr">
        <is>
          <t>North Shore Specialist Day Hospital Pty Ltd</t>
        </is>
      </c>
      <c r="J1141" s="18" t="n">
        <v>43.8</v>
      </c>
      <c r="K1141" s="17" t="inlineStr">
        <is>
          <t>96.62</t>
        </is>
      </c>
      <c r="L1141" s="16" t="n">
        <v>45949</v>
      </c>
      <c r="M1141" s="16" t="n">
        <v>44486</v>
      </c>
      <c r="N1141" s="17" t="inlineStr">
        <is>
          <t>114.18</t>
        </is>
      </c>
      <c r="O1141" s="17" t="inlineStr">
        <is>
          <t>167.00</t>
        </is>
      </c>
      <c r="P1141" s="16" t="n"/>
    </row>
    <row r="1142" ht="52.8" customHeight="1">
      <c r="A1142" s="11" t="inlineStr">
        <is>
          <t>AU22613</t>
        </is>
      </c>
      <c r="B1142" s="12" t="n">
        <v>44893</v>
      </c>
      <c r="C1142" s="11" t="inlineStr">
        <is>
          <t>Genetic Scientist</t>
        </is>
      </c>
      <c r="D1142" s="11" t="inlineStr">
        <is>
          <t>QLD Scientists EA</t>
        </is>
      </c>
      <c r="E1142" s="11" t="inlineStr">
        <is>
          <t>FT - Full-time Waged</t>
        </is>
      </c>
      <c r="F1142" s="11" t="inlineStr">
        <is>
          <t>Diagnostics</t>
        </is>
      </c>
      <c r="G1142" s="11" t="inlineStr">
        <is>
          <t>Queensland</t>
        </is>
      </c>
      <c r="H1142" s="13" t="inlineStr">
        <is>
          <t>76.00</t>
        </is>
      </c>
      <c r="I1142" s="11" t="inlineStr">
        <is>
          <t>Queensland Fertility Group Pty Ltd</t>
        </is>
      </c>
      <c r="J1142" s="14" t="n">
        <v>96.73999999999999</v>
      </c>
      <c r="K1142" s="13" t="inlineStr">
        <is>
          <t>96.74</t>
        </is>
      </c>
      <c r="L1142" s="12" t="n">
        <v>45949</v>
      </c>
      <c r="M1142" s="12" t="n">
        <v>44893</v>
      </c>
      <c r="N1142" s="13" t="inlineStr"/>
      <c r="O1142" s="13" t="inlineStr"/>
      <c r="P1142" s="12" t="n"/>
    </row>
    <row r="1143" ht="39.6" customHeight="1">
      <c r="A1143" s="15" t="n">
        <v>19810</v>
      </c>
      <c r="B1143" s="16" t="n">
        <v>38985</v>
      </c>
      <c r="C1143" s="15" t="inlineStr">
        <is>
          <t>Laboratory Supervisor</t>
        </is>
      </c>
      <c r="D1143" s="15" t="inlineStr">
        <is>
          <t>Lab Supervisors Pay Policy</t>
        </is>
      </c>
      <c r="E1143" s="15" t="inlineStr">
        <is>
          <t>PP - Part-time Waged</t>
        </is>
      </c>
      <c r="F1143" s="15" t="inlineStr">
        <is>
          <t>IVFA</t>
        </is>
      </c>
      <c r="G1143" s="15" t="inlineStr">
        <is>
          <t>New South Wales</t>
        </is>
      </c>
      <c r="H1143" s="17" t="inlineStr">
        <is>
          <t>60.00</t>
        </is>
      </c>
      <c r="I1143" s="15" t="inlineStr">
        <is>
          <t>IVF Australia Pty Ltd</t>
        </is>
      </c>
      <c r="J1143" s="18" t="n">
        <v>44.61</v>
      </c>
      <c r="K1143" s="17" t="inlineStr">
        <is>
          <t>96.78</t>
        </is>
      </c>
      <c r="L1143" s="16" t="n">
        <v>45949</v>
      </c>
      <c r="M1143" s="16" t="n">
        <v>44829</v>
      </c>
      <c r="N1143" s="17" t="inlineStr">
        <is>
          <t>52.83</t>
        </is>
      </c>
      <c r="O1143" s="17" t="inlineStr">
        <is>
          <t>105.00</t>
        </is>
      </c>
      <c r="P1143" s="16" t="n"/>
    </row>
    <row r="1144" ht="39.6" customHeight="1">
      <c r="A1144" s="11" t="n">
        <v>100038</v>
      </c>
      <c r="B1144" s="12" t="n">
        <v>44125</v>
      </c>
      <c r="C1144" s="11" t="inlineStr">
        <is>
          <t>Administration</t>
        </is>
      </c>
      <c r="D1144" s="11" t="inlineStr">
        <is>
          <t>NSW Support Services EA</t>
        </is>
      </c>
      <c r="E1144" s="11" t="inlineStr">
        <is>
          <t>CA - Casual</t>
        </is>
      </c>
      <c r="F1144" s="11" t="inlineStr">
        <is>
          <t>IVFA</t>
        </is>
      </c>
      <c r="G1144" s="11" t="inlineStr">
        <is>
          <t>Australian Capital Territory</t>
        </is>
      </c>
      <c r="H1144" s="13" t="inlineStr"/>
      <c r="I1144" s="11" t="inlineStr">
        <is>
          <t>IVF Australia Pty Ltd</t>
        </is>
      </c>
      <c r="J1144" s="14" t="n">
        <v>96.91</v>
      </c>
      <c r="K1144" s="13" t="inlineStr">
        <is>
          <t>96.91</t>
        </is>
      </c>
      <c r="L1144" s="12" t="n">
        <v>45949</v>
      </c>
      <c r="M1144" s="12" t="n">
        <v>44125</v>
      </c>
      <c r="N1144" s="13" t="inlineStr"/>
      <c r="O1144" s="13" t="inlineStr"/>
      <c r="P1144" s="12" t="n"/>
    </row>
    <row r="1145" ht="39.6" customHeight="1">
      <c r="A1145" s="15" t="n">
        <v>20318</v>
      </c>
      <c r="B1145" s="16" t="n">
        <v>41204</v>
      </c>
      <c r="C1145" s="15" t="inlineStr">
        <is>
          <t>Administration Manager</t>
        </is>
      </c>
      <c r="D1145" s="15" t="inlineStr">
        <is>
          <t>NSW Support Services EA</t>
        </is>
      </c>
      <c r="E1145" s="15" t="inlineStr">
        <is>
          <t>PP - Part-time Waged</t>
        </is>
      </c>
      <c r="F1145" s="15" t="inlineStr">
        <is>
          <t>The Fertility Centre</t>
        </is>
      </c>
      <c r="G1145" s="15" t="inlineStr">
        <is>
          <t>New South Wales</t>
        </is>
      </c>
      <c r="H1145" s="17" t="inlineStr">
        <is>
          <t>72.00</t>
        </is>
      </c>
      <c r="I1145" s="15" t="inlineStr">
        <is>
          <t>IVF Australia Pty Ltd</t>
        </is>
      </c>
      <c r="J1145" s="18" t="n">
        <v>409.67</v>
      </c>
      <c r="K1145" s="17" t="inlineStr">
        <is>
          <t>97.28</t>
        </is>
      </c>
      <c r="L1145" s="16" t="n">
        <v>45949</v>
      </c>
      <c r="M1145" s="16" t="n">
        <v>44856</v>
      </c>
      <c r="N1145" s="17" t="inlineStr">
        <is>
          <t>312.39</t>
        </is>
      </c>
      <c r="O1145" s="17" t="inlineStr"/>
      <c r="P1145" s="16" t="n"/>
    </row>
    <row r="1146" ht="39.6" customHeight="1">
      <c r="A1146" s="11" t="n">
        <v>20274</v>
      </c>
      <c r="B1146" s="12" t="n">
        <v>40954</v>
      </c>
      <c r="C1146" s="11" t="inlineStr">
        <is>
          <t>Administration</t>
        </is>
      </c>
      <c r="D1146" s="11" t="inlineStr">
        <is>
          <t>NSW Support Services EA</t>
        </is>
      </c>
      <c r="E1146" s="11" t="inlineStr">
        <is>
          <t>PP - Part-time Waged</t>
        </is>
      </c>
      <c r="F1146" s="11" t="inlineStr">
        <is>
          <t>IVFA</t>
        </is>
      </c>
      <c r="G1146" s="11" t="inlineStr">
        <is>
          <t>New South Wales</t>
        </is>
      </c>
      <c r="H1146" s="13" t="inlineStr">
        <is>
          <t>55.00</t>
        </is>
      </c>
      <c r="I1146" s="11" t="inlineStr">
        <is>
          <t>IVF Australia Pty Ltd</t>
        </is>
      </c>
      <c r="J1146" s="14" t="n">
        <v>254.68</v>
      </c>
      <c r="K1146" s="13" t="inlineStr">
        <is>
          <t>98.39</t>
        </is>
      </c>
      <c r="L1146" s="12" t="n">
        <v>45949</v>
      </c>
      <c r="M1146" s="12" t="n">
        <v>44607</v>
      </c>
      <c r="N1146" s="13" t="inlineStr">
        <is>
          <t>156.29</t>
        </is>
      </c>
      <c r="O1146" s="13" t="inlineStr"/>
      <c r="P1146" s="12" t="n"/>
    </row>
    <row r="1147" ht="52.8" customHeight="1">
      <c r="A1147" s="15" t="inlineStr">
        <is>
          <t>AU22994</t>
        </is>
      </c>
      <c r="B1147" s="16" t="n">
        <v>45217</v>
      </c>
      <c r="C1147" s="15" t="inlineStr">
        <is>
          <t xml:space="preserve"> Embryologist</t>
        </is>
      </c>
      <c r="D1147" s="15" t="inlineStr">
        <is>
          <t>QLD Scientists EA</t>
        </is>
      </c>
      <c r="E1147" s="15" t="inlineStr">
        <is>
          <t>FT - Full-time Waged</t>
        </is>
      </c>
      <c r="F1147" s="15" t="inlineStr">
        <is>
          <t>Queensland Fertility Group</t>
        </is>
      </c>
      <c r="G1147" s="15" t="inlineStr">
        <is>
          <t>Queensland</t>
        </is>
      </c>
      <c r="H1147" s="17" t="inlineStr">
        <is>
          <t>76.00</t>
        </is>
      </c>
      <c r="I1147" s="15" t="inlineStr">
        <is>
          <t>Queensland Fertility Group Pty Ltd</t>
        </is>
      </c>
      <c r="J1147" s="18" t="n">
        <v>98.53</v>
      </c>
      <c r="K1147" s="17" t="inlineStr">
        <is>
          <t>98.53</t>
        </is>
      </c>
      <c r="L1147" s="16" t="n">
        <v>45949</v>
      </c>
      <c r="M1147" s="16" t="n">
        <v>45217</v>
      </c>
      <c r="N1147" s="17" t="inlineStr"/>
      <c r="O1147" s="17" t="inlineStr"/>
      <c r="P1147" s="16" t="n"/>
    </row>
    <row r="1148" ht="79.2" customHeight="1">
      <c r="A1148" s="11" t="inlineStr">
        <is>
          <t>AU22618</t>
        </is>
      </c>
      <c r="B1148" s="12" t="n">
        <v>44872</v>
      </c>
      <c r="C1148" s="11" t="inlineStr">
        <is>
          <t>Accounts Receivable - Diagnostics</t>
        </is>
      </c>
      <c r="D1148" s="11" t="inlineStr">
        <is>
          <t>Health Professionals and Support Services Award</t>
        </is>
      </c>
      <c r="E1148" s="11" t="inlineStr">
        <is>
          <t>FT - Full-time Waged</t>
        </is>
      </c>
      <c r="F1148" s="11" t="inlineStr">
        <is>
          <t>Diagnostics</t>
        </is>
      </c>
      <c r="G1148" s="11" t="inlineStr">
        <is>
          <t>Queensland</t>
        </is>
      </c>
      <c r="H1148" s="13" t="inlineStr">
        <is>
          <t>76.00</t>
        </is>
      </c>
      <c r="I1148" s="11" t="inlineStr">
        <is>
          <t>Queensland Fertility Group Pty Ltd</t>
        </is>
      </c>
      <c r="J1148" s="14" t="n">
        <v>98.68000000000001</v>
      </c>
      <c r="K1148" s="13" t="inlineStr">
        <is>
          <t>98.68</t>
        </is>
      </c>
      <c r="L1148" s="12" t="n">
        <v>45949</v>
      </c>
      <c r="M1148" s="12" t="n">
        <v>44872</v>
      </c>
      <c r="N1148" s="13" t="inlineStr"/>
      <c r="O1148" s="13" t="inlineStr"/>
      <c r="P1148" s="12" t="n"/>
    </row>
    <row r="1149" ht="52.8" customHeight="1">
      <c r="A1149" s="15" t="n">
        <v>19010</v>
      </c>
      <c r="B1149" s="16" t="n">
        <v>41722</v>
      </c>
      <c r="C1149" s="15" t="inlineStr">
        <is>
          <t>System Administrator</t>
        </is>
      </c>
      <c r="D1149" s="15" t="inlineStr">
        <is>
          <t>Common Law Employment Contract</t>
        </is>
      </c>
      <c r="E1149" s="15" t="inlineStr">
        <is>
          <t>FP - Full-time Salaried</t>
        </is>
      </c>
      <c r="F1149" s="15" t="inlineStr">
        <is>
          <t>Corporate Services</t>
        </is>
      </c>
      <c r="G1149" s="15" t="inlineStr">
        <is>
          <t>Victoria</t>
        </is>
      </c>
      <c r="H1149" s="17" t="inlineStr">
        <is>
          <t>76.00</t>
        </is>
      </c>
      <c r="I1149" s="15" t="inlineStr">
        <is>
          <t>IVF Australia Pty Ltd</t>
        </is>
      </c>
      <c r="J1149" s="18" t="n">
        <v>383.32</v>
      </c>
      <c r="K1149" s="17" t="inlineStr">
        <is>
          <t>99.00</t>
        </is>
      </c>
      <c r="L1149" s="16" t="n">
        <v>45949</v>
      </c>
      <c r="M1149" s="16" t="n">
        <v>44279</v>
      </c>
      <c r="N1149" s="17" t="inlineStr">
        <is>
          <t>284.32</t>
        </is>
      </c>
      <c r="O1149" s="17" t="inlineStr"/>
      <c r="P1149" s="16" t="n"/>
    </row>
    <row r="1150" ht="52.8" customHeight="1">
      <c r="A1150" s="11" t="n">
        <v>80538</v>
      </c>
      <c r="B1150" s="12" t="n">
        <v>43083</v>
      </c>
      <c r="C1150" s="11" t="inlineStr">
        <is>
          <t>Nurse Coordinator</t>
        </is>
      </c>
      <c r="D1150" s="11" t="inlineStr">
        <is>
          <t>QLD Nurse EA</t>
        </is>
      </c>
      <c r="E1150" s="11" t="inlineStr">
        <is>
          <t>CA - Casual</t>
        </is>
      </c>
      <c r="F1150" s="11" t="inlineStr">
        <is>
          <t>Queensland Fertility Group</t>
        </is>
      </c>
      <c r="G1150" s="11" t="inlineStr">
        <is>
          <t>Queensland</t>
        </is>
      </c>
      <c r="H1150" s="13" t="inlineStr"/>
      <c r="I1150" s="11" t="inlineStr">
        <is>
          <t>Queensland Fertility Group Pty Ltd</t>
        </is>
      </c>
      <c r="J1150" s="14" t="n">
        <v>99.13</v>
      </c>
      <c r="K1150" s="13" t="inlineStr">
        <is>
          <t>99.13</t>
        </is>
      </c>
      <c r="L1150" s="12" t="n">
        <v>45921</v>
      </c>
      <c r="M1150" s="12" t="n">
        <v>43083</v>
      </c>
      <c r="N1150" s="13" t="inlineStr"/>
      <c r="O1150" s="13" t="inlineStr"/>
      <c r="P1150" s="12" t="n"/>
    </row>
    <row r="1151" ht="52.8" customHeight="1">
      <c r="A1151" s="15" t="inlineStr">
        <is>
          <t>AU22978</t>
        </is>
      </c>
      <c r="B1151" s="16" t="n">
        <v>45182</v>
      </c>
      <c r="C1151" s="15" t="inlineStr">
        <is>
          <t>Registered Nurse</t>
        </is>
      </c>
      <c r="D1151" s="15" t="inlineStr">
        <is>
          <t>QLD Nurse EA</t>
        </is>
      </c>
      <c r="E1151" s="15" t="inlineStr">
        <is>
          <t>FT - Full-time Waged</t>
        </is>
      </c>
      <c r="F1151" s="15" t="inlineStr">
        <is>
          <t>Queensland Fertility Group</t>
        </is>
      </c>
      <c r="G1151" s="15" t="inlineStr">
        <is>
          <t>Queensland</t>
        </is>
      </c>
      <c r="H1151" s="17" t="inlineStr">
        <is>
          <t>80.00</t>
        </is>
      </c>
      <c r="I1151" s="15" t="inlineStr">
        <is>
          <t>Queensland Fertility Group Pty Ltd</t>
        </is>
      </c>
      <c r="J1151" s="18" t="n">
        <v>99.3</v>
      </c>
      <c r="K1151" s="17" t="inlineStr">
        <is>
          <t>99.30</t>
        </is>
      </c>
      <c r="L1151" s="16" t="n">
        <v>45949</v>
      </c>
      <c r="M1151" s="16" t="n">
        <v>45182</v>
      </c>
      <c r="N1151" s="17" t="inlineStr"/>
      <c r="O1151" s="17" t="inlineStr"/>
      <c r="P1151" s="16" t="n"/>
    </row>
    <row r="1152" ht="66" customHeight="1">
      <c r="A1152" s="11" t="inlineStr">
        <is>
          <t>AU22615</t>
        </is>
      </c>
      <c r="B1152" s="12" t="n">
        <v>44866</v>
      </c>
      <c r="C1152" s="11" t="inlineStr">
        <is>
          <t>Managing Director QFG and Virtus Diagnostics</t>
        </is>
      </c>
      <c r="D1152" s="11" t="inlineStr">
        <is>
          <t>Common Law Employment Contract</t>
        </is>
      </c>
      <c r="E1152" s="11" t="inlineStr">
        <is>
          <t>FP - Full-time Salaried</t>
        </is>
      </c>
      <c r="F1152" s="11" t="inlineStr">
        <is>
          <t>Queensland Fertility Group</t>
        </is>
      </c>
      <c r="G1152" s="11" t="inlineStr">
        <is>
          <t>Queensland</t>
        </is>
      </c>
      <c r="H1152" s="13" t="inlineStr">
        <is>
          <t>76.00</t>
        </is>
      </c>
      <c r="I1152" s="11" t="inlineStr">
        <is>
          <t>Queensland Fertility Group Pty Ltd</t>
        </is>
      </c>
      <c r="J1152" s="14" t="n">
        <v>99.31</v>
      </c>
      <c r="K1152" s="13" t="inlineStr">
        <is>
          <t>99.31</t>
        </is>
      </c>
      <c r="L1152" s="12" t="n">
        <v>45949</v>
      </c>
      <c r="M1152" s="12" t="n">
        <v>44866</v>
      </c>
      <c r="N1152" s="13" t="inlineStr"/>
      <c r="O1152" s="13" t="inlineStr"/>
      <c r="P1152" s="12" t="n"/>
    </row>
    <row r="1153" ht="39.6" customHeight="1">
      <c r="A1153" s="15" t="inlineStr">
        <is>
          <t>AU22550</t>
        </is>
      </c>
      <c r="B1153" s="16" t="n">
        <v>44789</v>
      </c>
      <c r="C1153" s="15" t="inlineStr">
        <is>
          <t>Theatre Orderly</t>
        </is>
      </c>
      <c r="D1153" s="15" t="inlineStr">
        <is>
          <t>NSW Support Services EA</t>
        </is>
      </c>
      <c r="E1153" s="15" t="inlineStr">
        <is>
          <t>FT - Full-time Waged</t>
        </is>
      </c>
      <c r="F1153" s="15" t="inlineStr">
        <is>
          <t>Day Hospitals</t>
        </is>
      </c>
      <c r="G1153" s="15" t="inlineStr">
        <is>
          <t>New South Wales</t>
        </is>
      </c>
      <c r="H1153" s="17" t="inlineStr">
        <is>
          <t>76.00</t>
        </is>
      </c>
      <c r="I1153" s="15" t="inlineStr">
        <is>
          <t>City West Day Surgery</t>
        </is>
      </c>
      <c r="J1153" s="18" t="n">
        <v>99.34999999999999</v>
      </c>
      <c r="K1153" s="17" t="inlineStr">
        <is>
          <t>99.35</t>
        </is>
      </c>
      <c r="L1153" s="16" t="n">
        <v>45949</v>
      </c>
      <c r="M1153" s="16" t="n">
        <v>44789</v>
      </c>
      <c r="N1153" s="17" t="inlineStr"/>
      <c r="O1153" s="17" t="inlineStr"/>
      <c r="P1153" s="16" t="n"/>
    </row>
    <row r="1154" ht="52.8" customHeight="1">
      <c r="A1154" s="11" t="inlineStr">
        <is>
          <t>AU22601</t>
        </is>
      </c>
      <c r="B1154" s="12" t="n">
        <v>44851</v>
      </c>
      <c r="C1154" s="11" t="inlineStr">
        <is>
          <t>Genetic Scientist</t>
        </is>
      </c>
      <c r="D1154" s="11" t="inlineStr">
        <is>
          <t>QLD Scientists EA</t>
        </is>
      </c>
      <c r="E1154" s="11" t="inlineStr">
        <is>
          <t>FT - Full-time Waged</t>
        </is>
      </c>
      <c r="F1154" s="11" t="inlineStr">
        <is>
          <t>Diagnostics</t>
        </is>
      </c>
      <c r="G1154" s="11" t="inlineStr">
        <is>
          <t>Queensland</t>
        </is>
      </c>
      <c r="H1154" s="13" t="inlineStr">
        <is>
          <t>76.00</t>
        </is>
      </c>
      <c r="I1154" s="11" t="inlineStr">
        <is>
          <t>Queensland Fertility Group Pty Ltd</t>
        </is>
      </c>
      <c r="J1154" s="14" t="n">
        <v>99.91</v>
      </c>
      <c r="K1154" s="13" t="inlineStr">
        <is>
          <t>99.91</t>
        </is>
      </c>
      <c r="L1154" s="12" t="n">
        <v>45949</v>
      </c>
      <c r="M1154" s="12" t="n">
        <v>44851</v>
      </c>
      <c r="N1154" s="13" t="inlineStr"/>
      <c r="O1154" s="13" t="inlineStr"/>
      <c r="P1154" s="12" t="n"/>
    </row>
    <row r="1155" ht="39.6" customHeight="1">
      <c r="A1155" s="15" t="inlineStr">
        <is>
          <t>AU22579</t>
        </is>
      </c>
      <c r="B1155" s="16" t="n">
        <v>44830</v>
      </c>
      <c r="C1155" s="15" t="inlineStr">
        <is>
          <t>Medical Secretary</t>
        </is>
      </c>
      <c r="D1155" s="15" t="inlineStr">
        <is>
          <t>NSW Support Services EA</t>
        </is>
      </c>
      <c r="E1155" s="15" t="inlineStr">
        <is>
          <t>FT - Full-time Waged</t>
        </is>
      </c>
      <c r="F1155" s="15" t="inlineStr">
        <is>
          <t>IVFA</t>
        </is>
      </c>
      <c r="G1155" s="15" t="inlineStr">
        <is>
          <t>New South Wales</t>
        </is>
      </c>
      <c r="H1155" s="17" t="inlineStr">
        <is>
          <t>76.00</t>
        </is>
      </c>
      <c r="I1155" s="15" t="inlineStr">
        <is>
          <t>IVF Australia Pty Ltd</t>
        </is>
      </c>
      <c r="J1155" s="18" t="n">
        <v>100.15</v>
      </c>
      <c r="K1155" s="17" t="inlineStr">
        <is>
          <t>100.15</t>
        </is>
      </c>
      <c r="L1155" s="16" t="n">
        <v>45949</v>
      </c>
      <c r="M1155" s="16" t="n">
        <v>44830</v>
      </c>
      <c r="N1155" s="17" t="inlineStr"/>
      <c r="O1155" s="17" t="inlineStr"/>
      <c r="P1155" s="16" t="n"/>
    </row>
    <row r="1156" ht="52.8" customHeight="1">
      <c r="A1156" s="11" t="inlineStr">
        <is>
          <t>AU22560</t>
        </is>
      </c>
      <c r="B1156" s="12" t="n">
        <v>44818</v>
      </c>
      <c r="C1156" s="11" t="inlineStr">
        <is>
          <t>Genetic Scientist</t>
        </is>
      </c>
      <c r="D1156" s="11" t="inlineStr">
        <is>
          <t>QLD Scientists EA</t>
        </is>
      </c>
      <c r="E1156" s="11" t="inlineStr">
        <is>
          <t>FT - Full-time Waged</t>
        </is>
      </c>
      <c r="F1156" s="11" t="inlineStr">
        <is>
          <t>Diagnostics</t>
        </is>
      </c>
      <c r="G1156" s="11" t="inlineStr">
        <is>
          <t>Queensland</t>
        </is>
      </c>
      <c r="H1156" s="13" t="inlineStr">
        <is>
          <t>76.00</t>
        </is>
      </c>
      <c r="I1156" s="11" t="inlineStr">
        <is>
          <t>Queensland Fertility Group Pty Ltd</t>
        </is>
      </c>
      <c r="J1156" s="14" t="n">
        <v>100.31</v>
      </c>
      <c r="K1156" s="13" t="inlineStr">
        <is>
          <t>100.31</t>
        </is>
      </c>
      <c r="L1156" s="12" t="n">
        <v>45949</v>
      </c>
      <c r="M1156" s="12" t="n">
        <v>44818</v>
      </c>
      <c r="N1156" s="13" t="inlineStr"/>
      <c r="O1156" s="13" t="inlineStr"/>
      <c r="P1156" s="12" t="n"/>
    </row>
    <row r="1157" ht="39.6" customHeight="1">
      <c r="A1157" s="15" t="n">
        <v>20888</v>
      </c>
      <c r="B1157" s="16" t="n">
        <v>44522</v>
      </c>
      <c r="C1157" s="15" t="inlineStr">
        <is>
          <t>Registered Nurse</t>
        </is>
      </c>
      <c r="D1157" s="15" t="inlineStr">
        <is>
          <t>NSW Nurse EA</t>
        </is>
      </c>
      <c r="E1157" s="15" t="inlineStr">
        <is>
          <t>PP - Part-time Waged</t>
        </is>
      </c>
      <c r="F1157" s="15" t="inlineStr">
        <is>
          <t>IVFA</t>
        </is>
      </c>
      <c r="G1157" s="15" t="inlineStr">
        <is>
          <t>New South Wales</t>
        </is>
      </c>
      <c r="H1157" s="17" t="inlineStr">
        <is>
          <t>57.00</t>
        </is>
      </c>
      <c r="I1157" s="15" t="inlineStr">
        <is>
          <t>IVF Australia Pty Ltd</t>
        </is>
      </c>
      <c r="J1157" s="18" t="n">
        <v>100.89</v>
      </c>
      <c r="K1157" s="17" t="inlineStr">
        <is>
          <t>100.89</t>
        </is>
      </c>
      <c r="L1157" s="16" t="n">
        <v>45935</v>
      </c>
      <c r="M1157" s="16" t="n">
        <v>44522</v>
      </c>
      <c r="N1157" s="17" t="inlineStr"/>
      <c r="O1157" s="17" t="inlineStr"/>
      <c r="P1157" s="16" t="n"/>
    </row>
    <row r="1158" ht="39.6" customHeight="1">
      <c r="A1158" s="11" t="n">
        <v>20746</v>
      </c>
      <c r="B1158" s="12" t="n">
        <v>44004</v>
      </c>
      <c r="C1158" s="11" t="inlineStr">
        <is>
          <t>Registered Nurse</t>
        </is>
      </c>
      <c r="D1158" s="11" t="inlineStr">
        <is>
          <t>NSW Nurse EA</t>
        </is>
      </c>
      <c r="E1158" s="11" t="inlineStr">
        <is>
          <t>PP - Part-time Waged</t>
        </is>
      </c>
      <c r="F1158" s="11" t="inlineStr">
        <is>
          <t>IVFA</t>
        </is>
      </c>
      <c r="G1158" s="11" t="inlineStr">
        <is>
          <t>New South Wales</t>
        </is>
      </c>
      <c r="H1158" s="13" t="inlineStr">
        <is>
          <t>57.00</t>
        </is>
      </c>
      <c r="I1158" s="11" t="inlineStr">
        <is>
          <t>IVF Australia Pty Ltd</t>
        </is>
      </c>
      <c r="J1158" s="14" t="n">
        <v>101.2</v>
      </c>
      <c r="K1158" s="13" t="inlineStr">
        <is>
          <t>101.20</t>
        </is>
      </c>
      <c r="L1158" s="12" t="n">
        <v>45921</v>
      </c>
      <c r="M1158" s="12" t="n">
        <v>44004</v>
      </c>
      <c r="N1158" s="13" t="inlineStr"/>
      <c r="O1158" s="13" t="inlineStr"/>
      <c r="P1158" s="12" t="n"/>
    </row>
    <row r="1159" ht="39.6" customHeight="1">
      <c r="A1159" s="15" t="n">
        <v>20091</v>
      </c>
      <c r="B1159" s="16" t="n">
        <v>38720</v>
      </c>
      <c r="C1159" s="15" t="inlineStr">
        <is>
          <t>Accounts Receivable Team Lead</t>
        </is>
      </c>
      <c r="D1159" s="15" t="inlineStr">
        <is>
          <t>NSW Support Services EA</t>
        </is>
      </c>
      <c r="E1159" s="15" t="inlineStr">
        <is>
          <t>PP - Part-time Waged</t>
        </is>
      </c>
      <c r="F1159" s="15" t="inlineStr">
        <is>
          <t>IVFA</t>
        </is>
      </c>
      <c r="G1159" s="15" t="inlineStr">
        <is>
          <t>New South Wales</t>
        </is>
      </c>
      <c r="H1159" s="17" t="inlineStr">
        <is>
          <t>61.50</t>
        </is>
      </c>
      <c r="I1159" s="15" t="inlineStr">
        <is>
          <t>IVF Australia Pty Ltd</t>
        </is>
      </c>
      <c r="J1159" s="18" t="n">
        <v>365.81</v>
      </c>
      <c r="K1159" s="17" t="inlineStr">
        <is>
          <t>102.25</t>
        </is>
      </c>
      <c r="L1159" s="16" t="n">
        <v>45949</v>
      </c>
      <c r="M1159" s="16" t="n">
        <v>44564</v>
      </c>
      <c r="N1159" s="17" t="inlineStr">
        <is>
          <t>263.56</t>
        </is>
      </c>
      <c r="O1159" s="17" t="inlineStr"/>
      <c r="P1159" s="16" t="n"/>
    </row>
    <row r="1160" ht="39.6" customHeight="1">
      <c r="A1160" s="11" t="inlineStr">
        <is>
          <t>AU23400</t>
        </is>
      </c>
      <c r="B1160" s="12" t="n">
        <v>44165</v>
      </c>
      <c r="C1160" s="11" t="inlineStr">
        <is>
          <t>Registered Nurse</t>
        </is>
      </c>
      <c r="D1160" s="11" t="inlineStr">
        <is>
          <t>NSW Nurse EA</t>
        </is>
      </c>
      <c r="E1160" s="11" t="inlineStr">
        <is>
          <t>CA - Casual</t>
        </is>
      </c>
      <c r="F1160" s="11" t="inlineStr">
        <is>
          <t>IVFA</t>
        </is>
      </c>
      <c r="G1160" s="11" t="inlineStr">
        <is>
          <t>New South Wales</t>
        </is>
      </c>
      <c r="H1160" s="13" t="inlineStr"/>
      <c r="I1160" s="11" t="inlineStr">
        <is>
          <t>IVF Australia Pty Ltd</t>
        </is>
      </c>
      <c r="J1160" s="14" t="n">
        <v>102.49</v>
      </c>
      <c r="K1160" s="13" t="inlineStr">
        <is>
          <t>102.49</t>
        </is>
      </c>
      <c r="L1160" s="12" t="n">
        <v>45949</v>
      </c>
      <c r="M1160" s="12" t="n">
        <v>44165</v>
      </c>
      <c r="N1160" s="13" t="inlineStr"/>
      <c r="O1160" s="13" t="inlineStr"/>
      <c r="P1160" s="12" t="n"/>
    </row>
    <row r="1161" ht="79.2" customHeight="1">
      <c r="A1161" s="15" t="n">
        <v>90081</v>
      </c>
      <c r="B1161" s="16" t="n">
        <v>43300</v>
      </c>
      <c r="C1161" s="15" t="inlineStr">
        <is>
          <t>Courier</t>
        </is>
      </c>
      <c r="D1161" s="15" t="inlineStr">
        <is>
          <t>Health Professionals and Support Services Award</t>
        </is>
      </c>
      <c r="E1161" s="15" t="inlineStr">
        <is>
          <t>CA - Casual</t>
        </is>
      </c>
      <c r="F1161" s="15" t="inlineStr">
        <is>
          <t>Diagnostics</t>
        </is>
      </c>
      <c r="G1161" s="15" t="inlineStr">
        <is>
          <t>New South Wales</t>
        </is>
      </c>
      <c r="H1161" s="17" t="inlineStr"/>
      <c r="I1161" s="15" t="inlineStr">
        <is>
          <t>Virtus Health Specialist Diagnostics</t>
        </is>
      </c>
      <c r="J1161" s="18" t="n">
        <v>102.6</v>
      </c>
      <c r="K1161" s="17" t="inlineStr">
        <is>
          <t>102.60</t>
        </is>
      </c>
      <c r="L1161" s="16" t="n">
        <v>45949</v>
      </c>
      <c r="M1161" s="16" t="n">
        <v>43300</v>
      </c>
      <c r="N1161" s="17" t="inlineStr"/>
      <c r="O1161" s="17" t="inlineStr"/>
      <c r="P1161" s="16" t="n"/>
    </row>
    <row r="1162" ht="79.2" customHeight="1">
      <c r="A1162" s="11" t="n">
        <v>80071</v>
      </c>
      <c r="B1162" s="12" t="n">
        <v>40947</v>
      </c>
      <c r="C1162" s="11" t="inlineStr">
        <is>
          <t>Administration</t>
        </is>
      </c>
      <c r="D1162" s="11" t="inlineStr">
        <is>
          <t>Health Professionals and Support Services Award</t>
        </is>
      </c>
      <c r="E1162" s="11" t="inlineStr">
        <is>
          <t>PP - Part-time Waged</t>
        </is>
      </c>
      <c r="F1162" s="11" t="inlineStr">
        <is>
          <t>The Fertility Centre</t>
        </is>
      </c>
      <c r="G1162" s="11" t="inlineStr">
        <is>
          <t>Queensland</t>
        </is>
      </c>
      <c r="H1162" s="13" t="inlineStr">
        <is>
          <t>72.00</t>
        </is>
      </c>
      <c r="I1162" s="11" t="inlineStr">
        <is>
          <t>Queensland Fertility Group Pty Ltd</t>
        </is>
      </c>
      <c r="J1162" s="14" t="n">
        <v>158.3</v>
      </c>
      <c r="K1162" s="13" t="inlineStr">
        <is>
          <t>102.70</t>
        </is>
      </c>
      <c r="L1162" s="12" t="n">
        <v>45949</v>
      </c>
      <c r="M1162" s="12" t="n">
        <v>44775</v>
      </c>
      <c r="N1162" s="13" t="inlineStr">
        <is>
          <t>309.60</t>
        </is>
      </c>
      <c r="O1162" s="13" t="inlineStr">
        <is>
          <t>254.00</t>
        </is>
      </c>
      <c r="P1162" s="12" t="n"/>
    </row>
    <row r="1163" ht="39.6" customHeight="1">
      <c r="A1163" s="15" t="n">
        <v>20882</v>
      </c>
      <c r="B1163" s="16" t="n">
        <v>44508</v>
      </c>
      <c r="C1163" s="15" t="inlineStr">
        <is>
          <t>Registered Nurse</t>
        </is>
      </c>
      <c r="D1163" s="15" t="inlineStr">
        <is>
          <t>NSW Nurse EA</t>
        </is>
      </c>
      <c r="E1163" s="15" t="inlineStr">
        <is>
          <t>FT - Full-time Waged</t>
        </is>
      </c>
      <c r="F1163" s="15" t="inlineStr">
        <is>
          <t>IVFA</t>
        </is>
      </c>
      <c r="G1163" s="15" t="inlineStr">
        <is>
          <t>New South Wales</t>
        </is>
      </c>
      <c r="H1163" s="17" t="inlineStr">
        <is>
          <t>76.00</t>
        </is>
      </c>
      <c r="I1163" s="15" t="inlineStr">
        <is>
          <t>IVF Australia Pty Ltd</t>
        </is>
      </c>
      <c r="J1163" s="18" t="n">
        <v>103.58</v>
      </c>
      <c r="K1163" s="17" t="inlineStr">
        <is>
          <t>103.58</t>
        </is>
      </c>
      <c r="L1163" s="16" t="n">
        <v>45949</v>
      </c>
      <c r="M1163" s="16" t="n">
        <v>44508</v>
      </c>
      <c r="N1163" s="17" t="inlineStr"/>
      <c r="O1163" s="17" t="inlineStr"/>
      <c r="P1163" s="16" t="n"/>
    </row>
    <row r="1164" ht="39.6" customHeight="1">
      <c r="A1164" s="11" t="n">
        <v>20308</v>
      </c>
      <c r="B1164" s="12" t="n">
        <v>41153</v>
      </c>
      <c r="C1164" s="11" t="inlineStr">
        <is>
          <t>Embryologist</t>
        </is>
      </c>
      <c r="D1164" s="11" t="inlineStr">
        <is>
          <t>IVFA Scientists EA</t>
        </is>
      </c>
      <c r="E1164" s="11" t="inlineStr">
        <is>
          <t>FT - Full-time Waged</t>
        </is>
      </c>
      <c r="F1164" s="11" t="inlineStr">
        <is>
          <t>IVFA</t>
        </is>
      </c>
      <c r="G1164" s="11" t="inlineStr">
        <is>
          <t>New South Wales</t>
        </is>
      </c>
      <c r="H1164" s="13" t="inlineStr">
        <is>
          <t>76.00</t>
        </is>
      </c>
      <c r="I1164" s="11" t="inlineStr">
        <is>
          <t>IVF Australia Pty Ltd</t>
        </is>
      </c>
      <c r="J1164" s="14" t="n">
        <v>107.73</v>
      </c>
      <c r="K1164" s="13" t="inlineStr">
        <is>
          <t>103.70</t>
        </is>
      </c>
      <c r="L1164" s="12" t="n">
        <v>45949</v>
      </c>
      <c r="M1164" s="12" t="n">
        <v>44805</v>
      </c>
      <c r="N1164" s="13" t="inlineStr">
        <is>
          <t>238.53</t>
        </is>
      </c>
      <c r="O1164" s="13" t="inlineStr">
        <is>
          <t>234.50</t>
        </is>
      </c>
      <c r="P1164" s="12" t="n"/>
    </row>
    <row r="1165" ht="52.8" customHeight="1">
      <c r="A1165" s="15" t="n">
        <v>80378</v>
      </c>
      <c r="B1165" s="16" t="n">
        <v>44102</v>
      </c>
      <c r="C1165" s="15" t="inlineStr">
        <is>
          <t>Laboratory Technician</t>
        </is>
      </c>
      <c r="D1165" s="15" t="inlineStr">
        <is>
          <t>QLD Scientists EA</t>
        </is>
      </c>
      <c r="E1165" s="15" t="inlineStr">
        <is>
          <t>PP - Part-time Waged</t>
        </is>
      </c>
      <c r="F1165" s="15" t="inlineStr">
        <is>
          <t>Queensland Fertility Group</t>
        </is>
      </c>
      <c r="G1165" s="15" t="inlineStr">
        <is>
          <t>Queensland</t>
        </is>
      </c>
      <c r="H1165" s="17" t="inlineStr">
        <is>
          <t>50.00</t>
        </is>
      </c>
      <c r="I1165" s="15" t="inlineStr">
        <is>
          <t>Queensland Fertility Group Pty Ltd</t>
        </is>
      </c>
      <c r="J1165" s="18" t="n">
        <v>103.8</v>
      </c>
      <c r="K1165" s="17" t="inlineStr">
        <is>
          <t>103.80</t>
        </is>
      </c>
      <c r="L1165" s="16" t="n">
        <v>45949</v>
      </c>
      <c r="M1165" s="16" t="n">
        <v>44102</v>
      </c>
      <c r="N1165" s="17" t="inlineStr"/>
      <c r="O1165" s="17" t="inlineStr"/>
      <c r="P1165" s="16" t="n"/>
    </row>
    <row r="1166" ht="52.8" customHeight="1">
      <c r="A1166" s="11" t="inlineStr">
        <is>
          <t>AU22876</t>
        </is>
      </c>
      <c r="B1166" s="12" t="n">
        <v>45090</v>
      </c>
      <c r="C1166" s="11" t="inlineStr">
        <is>
          <t>Registered Nurse</t>
        </is>
      </c>
      <c r="D1166" s="11" t="inlineStr">
        <is>
          <t>QLD Nurse EA</t>
        </is>
      </c>
      <c r="E1166" s="11" t="inlineStr">
        <is>
          <t>PP - Part-time Waged</t>
        </is>
      </c>
      <c r="F1166" s="11" t="inlineStr">
        <is>
          <t>Queensland Fertility Group</t>
        </is>
      </c>
      <c r="G1166" s="11" t="inlineStr">
        <is>
          <t>Queensland</t>
        </is>
      </c>
      <c r="H1166" s="13" t="inlineStr">
        <is>
          <t>68.40</t>
        </is>
      </c>
      <c r="I1166" s="11" t="inlineStr">
        <is>
          <t>Queensland Fertility Group Pty Ltd</t>
        </is>
      </c>
      <c r="J1166" s="14" t="n">
        <v>104.57</v>
      </c>
      <c r="K1166" s="13" t="inlineStr">
        <is>
          <t>104.57</t>
        </is>
      </c>
      <c r="L1166" s="12" t="n">
        <v>45949</v>
      </c>
      <c r="M1166" s="12" t="n">
        <v>45090</v>
      </c>
      <c r="N1166" s="13" t="inlineStr"/>
      <c r="O1166" s="13" t="inlineStr"/>
      <c r="P1166" s="12" t="n"/>
    </row>
    <row r="1167" ht="39.6" customHeight="1">
      <c r="A1167" s="15" t="n">
        <v>20897</v>
      </c>
      <c r="B1167" s="16" t="n">
        <v>44571</v>
      </c>
      <c r="C1167" s="15" t="inlineStr">
        <is>
          <t>Registered Nurse</t>
        </is>
      </c>
      <c r="D1167" s="15" t="inlineStr">
        <is>
          <t>NSW Nurse EA</t>
        </is>
      </c>
      <c r="E1167" s="15" t="inlineStr">
        <is>
          <t>FT - Full-time Waged</t>
        </is>
      </c>
      <c r="F1167" s="15" t="inlineStr">
        <is>
          <t>IVFA</t>
        </is>
      </c>
      <c r="G1167" s="15" t="inlineStr">
        <is>
          <t>New South Wales</t>
        </is>
      </c>
      <c r="H1167" s="17" t="inlineStr">
        <is>
          <t>76.00</t>
        </is>
      </c>
      <c r="I1167" s="15" t="inlineStr">
        <is>
          <t>IVF Australia Pty Ltd</t>
        </is>
      </c>
      <c r="J1167" s="18" t="n">
        <v>104.94</v>
      </c>
      <c r="K1167" s="17" t="inlineStr">
        <is>
          <t>104.94</t>
        </is>
      </c>
      <c r="L1167" s="16" t="n">
        <v>45949</v>
      </c>
      <c r="M1167" s="16" t="n">
        <v>44571</v>
      </c>
      <c r="N1167" s="17" t="inlineStr"/>
      <c r="O1167" s="17" t="inlineStr"/>
      <c r="P1167" s="16" t="n"/>
    </row>
    <row r="1168" ht="52.8" customHeight="1">
      <c r="A1168" s="11" t="inlineStr">
        <is>
          <t>AU22544</t>
        </is>
      </c>
      <c r="B1168" s="12" t="n">
        <v>44802</v>
      </c>
      <c r="C1168" s="11" t="inlineStr">
        <is>
          <t>Genetic Scientist</t>
        </is>
      </c>
      <c r="D1168" s="11" t="inlineStr">
        <is>
          <t>QLD Scientists EA</t>
        </is>
      </c>
      <c r="E1168" s="11" t="inlineStr">
        <is>
          <t>FT - Full-time Waged</t>
        </is>
      </c>
      <c r="F1168" s="11" t="inlineStr">
        <is>
          <t>Diagnostics</t>
        </is>
      </c>
      <c r="G1168" s="11" t="inlineStr">
        <is>
          <t>Queensland</t>
        </is>
      </c>
      <c r="H1168" s="13" t="inlineStr">
        <is>
          <t>76.00</t>
        </is>
      </c>
      <c r="I1168" s="11" t="inlineStr">
        <is>
          <t>Queensland Fertility Group Pty Ltd</t>
        </is>
      </c>
      <c r="J1168" s="14" t="n">
        <v>105.04</v>
      </c>
      <c r="K1168" s="13" t="inlineStr">
        <is>
          <t>105.04</t>
        </is>
      </c>
      <c r="L1168" s="12" t="n">
        <v>45949</v>
      </c>
      <c r="M1168" s="12" t="n">
        <v>44802</v>
      </c>
      <c r="N1168" s="13" t="inlineStr"/>
      <c r="O1168" s="13" t="inlineStr"/>
      <c r="P1168" s="12" t="n"/>
    </row>
    <row r="1169" ht="52.8" customHeight="1">
      <c r="A1169" s="15" t="n">
        <v>20056</v>
      </c>
      <c r="B1169" s="16" t="n">
        <v>38813</v>
      </c>
      <c r="C1169" s="15" t="inlineStr">
        <is>
          <t>Permanent Administration Team Leader</t>
        </is>
      </c>
      <c r="D1169" s="15" t="inlineStr">
        <is>
          <t>NSW Support Services EA</t>
        </is>
      </c>
      <c r="E1169" s="15" t="inlineStr">
        <is>
          <t>PP - Part-time Waged</t>
        </is>
      </c>
      <c r="F1169" s="15" t="inlineStr">
        <is>
          <t>The Fertility Centre</t>
        </is>
      </c>
      <c r="G1169" s="15" t="inlineStr">
        <is>
          <t>New South Wales</t>
        </is>
      </c>
      <c r="H1169" s="17" t="inlineStr">
        <is>
          <t>54.00</t>
        </is>
      </c>
      <c r="I1169" s="15" t="inlineStr">
        <is>
          <t>IVF Australia Pty Ltd</t>
        </is>
      </c>
      <c r="J1169" s="18" t="n">
        <v>134.69</v>
      </c>
      <c r="K1169" s="17" t="inlineStr">
        <is>
          <t>105.47</t>
        </is>
      </c>
      <c r="L1169" s="16" t="n">
        <v>45949</v>
      </c>
      <c r="M1169" s="16" t="n">
        <v>44657</v>
      </c>
      <c r="N1169" s="17" t="inlineStr">
        <is>
          <t>161.22</t>
        </is>
      </c>
      <c r="O1169" s="17" t="inlineStr">
        <is>
          <t>132.00</t>
        </is>
      </c>
      <c r="P1169" s="16" t="n"/>
    </row>
    <row r="1170" ht="79.2" customHeight="1">
      <c r="A1170" s="11" t="inlineStr">
        <is>
          <t>AU22538</t>
        </is>
      </c>
      <c r="B1170" s="12" t="n">
        <v>44788</v>
      </c>
      <c r="C1170" s="11" t="inlineStr">
        <is>
          <t>State Busniness Development &amp; Growth Manager - QLD</t>
        </is>
      </c>
      <c r="D1170" s="11" t="inlineStr">
        <is>
          <t>Common Law Employment Contract</t>
        </is>
      </c>
      <c r="E1170" s="11" t="inlineStr">
        <is>
          <t>FP - Full-time Salaried</t>
        </is>
      </c>
      <c r="F1170" s="11" t="inlineStr">
        <is>
          <t>Queensland Fertility Group</t>
        </is>
      </c>
      <c r="G1170" s="11" t="inlineStr">
        <is>
          <t>Queensland</t>
        </is>
      </c>
      <c r="H1170" s="13" t="inlineStr">
        <is>
          <t>76.00</t>
        </is>
      </c>
      <c r="I1170" s="11" t="inlineStr">
        <is>
          <t>Queensland Fertility Group Pty Ltd</t>
        </is>
      </c>
      <c r="J1170" s="14" t="n">
        <v>105.9</v>
      </c>
      <c r="K1170" s="13" t="inlineStr">
        <is>
          <t>105.90</t>
        </is>
      </c>
      <c r="L1170" s="12" t="n">
        <v>45949</v>
      </c>
      <c r="M1170" s="12" t="n">
        <v>44788</v>
      </c>
      <c r="N1170" s="13" t="inlineStr"/>
      <c r="O1170" s="13" t="inlineStr"/>
      <c r="P1170" s="12" t="n"/>
    </row>
    <row r="1171" ht="52.8" customHeight="1">
      <c r="A1171" s="15" t="inlineStr">
        <is>
          <t>AU22529</t>
        </is>
      </c>
      <c r="B1171" s="16" t="n">
        <v>44781</v>
      </c>
      <c r="C1171" s="15" t="inlineStr">
        <is>
          <t>System Administrator</t>
        </is>
      </c>
      <c r="D1171" s="15" t="inlineStr">
        <is>
          <t>Common Law Employment Contract</t>
        </is>
      </c>
      <c r="E1171" s="15" t="inlineStr">
        <is>
          <t>FP - Full-time Salaried</t>
        </is>
      </c>
      <c r="F1171" s="15" t="inlineStr">
        <is>
          <t>Corporate Services</t>
        </is>
      </c>
      <c r="G1171" s="15" t="inlineStr">
        <is>
          <t>Victoria</t>
        </is>
      </c>
      <c r="H1171" s="17" t="inlineStr">
        <is>
          <t>76.00</t>
        </is>
      </c>
      <c r="I1171" s="15" t="inlineStr">
        <is>
          <t>IVF Australia Pty Ltd</t>
        </is>
      </c>
      <c r="J1171" s="18" t="n">
        <v>105.98</v>
      </c>
      <c r="K1171" s="17" t="inlineStr">
        <is>
          <t>105.98</t>
        </is>
      </c>
      <c r="L1171" s="16" t="n">
        <v>45949</v>
      </c>
      <c r="M1171" s="16" t="n">
        <v>44781</v>
      </c>
      <c r="N1171" s="17" t="inlineStr"/>
      <c r="O1171" s="17" t="inlineStr"/>
      <c r="P1171" s="16" t="n"/>
    </row>
    <row r="1172" ht="52.8" customHeight="1">
      <c r="A1172" s="11" t="inlineStr">
        <is>
          <t>AU22953</t>
        </is>
      </c>
      <c r="B1172" s="12" t="n">
        <v>45159</v>
      </c>
      <c r="C1172" s="11" t="inlineStr">
        <is>
          <t>Genetic Scientist</t>
        </is>
      </c>
      <c r="D1172" s="11" t="inlineStr">
        <is>
          <t>QLD Scientists EA</t>
        </is>
      </c>
      <c r="E1172" s="11" t="inlineStr">
        <is>
          <t>FT - Full-time Waged</t>
        </is>
      </c>
      <c r="F1172" s="11" t="inlineStr">
        <is>
          <t>Diagnostics</t>
        </is>
      </c>
      <c r="G1172" s="11" t="inlineStr">
        <is>
          <t>Queensland</t>
        </is>
      </c>
      <c r="H1172" s="13" t="inlineStr">
        <is>
          <t>76.00</t>
        </is>
      </c>
      <c r="I1172" s="11" t="inlineStr">
        <is>
          <t>Queensland Fertility Group Pty Ltd</t>
        </is>
      </c>
      <c r="J1172" s="14" t="n">
        <v>106.43</v>
      </c>
      <c r="K1172" s="13" t="inlineStr">
        <is>
          <t>106.43</t>
        </is>
      </c>
      <c r="L1172" s="12" t="n">
        <v>45949</v>
      </c>
      <c r="M1172" s="12" t="n">
        <v>45159</v>
      </c>
      <c r="N1172" s="13" t="inlineStr"/>
      <c r="O1172" s="13" t="inlineStr"/>
      <c r="P1172" s="12" t="n"/>
    </row>
    <row r="1173" ht="39.6" customHeight="1">
      <c r="A1173" s="15" t="n">
        <v>20082</v>
      </c>
      <c r="B1173" s="16" t="n">
        <v>36414</v>
      </c>
      <c r="C1173" s="15" t="inlineStr">
        <is>
          <t>Embryology Supervisor</t>
        </is>
      </c>
      <c r="D1173" s="15" t="inlineStr">
        <is>
          <t>Lab Supervisors Pay Policy</t>
        </is>
      </c>
      <c r="E1173" s="15" t="inlineStr">
        <is>
          <t>FT - Full-time Waged</t>
        </is>
      </c>
      <c r="F1173" s="15" t="inlineStr">
        <is>
          <t>IVFA</t>
        </is>
      </c>
      <c r="G1173" s="15" t="inlineStr">
        <is>
          <t>New South Wales</t>
        </is>
      </c>
      <c r="H1173" s="17" t="inlineStr">
        <is>
          <t>76.00</t>
        </is>
      </c>
      <c r="I1173" s="15" t="inlineStr">
        <is>
          <t>IVF Australia Pty Ltd</t>
        </is>
      </c>
      <c r="J1173" s="18" t="n">
        <v>25.39</v>
      </c>
      <c r="K1173" s="17" t="inlineStr">
        <is>
          <t>107.92</t>
        </is>
      </c>
      <c r="L1173" s="16" t="n">
        <v>45949</v>
      </c>
      <c r="M1173" s="16" t="n">
        <v>44450</v>
      </c>
      <c r="N1173" s="17" t="inlineStr">
        <is>
          <t>36.97</t>
        </is>
      </c>
      <c r="O1173" s="17" t="inlineStr">
        <is>
          <t>119.50</t>
        </is>
      </c>
      <c r="P1173" s="16" t="n"/>
    </row>
    <row r="1174" ht="52.8" customHeight="1">
      <c r="A1174" s="11" t="n">
        <v>20297</v>
      </c>
      <c r="B1174" s="12" t="n">
        <v>41121</v>
      </c>
      <c r="C1174" s="11" t="inlineStr">
        <is>
          <t>Clinical Product Owner</t>
        </is>
      </c>
      <c r="D1174" s="11" t="inlineStr">
        <is>
          <t>Common Law Employment Contract</t>
        </is>
      </c>
      <c r="E1174" s="11" t="inlineStr">
        <is>
          <t>FT - Full-time Waged</t>
        </is>
      </c>
      <c r="F1174" s="11" t="inlineStr">
        <is>
          <t>IVFA</t>
        </is>
      </c>
      <c r="G1174" s="11" t="inlineStr">
        <is>
          <t>New South Wales</t>
        </is>
      </c>
      <c r="H1174" s="13" t="inlineStr">
        <is>
          <t>76.00</t>
        </is>
      </c>
      <c r="I1174" s="11" t="inlineStr">
        <is>
          <t>IVF Australia Pty Ltd</t>
        </is>
      </c>
      <c r="J1174" s="14" t="n">
        <v>417.18</v>
      </c>
      <c r="K1174" s="13" t="inlineStr">
        <is>
          <t>107.93</t>
        </is>
      </c>
      <c r="L1174" s="12" t="n">
        <v>45949</v>
      </c>
      <c r="M1174" s="12" t="n">
        <v>44773</v>
      </c>
      <c r="N1174" s="13" t="inlineStr">
        <is>
          <t>309.25</t>
        </is>
      </c>
      <c r="O1174" s="13" t="inlineStr"/>
      <c r="P1174" s="12" t="n"/>
    </row>
    <row r="1175" ht="52.8" customHeight="1">
      <c r="A1175" s="15" t="inlineStr">
        <is>
          <t>AU22495</t>
        </is>
      </c>
      <c r="B1175" s="16" t="n">
        <v>44749</v>
      </c>
      <c r="C1175" s="15" t="inlineStr">
        <is>
          <t>Group Financial Reporting Manager</t>
        </is>
      </c>
      <c r="D1175" s="15" t="inlineStr">
        <is>
          <t>Common Law Employment Contract</t>
        </is>
      </c>
      <c r="E1175" s="15" t="inlineStr">
        <is>
          <t>FP - Full-time Salaried</t>
        </is>
      </c>
      <c r="F1175" s="15" t="inlineStr">
        <is>
          <t>Corporate Services</t>
        </is>
      </c>
      <c r="G1175" s="15" t="inlineStr">
        <is>
          <t>New South Wales</t>
        </is>
      </c>
      <c r="H1175" s="17" t="inlineStr">
        <is>
          <t>76.00</t>
        </is>
      </c>
      <c r="I1175" s="15" t="inlineStr">
        <is>
          <t>IVF Australia Pty Ltd</t>
        </is>
      </c>
      <c r="J1175" s="18" t="n">
        <v>108.56</v>
      </c>
      <c r="K1175" s="17" t="inlineStr">
        <is>
          <t>108.56</t>
        </is>
      </c>
      <c r="L1175" s="16" t="n">
        <v>45949</v>
      </c>
      <c r="M1175" s="16" t="n">
        <v>44749</v>
      </c>
      <c r="N1175" s="17" t="inlineStr"/>
      <c r="O1175" s="17" t="inlineStr"/>
      <c r="P1175" s="16" t="n"/>
    </row>
    <row r="1176" ht="39.6" customHeight="1">
      <c r="A1176" s="11" t="n">
        <v>20248</v>
      </c>
      <c r="B1176" s="12" t="n">
        <v>40736</v>
      </c>
      <c r="C1176" s="11" t="inlineStr">
        <is>
          <t>Patient Support Officer</t>
        </is>
      </c>
      <c r="D1176" s="11" t="inlineStr">
        <is>
          <t>NSW Support Services EA</t>
        </is>
      </c>
      <c r="E1176" s="11" t="inlineStr">
        <is>
          <t>PP - Part-time Waged</t>
        </is>
      </c>
      <c r="F1176" s="11" t="inlineStr">
        <is>
          <t>IVFA</t>
        </is>
      </c>
      <c r="G1176" s="11" t="inlineStr">
        <is>
          <t>New South Wales</t>
        </is>
      </c>
      <c r="H1176" s="13" t="inlineStr">
        <is>
          <t>38.00</t>
        </is>
      </c>
      <c r="I1176" s="11" t="inlineStr">
        <is>
          <t>IVF Australia Pty Ltd</t>
        </is>
      </c>
      <c r="J1176" s="14" t="n">
        <v>399.48</v>
      </c>
      <c r="K1176" s="13" t="inlineStr">
        <is>
          <t>108.83</t>
        </is>
      </c>
      <c r="L1176" s="12" t="n">
        <v>45949</v>
      </c>
      <c r="M1176" s="12" t="n">
        <v>44389</v>
      </c>
      <c r="N1176" s="13" t="inlineStr">
        <is>
          <t>290.65</t>
        </is>
      </c>
      <c r="O1176" s="13" t="inlineStr"/>
      <c r="P1176" s="12" t="n"/>
    </row>
    <row r="1177" ht="52.8" customHeight="1">
      <c r="A1177" s="15" t="inlineStr">
        <is>
          <t>AU22908</t>
        </is>
      </c>
      <c r="B1177" s="16" t="n">
        <v>45124</v>
      </c>
      <c r="C1177" s="15" t="inlineStr">
        <is>
          <t>Genetic Scientist</t>
        </is>
      </c>
      <c r="D1177" s="15" t="inlineStr">
        <is>
          <t>QLD Scientists EA</t>
        </is>
      </c>
      <c r="E1177" s="15" t="inlineStr">
        <is>
          <t>FT - Full-time Waged</t>
        </is>
      </c>
      <c r="F1177" s="15" t="inlineStr">
        <is>
          <t>Diagnostics</t>
        </is>
      </c>
      <c r="G1177" s="15" t="inlineStr">
        <is>
          <t>Queensland</t>
        </is>
      </c>
      <c r="H1177" s="17" t="inlineStr">
        <is>
          <t>76.00</t>
        </is>
      </c>
      <c r="I1177" s="15" t="inlineStr">
        <is>
          <t>Queensland Fertility Group Pty Ltd</t>
        </is>
      </c>
      <c r="J1177" s="18" t="n">
        <v>109.24</v>
      </c>
      <c r="K1177" s="17" t="inlineStr">
        <is>
          <t>109.24</t>
        </is>
      </c>
      <c r="L1177" s="16" t="n">
        <v>45949</v>
      </c>
      <c r="M1177" s="16" t="n">
        <v>45124</v>
      </c>
      <c r="N1177" s="17" t="inlineStr"/>
      <c r="O1177" s="17" t="inlineStr"/>
      <c r="P1177" s="16" t="n"/>
    </row>
    <row r="1178" ht="52.8" customHeight="1">
      <c r="A1178" s="11" t="inlineStr">
        <is>
          <t>AU22947</t>
        </is>
      </c>
      <c r="B1178" s="12" t="n">
        <v>45145</v>
      </c>
      <c r="C1178" s="11" t="inlineStr">
        <is>
          <t>Genetic Scientist</t>
        </is>
      </c>
      <c r="D1178" s="11" t="inlineStr">
        <is>
          <t>QLD Scientists EA</t>
        </is>
      </c>
      <c r="E1178" s="11" t="inlineStr">
        <is>
          <t>FT - Full-time Waged</t>
        </is>
      </c>
      <c r="F1178" s="11" t="inlineStr">
        <is>
          <t>Diagnostics</t>
        </is>
      </c>
      <c r="G1178" s="11" t="inlineStr">
        <is>
          <t>Queensland</t>
        </is>
      </c>
      <c r="H1178" s="13" t="inlineStr">
        <is>
          <t>76.00</t>
        </is>
      </c>
      <c r="I1178" s="11" t="inlineStr">
        <is>
          <t>Queensland Fertility Group Pty Ltd</t>
        </is>
      </c>
      <c r="J1178" s="14" t="n">
        <v>109.26</v>
      </c>
      <c r="K1178" s="13" t="inlineStr">
        <is>
          <t>109.26</t>
        </is>
      </c>
      <c r="L1178" s="12" t="n">
        <v>45949</v>
      </c>
      <c r="M1178" s="12" t="n">
        <v>45145</v>
      </c>
      <c r="N1178" s="13" t="inlineStr"/>
      <c r="O1178" s="13" t="inlineStr"/>
      <c r="P1178" s="12" t="n"/>
    </row>
    <row r="1179" ht="39.6" customHeight="1">
      <c r="A1179" s="15" t="n">
        <v>20161</v>
      </c>
      <c r="B1179" s="16" t="n">
        <v>38684</v>
      </c>
      <c r="C1179" s="15" t="inlineStr">
        <is>
          <t>Clinical Nurse Specialist</t>
        </is>
      </c>
      <c r="D1179" s="15" t="inlineStr">
        <is>
          <t>NSW Nurse EA</t>
        </is>
      </c>
      <c r="E1179" s="15" t="inlineStr">
        <is>
          <t>FT - Full-time Waged</t>
        </is>
      </c>
      <c r="F1179" s="15" t="inlineStr">
        <is>
          <t>IVFA</t>
        </is>
      </c>
      <c r="G1179" s="15" t="inlineStr">
        <is>
          <t>New South Wales</t>
        </is>
      </c>
      <c r="H1179" s="17" t="inlineStr">
        <is>
          <t>76.00</t>
        </is>
      </c>
      <c r="I1179" s="15" t="inlineStr">
        <is>
          <t>IVF Australia Pty Ltd</t>
        </is>
      </c>
      <c r="J1179" s="18" t="n">
        <v>245.22</v>
      </c>
      <c r="K1179" s="17" t="inlineStr">
        <is>
          <t>109.42</t>
        </is>
      </c>
      <c r="L1179" s="16" t="n">
        <v>45949</v>
      </c>
      <c r="M1179" s="16" t="n">
        <v>44528</v>
      </c>
      <c r="N1179" s="17" t="inlineStr">
        <is>
          <t>202.30</t>
        </is>
      </c>
      <c r="O1179" s="17" t="inlineStr">
        <is>
          <t>66.50</t>
        </is>
      </c>
      <c r="P1179" s="16" t="n"/>
    </row>
    <row r="1180" ht="39.6" customHeight="1">
      <c r="A1180" s="11" t="inlineStr">
        <is>
          <t>AU22487</t>
        </is>
      </c>
      <c r="B1180" s="12" t="n">
        <v>44739</v>
      </c>
      <c r="C1180" s="11" t="inlineStr">
        <is>
          <t>Nurse Unit Manager</t>
        </is>
      </c>
      <c r="D1180" s="11" t="inlineStr">
        <is>
          <t>NSW Nurse EA</t>
        </is>
      </c>
      <c r="E1180" s="11" t="inlineStr">
        <is>
          <t>FT - Full-time Waged</t>
        </is>
      </c>
      <c r="F1180" s="11" t="inlineStr">
        <is>
          <t>IVFA</t>
        </is>
      </c>
      <c r="G1180" s="11" t="inlineStr">
        <is>
          <t>New South Wales</t>
        </is>
      </c>
      <c r="H1180" s="13" t="inlineStr">
        <is>
          <t>76.00</t>
        </is>
      </c>
      <c r="I1180" s="11" t="inlineStr">
        <is>
          <t>IVF Australia Pty Ltd</t>
        </is>
      </c>
      <c r="J1180" s="14" t="n">
        <v>110.26</v>
      </c>
      <c r="K1180" s="13" t="inlineStr">
        <is>
          <t>110.26</t>
        </is>
      </c>
      <c r="L1180" s="12" t="n">
        <v>45949</v>
      </c>
      <c r="M1180" s="12" t="n">
        <v>44739</v>
      </c>
      <c r="N1180" s="13" t="inlineStr"/>
      <c r="O1180" s="13" t="inlineStr"/>
      <c r="P1180" s="12" t="n"/>
    </row>
    <row r="1181" ht="52.8" customHeight="1">
      <c r="A1181" s="15" t="n">
        <v>20875</v>
      </c>
      <c r="B1181" s="16" t="n">
        <v>44437</v>
      </c>
      <c r="C1181" s="15" t="inlineStr">
        <is>
          <t>Financial Accountant</t>
        </is>
      </c>
      <c r="D1181" s="15" t="inlineStr">
        <is>
          <t>Common Law Employment Contract</t>
        </is>
      </c>
      <c r="E1181" s="15" t="inlineStr">
        <is>
          <t>PP - Part-time Waged</t>
        </is>
      </c>
      <c r="F1181" s="15" t="inlineStr">
        <is>
          <t>IVFA</t>
        </is>
      </c>
      <c r="G1181" s="15" t="inlineStr">
        <is>
          <t>New South Wales</t>
        </is>
      </c>
      <c r="H1181" s="17" t="inlineStr">
        <is>
          <t>60.80</t>
        </is>
      </c>
      <c r="I1181" s="15" t="inlineStr">
        <is>
          <t>IVF Australia Pty Ltd</t>
        </is>
      </c>
      <c r="J1181" s="18" t="n">
        <v>110.33</v>
      </c>
      <c r="K1181" s="17" t="inlineStr">
        <is>
          <t>110.33</t>
        </is>
      </c>
      <c r="L1181" s="16" t="n">
        <v>45949</v>
      </c>
      <c r="M1181" s="16" t="n">
        <v>44437</v>
      </c>
      <c r="N1181" s="17" t="inlineStr"/>
      <c r="O1181" s="17" t="inlineStr"/>
      <c r="P1181" s="16" t="n"/>
    </row>
    <row r="1182" ht="79.2" customHeight="1">
      <c r="A1182" s="11" t="n">
        <v>80462</v>
      </c>
      <c r="B1182" s="12" t="n">
        <v>44655</v>
      </c>
      <c r="C1182" s="11" t="inlineStr">
        <is>
          <t>Receptionist</t>
        </is>
      </c>
      <c r="D1182" s="11" t="inlineStr">
        <is>
          <t>Health Professionals and Support Services Award</t>
        </is>
      </c>
      <c r="E1182" s="11" t="inlineStr">
        <is>
          <t>Part Time</t>
        </is>
      </c>
      <c r="F1182" s="11" t="inlineStr">
        <is>
          <t>Queensland Fertility Group</t>
        </is>
      </c>
      <c r="G1182" s="11" t="inlineStr">
        <is>
          <t>Queensland</t>
        </is>
      </c>
      <c r="H1182" s="13" t="inlineStr">
        <is>
          <t>68.40</t>
        </is>
      </c>
      <c r="I1182" s="11" t="inlineStr">
        <is>
          <t>Queensland Fertility Group Pty Ltd</t>
        </is>
      </c>
      <c r="J1182" s="14" t="n">
        <v>110.34</v>
      </c>
      <c r="K1182" s="13" t="inlineStr">
        <is>
          <t>110.34</t>
        </is>
      </c>
      <c r="L1182" s="12" t="n">
        <v>45949</v>
      </c>
      <c r="M1182" s="12" t="n">
        <v>44655</v>
      </c>
      <c r="N1182" s="13" t="inlineStr"/>
      <c r="O1182" s="13" t="inlineStr"/>
      <c r="P1182" s="12" t="n"/>
    </row>
    <row r="1183" ht="79.2" customHeight="1">
      <c r="A1183" s="15" t="n">
        <v>80202</v>
      </c>
      <c r="B1183" s="16" t="n">
        <v>42387</v>
      </c>
      <c r="C1183" s="15" t="inlineStr">
        <is>
          <t>Phlebotomist</t>
        </is>
      </c>
      <c r="D1183" s="15" t="inlineStr">
        <is>
          <t>Health Professionals and Support Services Award</t>
        </is>
      </c>
      <c r="E1183" s="15" t="inlineStr">
        <is>
          <t>CA - Casual</t>
        </is>
      </c>
      <c r="F1183" s="15" t="inlineStr">
        <is>
          <t>Queensland Fertility Group</t>
        </is>
      </c>
      <c r="G1183" s="15" t="inlineStr">
        <is>
          <t>Queensland</t>
        </is>
      </c>
      <c r="H1183" s="17" t="inlineStr"/>
      <c r="I1183" s="15" t="inlineStr">
        <is>
          <t>Queensland Fertility Group Pty Ltd</t>
        </is>
      </c>
      <c r="J1183" s="18" t="n">
        <v>110.86</v>
      </c>
      <c r="K1183" s="17" t="inlineStr">
        <is>
          <t>110.86</t>
        </is>
      </c>
      <c r="L1183" s="16" t="n">
        <v>45739</v>
      </c>
      <c r="M1183" s="16" t="n">
        <v>42387</v>
      </c>
      <c r="N1183" s="17" t="inlineStr"/>
      <c r="O1183" s="17" t="inlineStr"/>
      <c r="P1183" s="16" t="n"/>
    </row>
    <row r="1184" ht="52.8" customHeight="1">
      <c r="A1184" s="11" t="inlineStr">
        <is>
          <t>AU22927</t>
        </is>
      </c>
      <c r="B1184" s="12" t="n">
        <v>45124</v>
      </c>
      <c r="C1184" s="11" t="inlineStr">
        <is>
          <t>Embryologist/Team Leader</t>
        </is>
      </c>
      <c r="D1184" s="11" t="inlineStr">
        <is>
          <t>QLD Scientists EA</t>
        </is>
      </c>
      <c r="E1184" s="11" t="inlineStr">
        <is>
          <t>FT - Full-time Waged</t>
        </is>
      </c>
      <c r="F1184" s="11" t="inlineStr">
        <is>
          <t>Queensland Fertility Group</t>
        </is>
      </c>
      <c r="G1184" s="11" t="inlineStr">
        <is>
          <t>Queensland</t>
        </is>
      </c>
      <c r="H1184" s="13" t="inlineStr">
        <is>
          <t>76.00</t>
        </is>
      </c>
      <c r="I1184" s="11" t="inlineStr">
        <is>
          <t>Queensland Fertility Group Pty Ltd</t>
        </is>
      </c>
      <c r="J1184" s="14" t="n">
        <v>111</v>
      </c>
      <c r="K1184" s="13" t="inlineStr">
        <is>
          <t>111.00</t>
        </is>
      </c>
      <c r="L1184" s="12" t="n">
        <v>45949</v>
      </c>
      <c r="M1184" s="12" t="n">
        <v>45124</v>
      </c>
      <c r="N1184" s="13" t="inlineStr"/>
      <c r="O1184" s="13" t="inlineStr"/>
      <c r="P1184" s="12" t="n"/>
    </row>
    <row r="1185" ht="79.2" customHeight="1">
      <c r="A1185" s="15" t="n">
        <v>80471</v>
      </c>
      <c r="B1185" s="16" t="n">
        <v>44725</v>
      </c>
      <c r="C1185" s="15" t="inlineStr">
        <is>
          <t>New Patient Care Consultant</t>
        </is>
      </c>
      <c r="D1185" s="15" t="inlineStr">
        <is>
          <t>Health Professionals and Support Services Award</t>
        </is>
      </c>
      <c r="E1185" s="15" t="inlineStr">
        <is>
          <t>FT - Full-time Waged</t>
        </is>
      </c>
      <c r="F1185" s="15" t="inlineStr">
        <is>
          <t>Queensland Fertility Group</t>
        </is>
      </c>
      <c r="G1185" s="15" t="inlineStr">
        <is>
          <t>Queensland</t>
        </is>
      </c>
      <c r="H1185" s="17" t="inlineStr">
        <is>
          <t>76.00</t>
        </is>
      </c>
      <c r="I1185" s="15" t="inlineStr">
        <is>
          <t>Queensland Fertility Group Pty Ltd</t>
        </is>
      </c>
      <c r="J1185" s="18" t="n">
        <v>111.09</v>
      </c>
      <c r="K1185" s="17" t="inlineStr">
        <is>
          <t>111.09</t>
        </is>
      </c>
      <c r="L1185" s="16" t="n">
        <v>45949</v>
      </c>
      <c r="M1185" s="16" t="n">
        <v>44725</v>
      </c>
      <c r="N1185" s="17" t="inlineStr"/>
      <c r="O1185" s="17" t="inlineStr"/>
      <c r="P1185" s="16" t="n"/>
    </row>
    <row r="1186" ht="39.6" customHeight="1">
      <c r="A1186" s="11" t="n">
        <v>20667</v>
      </c>
      <c r="B1186" s="12" t="n">
        <v>43537</v>
      </c>
      <c r="C1186" s="11" t="inlineStr">
        <is>
          <t>Administration Team Leader</t>
        </is>
      </c>
      <c r="D1186" s="11" t="inlineStr">
        <is>
          <t>NSW Support Services EA</t>
        </is>
      </c>
      <c r="E1186" s="11" t="inlineStr">
        <is>
          <t>PP - Part-time Waged</t>
        </is>
      </c>
      <c r="F1186" s="11" t="inlineStr">
        <is>
          <t>IVFA</t>
        </is>
      </c>
      <c r="G1186" s="11" t="inlineStr">
        <is>
          <t>New South Wales</t>
        </is>
      </c>
      <c r="H1186" s="13" t="inlineStr">
        <is>
          <t>41.00</t>
        </is>
      </c>
      <c r="I1186" s="11" t="inlineStr">
        <is>
          <t>IVF Australia Pty Ltd</t>
        </is>
      </c>
      <c r="J1186" s="14" t="n">
        <v>111.16</v>
      </c>
      <c r="K1186" s="13" t="inlineStr">
        <is>
          <t>111.16</t>
        </is>
      </c>
      <c r="L1186" s="12" t="n">
        <v>45949</v>
      </c>
      <c r="M1186" s="12" t="n">
        <v>43537</v>
      </c>
      <c r="N1186" s="13" t="inlineStr"/>
      <c r="O1186" s="13" t="inlineStr"/>
      <c r="P1186" s="12" t="n"/>
    </row>
    <row r="1187" ht="39.6" customHeight="1">
      <c r="A1187" s="15" t="n">
        <v>20939</v>
      </c>
      <c r="B1187" s="16" t="n">
        <v>44725</v>
      </c>
      <c r="C1187" s="15" t="inlineStr">
        <is>
          <t>Clinical Nurse Specialist</t>
        </is>
      </c>
      <c r="D1187" s="15" t="inlineStr">
        <is>
          <t>NSW Nurse EA</t>
        </is>
      </c>
      <c r="E1187" s="15" t="inlineStr">
        <is>
          <t>FT - Full-time Waged</t>
        </is>
      </c>
      <c r="F1187" s="15" t="inlineStr">
        <is>
          <t>IVFA</t>
        </is>
      </c>
      <c r="G1187" s="15" t="inlineStr">
        <is>
          <t>New South Wales</t>
        </is>
      </c>
      <c r="H1187" s="17" t="inlineStr">
        <is>
          <t>76.00</t>
        </is>
      </c>
      <c r="I1187" s="15" t="inlineStr">
        <is>
          <t>IVF Australia Pty Ltd</t>
        </is>
      </c>
      <c r="J1187" s="18" t="n">
        <v>111.49</v>
      </c>
      <c r="K1187" s="17" t="inlineStr">
        <is>
          <t>111.49</t>
        </is>
      </c>
      <c r="L1187" s="16" t="n">
        <v>45949</v>
      </c>
      <c r="M1187" s="16" t="n">
        <v>44725</v>
      </c>
      <c r="N1187" s="17" t="inlineStr"/>
      <c r="O1187" s="17" t="inlineStr"/>
      <c r="P1187" s="16" t="n"/>
    </row>
    <row r="1188" ht="66" customHeight="1">
      <c r="A1188" s="11" t="n">
        <v>30381</v>
      </c>
      <c r="B1188" s="12" t="n">
        <v>44697</v>
      </c>
      <c r="C1188" s="11" t="inlineStr">
        <is>
          <t>Director of Nursing</t>
        </is>
      </c>
      <c r="D1188" s="11" t="inlineStr">
        <is>
          <t>NSW Nurse EA</t>
        </is>
      </c>
      <c r="E1188" s="11" t="inlineStr">
        <is>
          <t>FT - Full-time Waged</t>
        </is>
      </c>
      <c r="F1188" s="11" t="inlineStr">
        <is>
          <t>Day Hospitals</t>
        </is>
      </c>
      <c r="G1188" s="11" t="inlineStr">
        <is>
          <t>New South Wales</t>
        </is>
      </c>
      <c r="H1188" s="13" t="inlineStr">
        <is>
          <t>76.00</t>
        </is>
      </c>
      <c r="I1188" s="11" t="inlineStr">
        <is>
          <t>North Shore Specialist Day Hospital Pty Ltd</t>
        </is>
      </c>
      <c r="J1188" s="14" t="n">
        <v>112.09</v>
      </c>
      <c r="K1188" s="13" t="inlineStr">
        <is>
          <t>112.09</t>
        </is>
      </c>
      <c r="L1188" s="12" t="n">
        <v>45949</v>
      </c>
      <c r="M1188" s="12" t="n">
        <v>44697</v>
      </c>
      <c r="N1188" s="13" t="inlineStr"/>
      <c r="O1188" s="13" t="inlineStr"/>
      <c r="P1188" s="12" t="n"/>
    </row>
    <row r="1189" ht="52.8" customHeight="1">
      <c r="A1189" s="15" t="n">
        <v>80468</v>
      </c>
      <c r="B1189" s="16" t="n">
        <v>44690</v>
      </c>
      <c r="C1189" s="15" t="inlineStr">
        <is>
          <t>Genetic Scientist</t>
        </is>
      </c>
      <c r="D1189" s="15" t="inlineStr">
        <is>
          <t>QLD Scientists EA</t>
        </is>
      </c>
      <c r="E1189" s="15" t="inlineStr">
        <is>
          <t>FT - Full-time Waged</t>
        </is>
      </c>
      <c r="F1189" s="15" t="inlineStr">
        <is>
          <t>Diagnostics</t>
        </is>
      </c>
      <c r="G1189" s="15" t="inlineStr">
        <is>
          <t>Queensland</t>
        </is>
      </c>
      <c r="H1189" s="17" t="inlineStr">
        <is>
          <t>76.00</t>
        </is>
      </c>
      <c r="I1189" s="15" t="inlineStr">
        <is>
          <t>Queensland Fertility Group Pty Ltd</t>
        </is>
      </c>
      <c r="J1189" s="18" t="n">
        <v>112.16</v>
      </c>
      <c r="K1189" s="17" t="inlineStr">
        <is>
          <t>112.16</t>
        </is>
      </c>
      <c r="L1189" s="16" t="n">
        <v>45949</v>
      </c>
      <c r="M1189" s="16" t="n">
        <v>44690</v>
      </c>
      <c r="N1189" s="17" t="inlineStr"/>
      <c r="O1189" s="17" t="inlineStr"/>
      <c r="P1189" s="16" t="n"/>
    </row>
    <row r="1190" ht="39.6" customHeight="1">
      <c r="A1190" s="11" t="inlineStr">
        <is>
          <t>AU22825</t>
        </is>
      </c>
      <c r="B1190" s="12" t="n">
        <v>44579</v>
      </c>
      <c r="C1190" s="11" t="inlineStr">
        <is>
          <t>Assistant in Nursing</t>
        </is>
      </c>
      <c r="D1190" s="11" t="inlineStr">
        <is>
          <t>NSW Nurse EA</t>
        </is>
      </c>
      <c r="E1190" s="11" t="inlineStr">
        <is>
          <t>FT - Full-time Waged</t>
        </is>
      </c>
      <c r="F1190" s="11" t="inlineStr">
        <is>
          <t>Day Hospitals</t>
        </is>
      </c>
      <c r="G1190" s="11" t="inlineStr">
        <is>
          <t>New South Wales</t>
        </is>
      </c>
      <c r="H1190" s="13" t="inlineStr">
        <is>
          <t>76.00</t>
        </is>
      </c>
      <c r="I1190" s="11" t="inlineStr">
        <is>
          <t>City West Day Surgery</t>
        </is>
      </c>
      <c r="J1190" s="14" t="n">
        <v>112.73</v>
      </c>
      <c r="K1190" s="13" t="inlineStr">
        <is>
          <t>112.73</t>
        </is>
      </c>
      <c r="L1190" s="12" t="n">
        <v>45949</v>
      </c>
      <c r="M1190" s="12" t="n">
        <v>44579</v>
      </c>
      <c r="N1190" s="13" t="inlineStr"/>
      <c r="O1190" s="13" t="inlineStr"/>
      <c r="P1190" s="12" t="n"/>
    </row>
    <row r="1191" ht="39.6" customHeight="1">
      <c r="A1191" s="15" t="n">
        <v>20729</v>
      </c>
      <c r="B1191" s="16" t="n">
        <v>43899</v>
      </c>
      <c r="C1191" s="15" t="inlineStr">
        <is>
          <t>New Patient Care Consultant</t>
        </is>
      </c>
      <c r="D1191" s="15" t="inlineStr">
        <is>
          <t>NSW Support Services EA</t>
        </is>
      </c>
      <c r="E1191" s="15" t="inlineStr">
        <is>
          <t>PP - Part-time Waged</t>
        </is>
      </c>
      <c r="F1191" s="15" t="inlineStr">
        <is>
          <t>IVFA</t>
        </is>
      </c>
      <c r="G1191" s="15" t="inlineStr">
        <is>
          <t>New South Wales</t>
        </is>
      </c>
      <c r="H1191" s="17" t="inlineStr">
        <is>
          <t>45.60</t>
        </is>
      </c>
      <c r="I1191" s="15" t="inlineStr">
        <is>
          <t>IVF Australia Pty Ltd</t>
        </is>
      </c>
      <c r="J1191" s="18" t="n">
        <v>112.83</v>
      </c>
      <c r="K1191" s="17" t="inlineStr">
        <is>
          <t>112.83</t>
        </is>
      </c>
      <c r="L1191" s="16" t="n">
        <v>45949</v>
      </c>
      <c r="M1191" s="16" t="n">
        <v>43899</v>
      </c>
      <c r="N1191" s="17" t="inlineStr"/>
      <c r="O1191" s="17" t="inlineStr"/>
      <c r="P1191" s="16" t="n"/>
    </row>
    <row r="1192" ht="39.6" customHeight="1">
      <c r="A1192" s="11" t="n">
        <v>20936</v>
      </c>
      <c r="B1192" s="12" t="n">
        <v>44691</v>
      </c>
      <c r="C1192" s="11" t="inlineStr">
        <is>
          <t>Counsellor</t>
        </is>
      </c>
      <c r="D1192" s="11" t="inlineStr">
        <is>
          <t>NSW Counsellor EA</t>
        </is>
      </c>
      <c r="E1192" s="11" t="inlineStr">
        <is>
          <t>FT - Full-time Waged</t>
        </is>
      </c>
      <c r="F1192" s="11" t="inlineStr">
        <is>
          <t>IVFA</t>
        </is>
      </c>
      <c r="G1192" s="11" t="inlineStr">
        <is>
          <t>New South Wales</t>
        </is>
      </c>
      <c r="H1192" s="13" t="inlineStr">
        <is>
          <t>76.00</t>
        </is>
      </c>
      <c r="I1192" s="11" t="inlineStr">
        <is>
          <t>IVF Australia Pty Ltd</t>
        </is>
      </c>
      <c r="J1192" s="14" t="n">
        <v>113.34</v>
      </c>
      <c r="K1192" s="13" t="inlineStr">
        <is>
          <t>113.34</t>
        </is>
      </c>
      <c r="L1192" s="12" t="n">
        <v>45949</v>
      </c>
      <c r="M1192" s="12" t="n">
        <v>44691</v>
      </c>
      <c r="N1192" s="13" t="inlineStr"/>
      <c r="O1192" s="13" t="inlineStr"/>
      <c r="P1192" s="12" t="n"/>
    </row>
    <row r="1193" ht="66" customHeight="1">
      <c r="A1193" s="15" t="n">
        <v>50199</v>
      </c>
      <c r="B1193" s="16" t="n">
        <v>44284</v>
      </c>
      <c r="C1193" s="15" t="inlineStr">
        <is>
          <t>Administration Clerk</t>
        </is>
      </c>
      <c r="D1193" s="15" t="inlineStr">
        <is>
          <t>NSW Support Services EA</t>
        </is>
      </c>
      <c r="E1193" s="15" t="inlineStr">
        <is>
          <t>PP - Part-time Waged</t>
        </is>
      </c>
      <c r="F1193" s="15" t="inlineStr">
        <is>
          <t>Day Hospitals</t>
        </is>
      </c>
      <c r="G1193" s="15" t="inlineStr">
        <is>
          <t>New South Wales</t>
        </is>
      </c>
      <c r="H1193" s="17" t="inlineStr">
        <is>
          <t>60.00</t>
        </is>
      </c>
      <c r="I1193" s="15" t="inlineStr">
        <is>
          <t>Alexandria Specialist Day Hospital Pty Ltd</t>
        </is>
      </c>
      <c r="J1193" s="18" t="n">
        <v>113.79</v>
      </c>
      <c r="K1193" s="17" t="inlineStr">
        <is>
          <t>113.79</t>
        </is>
      </c>
      <c r="L1193" s="16" t="n">
        <v>45949</v>
      </c>
      <c r="M1193" s="16" t="n">
        <v>44284</v>
      </c>
      <c r="N1193" s="17" t="inlineStr"/>
      <c r="O1193" s="17" t="inlineStr"/>
      <c r="P1193" s="16" t="n"/>
    </row>
    <row r="1194" ht="39.6" customHeight="1">
      <c r="A1194" s="11" t="n">
        <v>20933</v>
      </c>
      <c r="B1194" s="12" t="n">
        <v>44690</v>
      </c>
      <c r="C1194" s="11" t="inlineStr">
        <is>
          <t>Donor Team Leader</t>
        </is>
      </c>
      <c r="D1194" s="11" t="inlineStr">
        <is>
          <t>NSW Support Services EA</t>
        </is>
      </c>
      <c r="E1194" s="11" t="inlineStr">
        <is>
          <t>FT - Full-time Waged</t>
        </is>
      </c>
      <c r="F1194" s="11" t="inlineStr">
        <is>
          <t>IVFA</t>
        </is>
      </c>
      <c r="G1194" s="11" t="inlineStr">
        <is>
          <t>New South Wales</t>
        </is>
      </c>
      <c r="H1194" s="13" t="inlineStr">
        <is>
          <t>76.00</t>
        </is>
      </c>
      <c r="I1194" s="11" t="inlineStr">
        <is>
          <t>IVF Australia Pty Ltd</t>
        </is>
      </c>
      <c r="J1194" s="14" t="n">
        <v>114.27</v>
      </c>
      <c r="K1194" s="13" t="inlineStr">
        <is>
          <t>114.27</t>
        </is>
      </c>
      <c r="L1194" s="12" t="n">
        <v>45949</v>
      </c>
      <c r="M1194" s="12" t="n">
        <v>44690</v>
      </c>
      <c r="N1194" s="13" t="inlineStr"/>
      <c r="O1194" s="13" t="inlineStr"/>
      <c r="P1194" s="12" t="n"/>
    </row>
    <row r="1195" ht="66" customHeight="1">
      <c r="A1195" s="15" t="n">
        <v>20925</v>
      </c>
      <c r="B1195" s="16" t="n">
        <v>44670</v>
      </c>
      <c r="C1195" s="15" t="inlineStr">
        <is>
          <t xml:space="preserve">Senior Administration Officer and Facilities </t>
        </is>
      </c>
      <c r="D1195" s="15" t="inlineStr">
        <is>
          <t>NSW Support Services EA</t>
        </is>
      </c>
      <c r="E1195" s="15" t="inlineStr">
        <is>
          <t>FT - Full-time Waged</t>
        </is>
      </c>
      <c r="F1195" s="15" t="inlineStr">
        <is>
          <t>IVFA</t>
        </is>
      </c>
      <c r="G1195" s="15" t="inlineStr">
        <is>
          <t>New South Wales</t>
        </is>
      </c>
      <c r="H1195" s="17" t="inlineStr">
        <is>
          <t>76.00</t>
        </is>
      </c>
      <c r="I1195" s="15" t="inlineStr">
        <is>
          <t>IVF Australia Pty Ltd</t>
        </is>
      </c>
      <c r="J1195" s="18" t="n">
        <v>114.33</v>
      </c>
      <c r="K1195" s="17" t="inlineStr">
        <is>
          <t>114.33</t>
        </is>
      </c>
      <c r="L1195" s="16" t="n">
        <v>45949</v>
      </c>
      <c r="M1195" s="16" t="n">
        <v>44670</v>
      </c>
      <c r="N1195" s="17" t="inlineStr"/>
      <c r="O1195" s="17" t="inlineStr"/>
      <c r="P1195" s="16" t="n"/>
    </row>
    <row r="1196" ht="39.6" customHeight="1">
      <c r="A1196" s="11" t="n">
        <v>20798</v>
      </c>
      <c r="B1196" s="12" t="n">
        <v>44116</v>
      </c>
      <c r="C1196" s="11" t="inlineStr">
        <is>
          <t>Nurse Unit Manager</t>
        </is>
      </c>
      <c r="D1196" s="11" t="inlineStr">
        <is>
          <t>NSW Nurse EA</t>
        </is>
      </c>
      <c r="E1196" s="11" t="inlineStr">
        <is>
          <t>FT - Full-time Waged</t>
        </is>
      </c>
      <c r="F1196" s="11" t="inlineStr">
        <is>
          <t>The Fertility Centre</t>
        </is>
      </c>
      <c r="G1196" s="11" t="inlineStr">
        <is>
          <t>New South Wales</t>
        </is>
      </c>
      <c r="H1196" s="13" t="inlineStr">
        <is>
          <t>38.00</t>
        </is>
      </c>
      <c r="I1196" s="11" t="inlineStr">
        <is>
          <t>IVF Australia Pty Ltd</t>
        </is>
      </c>
      <c r="J1196" s="14" t="n">
        <v>114.44</v>
      </c>
      <c r="K1196" s="13" t="inlineStr">
        <is>
          <t>114.44</t>
        </is>
      </c>
      <c r="L1196" s="12" t="n">
        <v>45949</v>
      </c>
      <c r="M1196" s="12" t="n">
        <v>44116</v>
      </c>
      <c r="N1196" s="13" t="inlineStr"/>
      <c r="O1196" s="13" t="inlineStr"/>
      <c r="P1196" s="12" t="n"/>
    </row>
    <row r="1197" ht="39.6" customHeight="1">
      <c r="A1197" s="15" t="n">
        <v>20927</v>
      </c>
      <c r="B1197" s="16" t="n">
        <v>44679</v>
      </c>
      <c r="C1197" s="15" t="inlineStr">
        <is>
          <t>Embryologist</t>
        </is>
      </c>
      <c r="D1197" s="15" t="inlineStr">
        <is>
          <t>IVFA Scientists EA</t>
        </is>
      </c>
      <c r="E1197" s="15" t="inlineStr">
        <is>
          <t>FT - Full-time Waged</t>
        </is>
      </c>
      <c r="F1197" s="15" t="inlineStr">
        <is>
          <t>IVFA</t>
        </is>
      </c>
      <c r="G1197" s="15" t="inlineStr">
        <is>
          <t>New South Wales</t>
        </is>
      </c>
      <c r="H1197" s="17" t="inlineStr">
        <is>
          <t>76.00</t>
        </is>
      </c>
      <c r="I1197" s="15" t="inlineStr">
        <is>
          <t>IVF Australia Pty Ltd</t>
        </is>
      </c>
      <c r="J1197" s="18" t="n">
        <v>114.58</v>
      </c>
      <c r="K1197" s="17" t="inlineStr">
        <is>
          <t>114.58</t>
        </is>
      </c>
      <c r="L1197" s="16" t="n">
        <v>45949</v>
      </c>
      <c r="M1197" s="16" t="n">
        <v>44679</v>
      </c>
      <c r="N1197" s="17" t="inlineStr"/>
      <c r="O1197" s="17" t="inlineStr"/>
      <c r="P1197" s="16" t="n"/>
    </row>
    <row r="1198" ht="66" customHeight="1">
      <c r="A1198" s="11" t="n">
        <v>30168</v>
      </c>
      <c r="B1198" s="12" t="n">
        <v>43199</v>
      </c>
      <c r="C1198" s="11" t="inlineStr">
        <is>
          <t>Registered Nurse</t>
        </is>
      </c>
      <c r="D1198" s="11" t="inlineStr">
        <is>
          <t>NSW Nurse EA</t>
        </is>
      </c>
      <c r="E1198" s="11" t="inlineStr">
        <is>
          <t>PP - Part-time Waged</t>
        </is>
      </c>
      <c r="F1198" s="11" t="inlineStr">
        <is>
          <t>Day Hospitals</t>
        </is>
      </c>
      <c r="G1198" s="11" t="inlineStr">
        <is>
          <t>New South Wales</t>
        </is>
      </c>
      <c r="H1198" s="13" t="inlineStr">
        <is>
          <t>16.00</t>
        </is>
      </c>
      <c r="I1198" s="11" t="inlineStr">
        <is>
          <t>North Shore Specialist Day Hospital Pty Ltd</t>
        </is>
      </c>
      <c r="J1198" s="14" t="n">
        <v>115.07</v>
      </c>
      <c r="K1198" s="13" t="inlineStr">
        <is>
          <t>115.07</t>
        </is>
      </c>
      <c r="L1198" s="12" t="n">
        <v>45949</v>
      </c>
      <c r="M1198" s="12" t="n">
        <v>43199</v>
      </c>
      <c r="N1198" s="13" t="inlineStr"/>
      <c r="O1198" s="13" t="inlineStr"/>
      <c r="P1198" s="12" t="n"/>
    </row>
    <row r="1199" ht="39.6" customHeight="1">
      <c r="A1199" s="15" t="n">
        <v>20926</v>
      </c>
      <c r="B1199" s="16" t="n">
        <v>44677</v>
      </c>
      <c r="C1199" s="15" t="inlineStr">
        <is>
          <t>Embryologist</t>
        </is>
      </c>
      <c r="D1199" s="15" t="inlineStr">
        <is>
          <t>IVFA Scientists EA</t>
        </is>
      </c>
      <c r="E1199" s="15" t="inlineStr">
        <is>
          <t>FT - Full-time Waged</t>
        </is>
      </c>
      <c r="F1199" s="15" t="inlineStr">
        <is>
          <t>The Fertility Centre</t>
        </is>
      </c>
      <c r="G1199" s="15" t="inlineStr">
        <is>
          <t>New South Wales</t>
        </is>
      </c>
      <c r="H1199" s="17" t="inlineStr">
        <is>
          <t>76.00</t>
        </is>
      </c>
      <c r="I1199" s="15" t="inlineStr">
        <is>
          <t>IVF Australia Pty Ltd</t>
        </is>
      </c>
      <c r="J1199" s="18" t="n">
        <v>115.13</v>
      </c>
      <c r="K1199" s="17" t="inlineStr">
        <is>
          <t>115.13</t>
        </is>
      </c>
      <c r="L1199" s="16" t="n">
        <v>45949</v>
      </c>
      <c r="M1199" s="16" t="n">
        <v>44677</v>
      </c>
      <c r="N1199" s="17" t="inlineStr"/>
      <c r="O1199" s="17" t="inlineStr"/>
      <c r="P1199" s="16" t="n"/>
    </row>
    <row r="1200" ht="39.6" customHeight="1">
      <c r="A1200" s="11" t="n">
        <v>20814</v>
      </c>
      <c r="B1200" s="12" t="n">
        <v>44167</v>
      </c>
      <c r="C1200" s="11" t="inlineStr">
        <is>
          <t>Administration</t>
        </is>
      </c>
      <c r="D1200" s="11" t="inlineStr">
        <is>
          <t>NSW Support Services EA</t>
        </is>
      </c>
      <c r="E1200" s="11" t="inlineStr">
        <is>
          <t>PP - Part-time Waged</t>
        </is>
      </c>
      <c r="F1200" s="11" t="inlineStr">
        <is>
          <t>IVFA</t>
        </is>
      </c>
      <c r="G1200" s="11" t="inlineStr">
        <is>
          <t>New South Wales</t>
        </is>
      </c>
      <c r="H1200" s="13" t="inlineStr">
        <is>
          <t>60.00</t>
        </is>
      </c>
      <c r="I1200" s="11" t="inlineStr">
        <is>
          <t>IVF Australia Pty Ltd</t>
        </is>
      </c>
      <c r="J1200" s="14" t="n">
        <v>115.51</v>
      </c>
      <c r="K1200" s="13" t="inlineStr">
        <is>
          <t>115.51</t>
        </is>
      </c>
      <c r="L1200" s="12" t="n">
        <v>45949</v>
      </c>
      <c r="M1200" s="12" t="n">
        <v>44167</v>
      </c>
      <c r="N1200" s="13" t="inlineStr"/>
      <c r="O1200" s="13" t="inlineStr"/>
      <c r="P1200" s="12" t="n"/>
    </row>
    <row r="1201" ht="52.8" customHeight="1">
      <c r="A1201" s="15" t="n">
        <v>20872</v>
      </c>
      <c r="B1201" s="16" t="n">
        <v>41092</v>
      </c>
      <c r="C1201" s="15" t="inlineStr">
        <is>
          <t>Group Donor Program Specialist</t>
        </is>
      </c>
      <c r="D1201" s="15" t="inlineStr">
        <is>
          <t>Common Law Employment Contract</t>
        </is>
      </c>
      <c r="E1201" s="15" t="inlineStr">
        <is>
          <t>FP - Full-time Salaried</t>
        </is>
      </c>
      <c r="F1201" s="15" t="inlineStr">
        <is>
          <t>Corporate Services</t>
        </is>
      </c>
      <c r="G1201" s="15" t="inlineStr">
        <is>
          <t>Victoria</t>
        </is>
      </c>
      <c r="H1201" s="17" t="inlineStr">
        <is>
          <t>76.00</t>
        </is>
      </c>
      <c r="I1201" s="15" t="inlineStr">
        <is>
          <t>IVF Australia Pty Ltd</t>
        </is>
      </c>
      <c r="J1201" s="18" t="n">
        <v>62.34</v>
      </c>
      <c r="K1201" s="17" t="inlineStr">
        <is>
          <t>116.11</t>
        </is>
      </c>
      <c r="L1201" s="16" t="n">
        <v>45949</v>
      </c>
      <c r="M1201" s="16" t="n">
        <v>44531</v>
      </c>
      <c r="N1201" s="17" t="inlineStr">
        <is>
          <t>326.23</t>
        </is>
      </c>
      <c r="O1201" s="17" t="inlineStr">
        <is>
          <t>380.00</t>
        </is>
      </c>
      <c r="P1201" s="16" t="n"/>
    </row>
    <row r="1202" ht="66" customHeight="1">
      <c r="A1202" s="11" t="n">
        <v>50214</v>
      </c>
      <c r="B1202" s="12" t="n">
        <v>44676</v>
      </c>
      <c r="C1202" s="11" t="inlineStr">
        <is>
          <t>Stores Coordinator/Theatre Orderly</t>
        </is>
      </c>
      <c r="D1202" s="11" t="inlineStr">
        <is>
          <t>NSW Support Services EA</t>
        </is>
      </c>
      <c r="E1202" s="11" t="inlineStr">
        <is>
          <t>FT - Full-time Waged</t>
        </is>
      </c>
      <c r="F1202" s="11" t="inlineStr">
        <is>
          <t>Day Hospitals</t>
        </is>
      </c>
      <c r="G1202" s="11" t="inlineStr">
        <is>
          <t>New South Wales</t>
        </is>
      </c>
      <c r="H1202" s="13" t="inlineStr">
        <is>
          <t>76.00</t>
        </is>
      </c>
      <c r="I1202" s="11" t="inlineStr">
        <is>
          <t>Alexandria Specialist Day Hospital Pty Ltd</t>
        </is>
      </c>
      <c r="J1202" s="14" t="n">
        <v>116.49</v>
      </c>
      <c r="K1202" s="13" t="inlineStr">
        <is>
          <t>116.49</t>
        </is>
      </c>
      <c r="L1202" s="12" t="n">
        <v>45949</v>
      </c>
      <c r="M1202" s="12" t="n">
        <v>44676</v>
      </c>
      <c r="N1202" s="13" t="inlineStr"/>
      <c r="O1202" s="13" t="inlineStr"/>
      <c r="P1202" s="12" t="n"/>
    </row>
    <row r="1203" ht="39.6" customHeight="1">
      <c r="A1203" s="15" t="n">
        <v>20918</v>
      </c>
      <c r="B1203" s="16" t="n">
        <v>44641</v>
      </c>
      <c r="C1203" s="15" t="inlineStr">
        <is>
          <t>Embryologist</t>
        </is>
      </c>
      <c r="D1203" s="15" t="inlineStr">
        <is>
          <t>IVFA Scientists EA</t>
        </is>
      </c>
      <c r="E1203" s="15" t="inlineStr">
        <is>
          <t>FT - Full-time Waged</t>
        </is>
      </c>
      <c r="F1203" s="15" t="inlineStr">
        <is>
          <t>IVFA</t>
        </is>
      </c>
      <c r="G1203" s="15" t="inlineStr">
        <is>
          <t>New South Wales</t>
        </is>
      </c>
      <c r="H1203" s="17" t="inlineStr">
        <is>
          <t>76.00</t>
        </is>
      </c>
      <c r="I1203" s="15" t="inlineStr">
        <is>
          <t>IVF Australia Pty Ltd</t>
        </is>
      </c>
      <c r="J1203" s="18" t="n">
        <v>117.59</v>
      </c>
      <c r="K1203" s="17" t="inlineStr">
        <is>
          <t>117.59</t>
        </is>
      </c>
      <c r="L1203" s="16" t="n">
        <v>45949</v>
      </c>
      <c r="M1203" s="16" t="n">
        <v>44641</v>
      </c>
      <c r="N1203" s="17" t="inlineStr"/>
      <c r="O1203" s="17" t="inlineStr"/>
      <c r="P1203" s="16" t="n"/>
    </row>
    <row r="1204" ht="39.6" customHeight="1">
      <c r="A1204" s="11" t="n">
        <v>20921</v>
      </c>
      <c r="B1204" s="12" t="n">
        <v>44655</v>
      </c>
      <c r="C1204" s="11" t="inlineStr">
        <is>
          <t>Registered Nurse</t>
        </is>
      </c>
      <c r="D1204" s="11" t="inlineStr">
        <is>
          <t>NSW Nurse EA</t>
        </is>
      </c>
      <c r="E1204" s="11" t="inlineStr">
        <is>
          <t>FT - Full-time Waged</t>
        </is>
      </c>
      <c r="F1204" s="11" t="inlineStr">
        <is>
          <t>IVFA</t>
        </is>
      </c>
      <c r="G1204" s="11" t="inlineStr">
        <is>
          <t>New South Wales</t>
        </is>
      </c>
      <c r="H1204" s="13" t="inlineStr">
        <is>
          <t>76.00</t>
        </is>
      </c>
      <c r="I1204" s="11" t="inlineStr">
        <is>
          <t>IVF Australia Pty Ltd</t>
        </is>
      </c>
      <c r="J1204" s="14" t="n">
        <v>117.69</v>
      </c>
      <c r="K1204" s="13" t="inlineStr">
        <is>
          <t>117.69</t>
        </is>
      </c>
      <c r="L1204" s="12" t="n">
        <v>45949</v>
      </c>
      <c r="M1204" s="12" t="n">
        <v>44655</v>
      </c>
      <c r="N1204" s="13" t="inlineStr"/>
      <c r="O1204" s="13" t="inlineStr"/>
      <c r="P1204" s="12" t="n"/>
    </row>
    <row r="1205" ht="52.8" customHeight="1">
      <c r="A1205" s="15" t="inlineStr">
        <is>
          <t>AU22870</t>
        </is>
      </c>
      <c r="B1205" s="16" t="n">
        <v>45082</v>
      </c>
      <c r="C1205" s="15" t="inlineStr">
        <is>
          <t>Genetic Scientist</t>
        </is>
      </c>
      <c r="D1205" s="15" t="inlineStr">
        <is>
          <t>QLD Scientists EA</t>
        </is>
      </c>
      <c r="E1205" s="15" t="inlineStr">
        <is>
          <t>FT - Full-time Waged</t>
        </is>
      </c>
      <c r="F1205" s="15" t="inlineStr">
        <is>
          <t>Diagnostics</t>
        </is>
      </c>
      <c r="G1205" s="15" t="inlineStr">
        <is>
          <t>Queensland</t>
        </is>
      </c>
      <c r="H1205" s="17" t="inlineStr">
        <is>
          <t>76.00</t>
        </is>
      </c>
      <c r="I1205" s="15" t="inlineStr">
        <is>
          <t>Queensland Fertility Group Pty Ltd</t>
        </is>
      </c>
      <c r="J1205" s="18" t="n">
        <v>117.8</v>
      </c>
      <c r="K1205" s="17" t="inlineStr">
        <is>
          <t>117.80</t>
        </is>
      </c>
      <c r="L1205" s="16" t="n">
        <v>45949</v>
      </c>
      <c r="M1205" s="16" t="n">
        <v>45082</v>
      </c>
      <c r="N1205" s="17" t="inlineStr"/>
      <c r="O1205" s="17" t="inlineStr"/>
      <c r="P1205" s="16" t="n"/>
    </row>
    <row r="1206" ht="39.6" customHeight="1">
      <c r="A1206" s="11" t="n">
        <v>20892</v>
      </c>
      <c r="B1206" s="12" t="n">
        <v>44564</v>
      </c>
      <c r="C1206" s="11" t="inlineStr">
        <is>
          <t>Registered Nurse</t>
        </is>
      </c>
      <c r="D1206" s="11" t="inlineStr">
        <is>
          <t>NSW Nurse EA</t>
        </is>
      </c>
      <c r="E1206" s="11" t="inlineStr">
        <is>
          <t>FT - Full-time Waged</t>
        </is>
      </c>
      <c r="F1206" s="11" t="inlineStr">
        <is>
          <t>IVFA</t>
        </is>
      </c>
      <c r="G1206" s="11" t="inlineStr">
        <is>
          <t>New South Wales</t>
        </is>
      </c>
      <c r="H1206" s="13" t="inlineStr">
        <is>
          <t>76.00</t>
        </is>
      </c>
      <c r="I1206" s="11" t="inlineStr">
        <is>
          <t>IVF Australia Pty Ltd</t>
        </is>
      </c>
      <c r="J1206" s="14" t="n">
        <v>118.3</v>
      </c>
      <c r="K1206" s="13" t="inlineStr">
        <is>
          <t>118.30</t>
        </is>
      </c>
      <c r="L1206" s="12" t="n">
        <v>45865</v>
      </c>
      <c r="M1206" s="12" t="n">
        <v>44564</v>
      </c>
      <c r="N1206" s="13" t="inlineStr"/>
      <c r="O1206" s="13" t="inlineStr"/>
      <c r="P1206" s="12" t="n"/>
    </row>
    <row r="1207" ht="52.8" customHeight="1">
      <c r="A1207" s="15" t="inlineStr">
        <is>
          <t>AU22887</t>
        </is>
      </c>
      <c r="B1207" s="16" t="n">
        <v>45082</v>
      </c>
      <c r="C1207" s="15" t="inlineStr">
        <is>
          <t>Embryologist</t>
        </is>
      </c>
      <c r="D1207" s="15" t="inlineStr">
        <is>
          <t>QLD Scientists EA</t>
        </is>
      </c>
      <c r="E1207" s="15" t="inlineStr">
        <is>
          <t>FT - Full-time Waged</t>
        </is>
      </c>
      <c r="F1207" s="15" t="inlineStr">
        <is>
          <t>Queensland Fertility Group</t>
        </is>
      </c>
      <c r="G1207" s="15" t="inlineStr">
        <is>
          <t>Queensland</t>
        </is>
      </c>
      <c r="H1207" s="17" t="inlineStr">
        <is>
          <t>76.00</t>
        </is>
      </c>
      <c r="I1207" s="15" t="inlineStr">
        <is>
          <t>Queensland Fertility Group Pty Ltd</t>
        </is>
      </c>
      <c r="J1207" s="18" t="n">
        <v>118.62</v>
      </c>
      <c r="K1207" s="17" t="inlineStr">
        <is>
          <t>118.62</t>
        </is>
      </c>
      <c r="L1207" s="16" t="n">
        <v>45949</v>
      </c>
      <c r="M1207" s="16" t="n">
        <v>45082</v>
      </c>
      <c r="N1207" s="17" t="inlineStr"/>
      <c r="O1207" s="17" t="inlineStr"/>
      <c r="P1207" s="16" t="n"/>
    </row>
    <row r="1208" ht="39.6" customHeight="1">
      <c r="A1208" s="11" t="n">
        <v>20109</v>
      </c>
      <c r="B1208" s="12" t="n">
        <v>38495</v>
      </c>
      <c r="C1208" s="11" t="inlineStr">
        <is>
          <t>Laboratory Supervisor</t>
        </is>
      </c>
      <c r="D1208" s="11" t="inlineStr">
        <is>
          <t>IVFA Scientists EA</t>
        </is>
      </c>
      <c r="E1208" s="11" t="inlineStr">
        <is>
          <t>PP - Part-time Waged</t>
        </is>
      </c>
      <c r="F1208" s="11" t="inlineStr">
        <is>
          <t>IVFA</t>
        </is>
      </c>
      <c r="G1208" s="11" t="inlineStr">
        <is>
          <t>New South Wales</t>
        </is>
      </c>
      <c r="H1208" s="13" t="inlineStr">
        <is>
          <t>62.00</t>
        </is>
      </c>
      <c r="I1208" s="11" t="inlineStr">
        <is>
          <t>IVF Australia Pty Ltd</t>
        </is>
      </c>
      <c r="J1208" s="14" t="n">
        <v>267.89</v>
      </c>
      <c r="K1208" s="13" t="inlineStr">
        <is>
          <t>118.80</t>
        </is>
      </c>
      <c r="L1208" s="12" t="n">
        <v>45949</v>
      </c>
      <c r="M1208" s="12" t="n">
        <v>44339</v>
      </c>
      <c r="N1208" s="13" t="inlineStr">
        <is>
          <t>149.09</t>
        </is>
      </c>
      <c r="O1208" s="13" t="inlineStr"/>
      <c r="P1208" s="12" t="n"/>
    </row>
    <row r="1209" ht="39.6" customHeight="1">
      <c r="A1209" s="15" t="inlineStr">
        <is>
          <t>AU23759</t>
        </is>
      </c>
      <c r="B1209" s="16" t="n">
        <v>45866</v>
      </c>
      <c r="C1209" s="15" t="inlineStr">
        <is>
          <t>Administration Officer</t>
        </is>
      </c>
      <c r="D1209" s="15" t="inlineStr">
        <is>
          <t>NSW Support Services EA</t>
        </is>
      </c>
      <c r="E1209" s="15" t="inlineStr">
        <is>
          <t>CA - Casual</t>
        </is>
      </c>
      <c r="F1209" s="15" t="inlineStr">
        <is>
          <t>IVFA</t>
        </is>
      </c>
      <c r="G1209" s="15" t="inlineStr">
        <is>
          <t>New South Wales</t>
        </is>
      </c>
      <c r="H1209" s="17" t="inlineStr"/>
      <c r="I1209" s="15" t="inlineStr">
        <is>
          <t>IVF Australia Pty Ltd</t>
        </is>
      </c>
      <c r="J1209" s="18" t="n">
        <v>119.13</v>
      </c>
      <c r="K1209" s="17" t="inlineStr">
        <is>
          <t>119.13</t>
        </is>
      </c>
      <c r="L1209" s="16" t="n">
        <v>45949</v>
      </c>
      <c r="M1209" s="16" t="n">
        <v>44151</v>
      </c>
      <c r="N1209" s="17" t="inlineStr"/>
      <c r="O1209" s="17" t="inlineStr"/>
      <c r="P1209" s="16" t="n"/>
    </row>
    <row r="1210" ht="52.8" customHeight="1">
      <c r="A1210" s="11" t="n">
        <v>80343</v>
      </c>
      <c r="B1210" s="12" t="n">
        <v>43962</v>
      </c>
      <c r="C1210" s="11" t="inlineStr">
        <is>
          <t>Nurse Coordinator</t>
        </is>
      </c>
      <c r="D1210" s="11" t="inlineStr">
        <is>
          <t>QLD Nurse EA</t>
        </is>
      </c>
      <c r="E1210" s="11" t="inlineStr">
        <is>
          <t>PP - Part-time Waged</t>
        </is>
      </c>
      <c r="F1210" s="11" t="inlineStr">
        <is>
          <t>Queensland Fertility Group</t>
        </is>
      </c>
      <c r="G1210" s="11" t="inlineStr">
        <is>
          <t>Queensland</t>
        </is>
      </c>
      <c r="H1210" s="13" t="inlineStr">
        <is>
          <t>60.80</t>
        </is>
      </c>
      <c r="I1210" s="11" t="inlineStr">
        <is>
          <t>Queensland Fertility Group Pty Ltd</t>
        </is>
      </c>
      <c r="J1210" s="14" t="n">
        <v>119.8</v>
      </c>
      <c r="K1210" s="13" t="inlineStr">
        <is>
          <t>119.80</t>
        </is>
      </c>
      <c r="L1210" s="12" t="n">
        <v>45949</v>
      </c>
      <c r="M1210" s="12" t="n">
        <v>43962</v>
      </c>
      <c r="N1210" s="13" t="inlineStr"/>
      <c r="O1210" s="13" t="inlineStr"/>
      <c r="P1210" s="12" t="n"/>
    </row>
    <row r="1211" ht="39.6" customHeight="1">
      <c r="A1211" s="15" t="n">
        <v>20905</v>
      </c>
      <c r="B1211" s="16" t="n">
        <v>44592</v>
      </c>
      <c r="C1211" s="15" t="inlineStr">
        <is>
          <t xml:space="preserve">Practice Manager </t>
        </is>
      </c>
      <c r="D1211" s="15" t="inlineStr">
        <is>
          <t>NSW Support Services EA</t>
        </is>
      </c>
      <c r="E1211" s="15" t="inlineStr">
        <is>
          <t>FT - Full-time Waged</t>
        </is>
      </c>
      <c r="F1211" s="15" t="inlineStr">
        <is>
          <t>IVFA</t>
        </is>
      </c>
      <c r="G1211" s="15" t="inlineStr">
        <is>
          <t>New South Wales</t>
        </is>
      </c>
      <c r="H1211" s="17" t="inlineStr">
        <is>
          <t>76.00</t>
        </is>
      </c>
      <c r="I1211" s="15" t="inlineStr">
        <is>
          <t>IVF Australia Pty Ltd</t>
        </is>
      </c>
      <c r="J1211" s="18" t="n">
        <v>119.94</v>
      </c>
      <c r="K1211" s="17" t="inlineStr">
        <is>
          <t>119.94</t>
        </is>
      </c>
      <c r="L1211" s="16" t="n">
        <v>45949</v>
      </c>
      <c r="M1211" s="16" t="n">
        <v>44592</v>
      </c>
      <c r="N1211" s="17" t="inlineStr"/>
      <c r="O1211" s="17" t="inlineStr"/>
      <c r="P1211" s="16" t="n"/>
    </row>
    <row r="1212" ht="52.8" customHeight="1">
      <c r="A1212" s="11" t="n">
        <v>90032</v>
      </c>
      <c r="B1212" s="12" t="n">
        <v>38769</v>
      </c>
      <c r="C1212" s="11" t="inlineStr">
        <is>
          <t>National Pre-Analytics Manager</t>
        </is>
      </c>
      <c r="D1212" s="11" t="inlineStr">
        <is>
          <t>Common Law Employment Contract</t>
        </is>
      </c>
      <c r="E1212" s="11" t="inlineStr">
        <is>
          <t>FP - Full-time Salaried</t>
        </is>
      </c>
      <c r="F1212" s="11" t="inlineStr">
        <is>
          <t>Diagnostics</t>
        </is>
      </c>
      <c r="G1212" s="11" t="inlineStr">
        <is>
          <t>New South Wales</t>
        </is>
      </c>
      <c r="H1212" s="13" t="inlineStr">
        <is>
          <t>76.00</t>
        </is>
      </c>
      <c r="I1212" s="11" t="inlineStr">
        <is>
          <t>Virtus Health Specialist Diagnostics</t>
        </is>
      </c>
      <c r="J1212" s="14" t="n">
        <v>490.56</v>
      </c>
      <c r="K1212" s="13" t="inlineStr">
        <is>
          <t>120.99</t>
        </is>
      </c>
      <c r="L1212" s="12" t="n">
        <v>45949</v>
      </c>
      <c r="M1212" s="12" t="n">
        <v>44613</v>
      </c>
      <c r="N1212" s="13" t="inlineStr">
        <is>
          <t>369.57</t>
        </is>
      </c>
      <c r="O1212" s="13" t="inlineStr"/>
      <c r="P1212" s="12" t="n"/>
    </row>
    <row r="1213" ht="66" customHeight="1">
      <c r="A1213" s="15" t="n">
        <v>19055</v>
      </c>
      <c r="B1213" s="16" t="n">
        <v>44613</v>
      </c>
      <c r="C1213" s="15" t="inlineStr">
        <is>
          <t>Data And Application Quality Assurance Manager</t>
        </is>
      </c>
      <c r="D1213" s="15" t="inlineStr">
        <is>
          <t>Common Law Employment Contract</t>
        </is>
      </c>
      <c r="E1213" s="15" t="inlineStr">
        <is>
          <t>FP - Full-time Salaried</t>
        </is>
      </c>
      <c r="F1213" s="15" t="inlineStr">
        <is>
          <t>Corporate Services</t>
        </is>
      </c>
      <c r="G1213" s="15" t="inlineStr">
        <is>
          <t>Victoria</t>
        </is>
      </c>
      <c r="H1213" s="17" t="inlineStr">
        <is>
          <t>76.00</t>
        </is>
      </c>
      <c r="I1213" s="15" t="inlineStr">
        <is>
          <t>IVF Australia Pty Ltd</t>
        </is>
      </c>
      <c r="J1213" s="18" t="n">
        <v>121.19</v>
      </c>
      <c r="K1213" s="17" t="inlineStr">
        <is>
          <t>121.19</t>
        </is>
      </c>
      <c r="L1213" s="16" t="n">
        <v>45949</v>
      </c>
      <c r="M1213" s="16" t="n">
        <v>44613</v>
      </c>
      <c r="N1213" s="17" t="inlineStr"/>
      <c r="O1213" s="17" t="inlineStr"/>
      <c r="P1213" s="16" t="n"/>
    </row>
    <row r="1214" ht="79.2" customHeight="1">
      <c r="A1214" s="11" t="n">
        <v>60185</v>
      </c>
      <c r="B1214" s="12" t="n">
        <v>44617</v>
      </c>
      <c r="C1214" s="11" t="inlineStr">
        <is>
          <t>CSSD Team Leader</t>
        </is>
      </c>
      <c r="D1214" s="11" t="inlineStr">
        <is>
          <t>Health Professionals and Support Services Award</t>
        </is>
      </c>
      <c r="E1214" s="11" t="inlineStr">
        <is>
          <t>FT - Full-time Waged</t>
        </is>
      </c>
      <c r="F1214" s="11" t="inlineStr">
        <is>
          <t>Day Hospitals</t>
        </is>
      </c>
      <c r="G1214" s="11" t="inlineStr">
        <is>
          <t>Queensland</t>
        </is>
      </c>
      <c r="H1214" s="13" t="inlineStr">
        <is>
          <t>76.00</t>
        </is>
      </c>
      <c r="I1214" s="11" t="inlineStr">
        <is>
          <t>Spring Hill Specialist Day Hospital</t>
        </is>
      </c>
      <c r="J1214" s="14" t="n">
        <v>121.41</v>
      </c>
      <c r="K1214" s="13" t="inlineStr">
        <is>
          <t>121.41</t>
        </is>
      </c>
      <c r="L1214" s="12" t="n">
        <v>45949</v>
      </c>
      <c r="M1214" s="12" t="n">
        <v>44617</v>
      </c>
      <c r="N1214" s="13" t="inlineStr"/>
      <c r="O1214" s="13" t="inlineStr"/>
      <c r="P1214" s="12" t="n"/>
    </row>
    <row r="1215" ht="52.8" customHeight="1">
      <c r="A1215" s="15" t="inlineStr">
        <is>
          <t>AU23348</t>
        </is>
      </c>
      <c r="B1215" s="16" t="n">
        <v>45530</v>
      </c>
      <c r="C1215" s="15" t="inlineStr">
        <is>
          <t>Registered Nurse</t>
        </is>
      </c>
      <c r="D1215" s="15" t="inlineStr">
        <is>
          <t>QLD Nurse EA</t>
        </is>
      </c>
      <c r="E1215" s="15" t="inlineStr">
        <is>
          <t>PP - Part-time Waged</t>
        </is>
      </c>
      <c r="F1215" s="15" t="inlineStr">
        <is>
          <t>Day Hospitals</t>
        </is>
      </c>
      <c r="G1215" s="15" t="inlineStr">
        <is>
          <t>Queensland</t>
        </is>
      </c>
      <c r="H1215" s="17" t="inlineStr">
        <is>
          <t>64.00</t>
        </is>
      </c>
      <c r="I1215" s="15" t="inlineStr">
        <is>
          <t>Spring Hill Specialist Day Hospital</t>
        </is>
      </c>
      <c r="J1215" s="18" t="n">
        <v>122.21</v>
      </c>
      <c r="K1215" s="17" t="inlineStr">
        <is>
          <t>122.21</t>
        </is>
      </c>
      <c r="L1215" s="16" t="n">
        <v>45949</v>
      </c>
      <c r="M1215" s="16" t="n">
        <v>45404</v>
      </c>
      <c r="N1215" s="17" t="inlineStr"/>
      <c r="O1215" s="17" t="inlineStr"/>
      <c r="P1215" s="16" t="n"/>
    </row>
    <row r="1216" ht="79.2" customHeight="1">
      <c r="A1216" s="11" t="n">
        <v>80442</v>
      </c>
      <c r="B1216" s="12" t="n">
        <v>44522</v>
      </c>
      <c r="C1216" s="11" t="inlineStr">
        <is>
          <t>Clinical Administrator-Nursing</t>
        </is>
      </c>
      <c r="D1216" s="11" t="inlineStr">
        <is>
          <t>Health Professionals and Support Services Award</t>
        </is>
      </c>
      <c r="E1216" s="11" t="inlineStr">
        <is>
          <t>FT - Full-time Waged</t>
        </is>
      </c>
      <c r="F1216" s="11" t="inlineStr">
        <is>
          <t>Queensland Fertility Group</t>
        </is>
      </c>
      <c r="G1216" s="11" t="inlineStr">
        <is>
          <t>Queensland</t>
        </is>
      </c>
      <c r="H1216" s="13" t="inlineStr">
        <is>
          <t>76.00</t>
        </is>
      </c>
      <c r="I1216" s="11" t="inlineStr">
        <is>
          <t>Queensland Fertility Group Pty Ltd</t>
        </is>
      </c>
      <c r="J1216" s="14" t="n">
        <v>122.27</v>
      </c>
      <c r="K1216" s="13" t="inlineStr">
        <is>
          <t>122.27</t>
        </is>
      </c>
      <c r="L1216" s="12" t="n">
        <v>45949</v>
      </c>
      <c r="M1216" s="12" t="n">
        <v>44522</v>
      </c>
      <c r="N1216" s="13" t="inlineStr"/>
      <c r="O1216" s="13" t="inlineStr"/>
      <c r="P1216" s="12" t="n"/>
    </row>
    <row r="1217" ht="39.6" customHeight="1">
      <c r="A1217" s="15" t="n">
        <v>40040</v>
      </c>
      <c r="B1217" s="16" t="n">
        <v>40969</v>
      </c>
      <c r="C1217" s="15" t="inlineStr">
        <is>
          <t>Registered Nurse</t>
        </is>
      </c>
      <c r="D1217" s="15" t="inlineStr">
        <is>
          <t>NSW Nurse EA</t>
        </is>
      </c>
      <c r="E1217" s="15" t="inlineStr">
        <is>
          <t>FT - Full-time Waged</t>
        </is>
      </c>
      <c r="F1217" s="15" t="inlineStr">
        <is>
          <t>Day Hospitals</t>
        </is>
      </c>
      <c r="G1217" s="15" t="inlineStr">
        <is>
          <t>New South Wales</t>
        </is>
      </c>
      <c r="H1217" s="17" t="inlineStr">
        <is>
          <t>76.00</t>
        </is>
      </c>
      <c r="I1217" s="15" t="inlineStr">
        <is>
          <t>City West Day Surgery</t>
        </is>
      </c>
      <c r="J1217" s="18" t="n">
        <v>239.84</v>
      </c>
      <c r="K1217" s="17" t="inlineStr">
        <is>
          <t>122.73</t>
        </is>
      </c>
      <c r="L1217" s="16" t="n">
        <v>45949</v>
      </c>
      <c r="M1217" s="16" t="n">
        <v>44621</v>
      </c>
      <c r="N1217" s="17" t="inlineStr">
        <is>
          <t>231.11</t>
        </is>
      </c>
      <c r="O1217" s="17" t="inlineStr">
        <is>
          <t>114.00</t>
        </is>
      </c>
      <c r="P1217" s="16" t="n"/>
    </row>
    <row r="1218" ht="66" customHeight="1">
      <c r="A1218" s="11" t="inlineStr">
        <is>
          <t>AU22610</t>
        </is>
      </c>
      <c r="B1218" s="12" t="n">
        <v>44257</v>
      </c>
      <c r="C1218" s="11" t="inlineStr">
        <is>
          <t>CSSD Tech</t>
        </is>
      </c>
      <c r="D1218" s="11" t="inlineStr">
        <is>
          <t>NSW Support Services EA</t>
        </is>
      </c>
      <c r="E1218" s="11" t="inlineStr">
        <is>
          <t>FT - Full-time Waged</t>
        </is>
      </c>
      <c r="F1218" s="11" t="inlineStr">
        <is>
          <t>Day Hospitals</t>
        </is>
      </c>
      <c r="G1218" s="11" t="inlineStr">
        <is>
          <t>New South Wales</t>
        </is>
      </c>
      <c r="H1218" s="13" t="inlineStr">
        <is>
          <t>76.00</t>
        </is>
      </c>
      <c r="I1218" s="11" t="inlineStr">
        <is>
          <t>North Shore Specialist Day Hospital Pty Ltd</t>
        </is>
      </c>
      <c r="J1218" s="14" t="n">
        <v>123.46</v>
      </c>
      <c r="K1218" s="13" t="inlineStr">
        <is>
          <t>123.46</t>
        </is>
      </c>
      <c r="L1218" s="12" t="n">
        <v>45949</v>
      </c>
      <c r="M1218" s="12" t="n">
        <v>44257</v>
      </c>
      <c r="N1218" s="13" t="inlineStr"/>
      <c r="O1218" s="13" t="inlineStr"/>
      <c r="P1218" s="12" t="n"/>
    </row>
    <row r="1219" ht="52.8" customHeight="1">
      <c r="A1219" s="15" t="n">
        <v>19050</v>
      </c>
      <c r="B1219" s="16" t="n">
        <v>44585</v>
      </c>
      <c r="C1219" s="15" t="inlineStr">
        <is>
          <t>Senior Data Analyst</t>
        </is>
      </c>
      <c r="D1219" s="15" t="inlineStr">
        <is>
          <t>Common Law Employment Contract</t>
        </is>
      </c>
      <c r="E1219" s="15" t="inlineStr">
        <is>
          <t>FP - Full-time Salaried</t>
        </is>
      </c>
      <c r="F1219" s="15" t="inlineStr">
        <is>
          <t>Corporate Services</t>
        </is>
      </c>
      <c r="G1219" s="15" t="inlineStr">
        <is>
          <t>Victoria</t>
        </is>
      </c>
      <c r="H1219" s="17" t="inlineStr">
        <is>
          <t>76.00</t>
        </is>
      </c>
      <c r="I1219" s="15" t="inlineStr">
        <is>
          <t>IVF Australia Pty Ltd</t>
        </is>
      </c>
      <c r="J1219" s="18" t="n">
        <v>123.75</v>
      </c>
      <c r="K1219" s="17" t="inlineStr">
        <is>
          <t>123.75</t>
        </is>
      </c>
      <c r="L1219" s="16" t="n">
        <v>45949</v>
      </c>
      <c r="M1219" s="16" t="n">
        <v>44585</v>
      </c>
      <c r="N1219" s="17" t="inlineStr"/>
      <c r="O1219" s="17" t="inlineStr"/>
      <c r="P1219" s="16" t="n"/>
    </row>
    <row r="1220" ht="66" customHeight="1">
      <c r="A1220" s="11" t="n">
        <v>50202</v>
      </c>
      <c r="B1220" s="12" t="n">
        <v>44354</v>
      </c>
      <c r="C1220" s="11" t="inlineStr">
        <is>
          <t>Clinical Nurse Specialist</t>
        </is>
      </c>
      <c r="D1220" s="11" t="inlineStr">
        <is>
          <t>NSW Nurse EA</t>
        </is>
      </c>
      <c r="E1220" s="11" t="inlineStr">
        <is>
          <t>PP - Part-time Waged</t>
        </is>
      </c>
      <c r="F1220" s="11" t="inlineStr">
        <is>
          <t>Day Hospitals</t>
        </is>
      </c>
      <c r="G1220" s="11" t="inlineStr">
        <is>
          <t>New South Wales</t>
        </is>
      </c>
      <c r="H1220" s="13" t="inlineStr">
        <is>
          <t>60.80</t>
        </is>
      </c>
      <c r="I1220" s="11" t="inlineStr">
        <is>
          <t>Alexandria Specialist Day Hospital Pty Ltd</t>
        </is>
      </c>
      <c r="J1220" s="14" t="n">
        <v>123.77</v>
      </c>
      <c r="K1220" s="13" t="inlineStr">
        <is>
          <t>123.77</t>
        </is>
      </c>
      <c r="L1220" s="12" t="n">
        <v>45949</v>
      </c>
      <c r="M1220" s="12" t="n">
        <v>44354</v>
      </c>
      <c r="N1220" s="13" t="inlineStr"/>
      <c r="O1220" s="13" t="inlineStr"/>
      <c r="P1220" s="12" t="n"/>
    </row>
    <row r="1221" ht="39.6" customHeight="1">
      <c r="A1221" s="15" t="n">
        <v>20784</v>
      </c>
      <c r="B1221" s="16" t="n">
        <v>44081</v>
      </c>
      <c r="C1221" s="15" t="inlineStr">
        <is>
          <t>Clinical Nurse Specialist</t>
        </is>
      </c>
      <c r="D1221" s="15" t="inlineStr">
        <is>
          <t>NSW Nurse EA</t>
        </is>
      </c>
      <c r="E1221" s="15" t="inlineStr">
        <is>
          <t>FT - Full-time Waged</t>
        </is>
      </c>
      <c r="F1221" s="15" t="inlineStr">
        <is>
          <t>IVFA</t>
        </is>
      </c>
      <c r="G1221" s="15" t="inlineStr">
        <is>
          <t>New South Wales</t>
        </is>
      </c>
      <c r="H1221" s="17" t="inlineStr">
        <is>
          <t>76.00</t>
        </is>
      </c>
      <c r="I1221" s="15" t="inlineStr">
        <is>
          <t>IVF Australia Pty Ltd</t>
        </is>
      </c>
      <c r="J1221" s="18" t="n">
        <v>123.82</v>
      </c>
      <c r="K1221" s="17" t="inlineStr">
        <is>
          <t>123.82</t>
        </is>
      </c>
      <c r="L1221" s="16" t="n">
        <v>45949</v>
      </c>
      <c r="M1221" s="16" t="n">
        <v>44081</v>
      </c>
      <c r="N1221" s="17" t="inlineStr"/>
      <c r="O1221" s="17" t="inlineStr"/>
      <c r="P1221" s="16" t="n"/>
    </row>
    <row r="1222" ht="39.6" customHeight="1">
      <c r="A1222" s="11" t="n">
        <v>20762</v>
      </c>
      <c r="B1222" s="12" t="n">
        <v>44032</v>
      </c>
      <c r="C1222" s="11" t="inlineStr">
        <is>
          <t>Registered Nurse</t>
        </is>
      </c>
      <c r="D1222" s="11" t="inlineStr">
        <is>
          <t>NSW Nurse EA</t>
        </is>
      </c>
      <c r="E1222" s="11" t="inlineStr">
        <is>
          <t>PP - Part-time Waged</t>
        </is>
      </c>
      <c r="F1222" s="11" t="inlineStr">
        <is>
          <t>IVFA</t>
        </is>
      </c>
      <c r="G1222" s="11" t="inlineStr">
        <is>
          <t>New South Wales</t>
        </is>
      </c>
      <c r="H1222" s="13" t="inlineStr">
        <is>
          <t>51.00</t>
        </is>
      </c>
      <c r="I1222" s="11" t="inlineStr">
        <is>
          <t>IVF Australia Pty Ltd</t>
        </is>
      </c>
      <c r="J1222" s="14" t="n">
        <v>124.57</v>
      </c>
      <c r="K1222" s="13" t="inlineStr">
        <is>
          <t>124.57</t>
        </is>
      </c>
      <c r="L1222" s="12" t="n">
        <v>45949</v>
      </c>
      <c r="M1222" s="12" t="n">
        <v>44032</v>
      </c>
      <c r="N1222" s="13" t="inlineStr"/>
      <c r="O1222" s="13" t="inlineStr"/>
      <c r="P1222" s="12" t="n"/>
    </row>
    <row r="1223" ht="52.8" customHeight="1">
      <c r="A1223" s="15" t="n">
        <v>80413</v>
      </c>
      <c r="B1223" s="16" t="n">
        <v>44326</v>
      </c>
      <c r="C1223" s="15" t="inlineStr">
        <is>
          <t>Senior Counsellor</t>
        </is>
      </c>
      <c r="D1223" s="15" t="inlineStr">
        <is>
          <t>NSW Counsellor EA</t>
        </is>
      </c>
      <c r="E1223" s="15" t="inlineStr">
        <is>
          <t>Part Time</t>
        </is>
      </c>
      <c r="F1223" s="15" t="inlineStr">
        <is>
          <t>Queensland Fertility Group</t>
        </is>
      </c>
      <c r="G1223" s="15" t="inlineStr">
        <is>
          <t>Queensland</t>
        </is>
      </c>
      <c r="H1223" s="17" t="inlineStr">
        <is>
          <t>60.80</t>
        </is>
      </c>
      <c r="I1223" s="15" t="inlineStr">
        <is>
          <t>Queensland Fertility Group Pty Ltd</t>
        </is>
      </c>
      <c r="J1223" s="18" t="n">
        <v>124.9</v>
      </c>
      <c r="K1223" s="17" t="inlineStr">
        <is>
          <t>124.90</t>
        </is>
      </c>
      <c r="L1223" s="16" t="n">
        <v>45949</v>
      </c>
      <c r="M1223" s="16" t="n">
        <v>44326</v>
      </c>
      <c r="N1223" s="17" t="inlineStr"/>
      <c r="O1223" s="17" t="inlineStr"/>
      <c r="P1223" s="16" t="n"/>
    </row>
    <row r="1224" ht="39.6" customHeight="1">
      <c r="A1224" s="11" t="n">
        <v>20173</v>
      </c>
      <c r="B1224" s="12" t="n">
        <v>38733</v>
      </c>
      <c r="C1224" s="11" t="inlineStr">
        <is>
          <t>Administration Manager</t>
        </is>
      </c>
      <c r="D1224" s="11" t="inlineStr">
        <is>
          <t>NSW Support Services EA</t>
        </is>
      </c>
      <c r="E1224" s="11" t="inlineStr">
        <is>
          <t>FT - Full-time Waged</t>
        </is>
      </c>
      <c r="F1224" s="11" t="inlineStr">
        <is>
          <t>IVFA</t>
        </is>
      </c>
      <c r="G1224" s="11" t="inlineStr">
        <is>
          <t>New South Wales</t>
        </is>
      </c>
      <c r="H1224" s="13" t="inlineStr">
        <is>
          <t>76.00</t>
        </is>
      </c>
      <c r="I1224" s="11" t="inlineStr">
        <is>
          <t>IVF Australia Pty Ltd</t>
        </is>
      </c>
      <c r="J1224" s="14" t="n">
        <v>395.71</v>
      </c>
      <c r="K1224" s="13" t="inlineStr">
        <is>
          <t>125.68</t>
        </is>
      </c>
      <c r="L1224" s="12" t="n">
        <v>45949</v>
      </c>
      <c r="M1224" s="12" t="n">
        <v>44577</v>
      </c>
      <c r="N1224" s="13" t="inlineStr">
        <is>
          <t>270.03</t>
        </is>
      </c>
      <c r="O1224" s="13" t="inlineStr"/>
      <c r="P1224" s="12" t="n"/>
    </row>
    <row r="1225" ht="52.8" customHeight="1">
      <c r="A1225" s="15" t="n">
        <v>80558</v>
      </c>
      <c r="B1225" s="16" t="n">
        <v>44543</v>
      </c>
      <c r="C1225" s="15" t="inlineStr">
        <is>
          <t>Andrologist</t>
        </is>
      </c>
      <c r="D1225" s="15" t="inlineStr">
        <is>
          <t>QLD Scientists EA</t>
        </is>
      </c>
      <c r="E1225" s="15" t="inlineStr">
        <is>
          <t>FT - Full-time Waged</t>
        </is>
      </c>
      <c r="F1225" s="15" t="inlineStr">
        <is>
          <t>Queensland Fertility Group</t>
        </is>
      </c>
      <c r="G1225" s="15" t="inlineStr">
        <is>
          <t>Queensland</t>
        </is>
      </c>
      <c r="H1225" s="17" t="inlineStr">
        <is>
          <t>76.00</t>
        </is>
      </c>
      <c r="I1225" s="15" t="inlineStr">
        <is>
          <t>Queensland Fertility Group Pty Ltd</t>
        </is>
      </c>
      <c r="J1225" s="18" t="n">
        <v>126.34</v>
      </c>
      <c r="K1225" s="17" t="inlineStr">
        <is>
          <t>126.34</t>
        </is>
      </c>
      <c r="L1225" s="16" t="n">
        <v>45949</v>
      </c>
      <c r="M1225" s="16" t="n">
        <v>44543</v>
      </c>
      <c r="N1225" s="17" t="inlineStr"/>
      <c r="O1225" s="17" t="inlineStr"/>
      <c r="P1225" s="16" t="n"/>
    </row>
    <row r="1226" ht="39.6" customHeight="1">
      <c r="A1226" s="11" t="n">
        <v>20887</v>
      </c>
      <c r="B1226" s="12" t="n">
        <v>44522</v>
      </c>
      <c r="C1226" s="11" t="inlineStr">
        <is>
          <t>Clinical Nurse Specialist</t>
        </is>
      </c>
      <c r="D1226" s="11" t="inlineStr">
        <is>
          <t>NSW Nurse EA</t>
        </is>
      </c>
      <c r="E1226" s="11" t="inlineStr">
        <is>
          <t>PP - Part-time Waged</t>
        </is>
      </c>
      <c r="F1226" s="11" t="inlineStr">
        <is>
          <t>IVFA</t>
        </is>
      </c>
      <c r="G1226" s="11" t="inlineStr">
        <is>
          <t>New South Wales</t>
        </is>
      </c>
      <c r="H1226" s="13" t="inlineStr">
        <is>
          <t>57.00</t>
        </is>
      </c>
      <c r="I1226" s="11" t="inlineStr">
        <is>
          <t>IVF Australia Pty Ltd</t>
        </is>
      </c>
      <c r="J1226" s="14" t="n">
        <v>126.52</v>
      </c>
      <c r="K1226" s="13" t="inlineStr">
        <is>
          <t>126.52</t>
        </is>
      </c>
      <c r="L1226" s="12" t="n">
        <v>45949</v>
      </c>
      <c r="M1226" s="12" t="n">
        <v>44522</v>
      </c>
      <c r="N1226" s="13" t="inlineStr"/>
      <c r="O1226" s="13" t="inlineStr"/>
      <c r="P1226" s="12" t="n"/>
    </row>
    <row r="1227" ht="52.8" customHeight="1">
      <c r="A1227" s="15" t="inlineStr">
        <is>
          <t>AU22814</t>
        </is>
      </c>
      <c r="B1227" s="16" t="n">
        <v>45019</v>
      </c>
      <c r="C1227" s="15" t="inlineStr">
        <is>
          <t>Associate Nurse Unit Manager</t>
        </is>
      </c>
      <c r="D1227" s="15" t="inlineStr">
        <is>
          <t>QLD Nurse EA</t>
        </is>
      </c>
      <c r="E1227" s="15" t="inlineStr">
        <is>
          <t>FT - Full-time Waged</t>
        </is>
      </c>
      <c r="F1227" s="15" t="inlineStr">
        <is>
          <t>Day Hospitals</t>
        </is>
      </c>
      <c r="G1227" s="15" t="inlineStr">
        <is>
          <t>Queensland</t>
        </is>
      </c>
      <c r="H1227" s="17" t="inlineStr">
        <is>
          <t>76.00</t>
        </is>
      </c>
      <c r="I1227" s="15" t="inlineStr">
        <is>
          <t>Spring Hill Specialist Day Hospital</t>
        </is>
      </c>
      <c r="J1227" s="18" t="n">
        <v>126.92</v>
      </c>
      <c r="K1227" s="17" t="inlineStr">
        <is>
          <t>126.92</t>
        </is>
      </c>
      <c r="L1227" s="16" t="n">
        <v>45949</v>
      </c>
      <c r="M1227" s="16" t="n">
        <v>45019</v>
      </c>
      <c r="N1227" s="17" t="inlineStr"/>
      <c r="O1227" s="17" t="inlineStr"/>
      <c r="P1227" s="16" t="n"/>
    </row>
    <row r="1228" ht="66" customHeight="1">
      <c r="A1228" s="11" t="n">
        <v>30334</v>
      </c>
      <c r="B1228" s="12" t="n">
        <v>43115</v>
      </c>
      <c r="C1228" s="11" t="inlineStr">
        <is>
          <t>Registered Nurse</t>
        </is>
      </c>
      <c r="D1228" s="11" t="inlineStr">
        <is>
          <t>NSW Nurse EA</t>
        </is>
      </c>
      <c r="E1228" s="11" t="inlineStr">
        <is>
          <t>PP - Part-time Waged</t>
        </is>
      </c>
      <c r="F1228" s="11" t="inlineStr">
        <is>
          <t>Day Hospitals</t>
        </is>
      </c>
      <c r="G1228" s="11" t="inlineStr">
        <is>
          <t>New South Wales</t>
        </is>
      </c>
      <c r="H1228" s="13" t="inlineStr">
        <is>
          <t>64.00</t>
        </is>
      </c>
      <c r="I1228" s="11" t="inlineStr">
        <is>
          <t>North Shore Specialist Day Hospital Pty Ltd</t>
        </is>
      </c>
      <c r="J1228" s="14" t="n">
        <v>127.24</v>
      </c>
      <c r="K1228" s="13" t="inlineStr">
        <is>
          <t>127.24</t>
        </is>
      </c>
      <c r="L1228" s="12" t="n">
        <v>45949</v>
      </c>
      <c r="M1228" s="12" t="n">
        <v>43115</v>
      </c>
      <c r="N1228" s="13" t="inlineStr"/>
      <c r="O1228" s="13" t="inlineStr"/>
      <c r="P1228" s="12" t="n"/>
    </row>
    <row r="1229" ht="52.8" customHeight="1">
      <c r="A1229" s="15" t="n">
        <v>20893</v>
      </c>
      <c r="B1229" s="16" t="n">
        <v>44536</v>
      </c>
      <c r="C1229" s="15" t="inlineStr">
        <is>
          <t>Marketing Specialist</t>
        </is>
      </c>
      <c r="D1229" s="15" t="inlineStr">
        <is>
          <t>Common Law Employment Contract</t>
        </is>
      </c>
      <c r="E1229" s="15" t="inlineStr">
        <is>
          <t>FP - Full-time Salaried</t>
        </is>
      </c>
      <c r="F1229" s="15" t="inlineStr">
        <is>
          <t>Corporate Services</t>
        </is>
      </c>
      <c r="G1229" s="15" t="inlineStr">
        <is>
          <t>New South Wales</t>
        </is>
      </c>
      <c r="H1229" s="17" t="inlineStr">
        <is>
          <t>76.00</t>
        </is>
      </c>
      <c r="I1229" s="15" t="inlineStr">
        <is>
          <t>IVF Australia Pty Ltd</t>
        </is>
      </c>
      <c r="J1229" s="18" t="n">
        <v>127.68</v>
      </c>
      <c r="K1229" s="17" t="inlineStr">
        <is>
          <t>127.68</t>
        </is>
      </c>
      <c r="L1229" s="16" t="n">
        <v>45949</v>
      </c>
      <c r="M1229" s="16" t="n">
        <v>44536</v>
      </c>
      <c r="N1229" s="17" t="inlineStr"/>
      <c r="O1229" s="17" t="inlineStr"/>
      <c r="P1229" s="16" t="n"/>
    </row>
    <row r="1230" ht="39.6" customHeight="1">
      <c r="A1230" s="11" t="n">
        <v>20802</v>
      </c>
      <c r="B1230" s="12" t="n">
        <v>44124</v>
      </c>
      <c r="C1230" s="11" t="inlineStr">
        <is>
          <t>Registered Nurse</t>
        </is>
      </c>
      <c r="D1230" s="11" t="inlineStr">
        <is>
          <t>NSW Nurse EA</t>
        </is>
      </c>
      <c r="E1230" s="11" t="inlineStr">
        <is>
          <t>PP - Part-time Waged</t>
        </is>
      </c>
      <c r="F1230" s="11" t="inlineStr">
        <is>
          <t>IVFA</t>
        </is>
      </c>
      <c r="G1230" s="11" t="inlineStr">
        <is>
          <t>New South Wales</t>
        </is>
      </c>
      <c r="H1230" s="13" t="inlineStr">
        <is>
          <t>57.00</t>
        </is>
      </c>
      <c r="I1230" s="11" t="inlineStr">
        <is>
          <t>IVF Australia Pty Ltd</t>
        </is>
      </c>
      <c r="J1230" s="14" t="n">
        <v>128.18</v>
      </c>
      <c r="K1230" s="13" t="inlineStr">
        <is>
          <t>128.18</t>
        </is>
      </c>
      <c r="L1230" s="12" t="n">
        <v>45949</v>
      </c>
      <c r="M1230" s="12" t="n">
        <v>44124</v>
      </c>
      <c r="N1230" s="13" t="inlineStr"/>
      <c r="O1230" s="13" t="inlineStr"/>
      <c r="P1230" s="12" t="n"/>
    </row>
    <row r="1231" ht="39.6" customHeight="1">
      <c r="A1231" s="15" t="n">
        <v>40036</v>
      </c>
      <c r="B1231" s="16" t="n">
        <v>40879</v>
      </c>
      <c r="C1231" s="15" t="inlineStr">
        <is>
          <t>Administration Team Leader</t>
        </is>
      </c>
      <c r="D1231" s="15" t="inlineStr">
        <is>
          <t>NSW Support Services EA</t>
        </is>
      </c>
      <c r="E1231" s="15" t="inlineStr">
        <is>
          <t>FT - Full-time Waged</t>
        </is>
      </c>
      <c r="F1231" s="15" t="inlineStr">
        <is>
          <t>Day Hospitals</t>
        </is>
      </c>
      <c r="G1231" s="15" t="inlineStr">
        <is>
          <t>New South Wales</t>
        </is>
      </c>
      <c r="H1231" s="17" t="inlineStr">
        <is>
          <t>76.00</t>
        </is>
      </c>
      <c r="I1231" s="15" t="inlineStr">
        <is>
          <t>City West Day Surgery</t>
        </is>
      </c>
      <c r="J1231" s="18" t="n">
        <v>380.14</v>
      </c>
      <c r="K1231" s="17" t="inlineStr">
        <is>
          <t>128.59</t>
        </is>
      </c>
      <c r="L1231" s="16" t="n">
        <v>45949</v>
      </c>
      <c r="M1231" s="16" t="n">
        <v>44532</v>
      </c>
      <c r="N1231" s="17" t="inlineStr">
        <is>
          <t>251.55</t>
        </is>
      </c>
      <c r="O1231" s="17" t="inlineStr"/>
      <c r="P1231" s="16" t="n"/>
    </row>
    <row r="1232" ht="66" customHeight="1">
      <c r="A1232" s="11" t="n">
        <v>50092</v>
      </c>
      <c r="B1232" s="12" t="n">
        <v>42478</v>
      </c>
      <c r="C1232" s="11" t="inlineStr">
        <is>
          <t>Registered Nurse</t>
        </is>
      </c>
      <c r="D1232" s="11" t="inlineStr">
        <is>
          <t>NSW Nurse EA</t>
        </is>
      </c>
      <c r="E1232" s="11" t="inlineStr">
        <is>
          <t>PP - Part-time Waged</t>
        </is>
      </c>
      <c r="F1232" s="11" t="inlineStr">
        <is>
          <t>Day Hospitals</t>
        </is>
      </c>
      <c r="G1232" s="11" t="inlineStr">
        <is>
          <t>New South Wales</t>
        </is>
      </c>
      <c r="H1232" s="13" t="inlineStr">
        <is>
          <t>15.20</t>
        </is>
      </c>
      <c r="I1232" s="11" t="inlineStr">
        <is>
          <t>Alexandria Specialist Day Hospital Pty Ltd</t>
        </is>
      </c>
      <c r="J1232" s="14" t="n">
        <v>128.59</v>
      </c>
      <c r="K1232" s="13" t="inlineStr">
        <is>
          <t>128.59</t>
        </is>
      </c>
      <c r="L1232" s="12" t="n">
        <v>45949</v>
      </c>
      <c r="M1232" s="12" t="n">
        <v>42478</v>
      </c>
      <c r="N1232" s="13" t="inlineStr"/>
      <c r="O1232" s="13" t="inlineStr"/>
      <c r="P1232" s="12" t="n"/>
    </row>
    <row r="1233" ht="52.8" customHeight="1">
      <c r="A1233" s="15" t="n">
        <v>61012</v>
      </c>
      <c r="B1233" s="16" t="n">
        <v>44494</v>
      </c>
      <c r="C1233" s="15" t="inlineStr">
        <is>
          <t>Service Desk Operator</t>
        </is>
      </c>
      <c r="D1233" s="15" t="inlineStr">
        <is>
          <t>Common Law Employment Contract</t>
        </is>
      </c>
      <c r="E1233" s="15" t="inlineStr">
        <is>
          <t>FP - Full-time Salaried</t>
        </is>
      </c>
      <c r="F1233" s="15" t="inlineStr">
        <is>
          <t>Corporate Services</t>
        </is>
      </c>
      <c r="G1233" s="15" t="inlineStr">
        <is>
          <t>Queensland</t>
        </is>
      </c>
      <c r="H1233" s="17" t="inlineStr">
        <is>
          <t>76.00</t>
        </is>
      </c>
      <c r="I1233" s="15" t="inlineStr">
        <is>
          <t>IVF Australia Pty Ltd</t>
        </is>
      </c>
      <c r="J1233" s="18" t="n">
        <v>128.85</v>
      </c>
      <c r="K1233" s="17" t="inlineStr">
        <is>
          <t>128.85</t>
        </is>
      </c>
      <c r="L1233" s="16" t="n">
        <v>45949</v>
      </c>
      <c r="M1233" s="16" t="n">
        <v>44494</v>
      </c>
      <c r="N1233" s="17" t="inlineStr"/>
      <c r="O1233" s="17" t="inlineStr"/>
      <c r="P1233" s="16" t="n"/>
    </row>
    <row r="1234" ht="39.6" customHeight="1">
      <c r="A1234" s="11" t="n">
        <v>20771</v>
      </c>
      <c r="B1234" s="12" t="n">
        <v>44053</v>
      </c>
      <c r="C1234" s="11" t="inlineStr">
        <is>
          <t>Andrologist</t>
        </is>
      </c>
      <c r="D1234" s="11" t="inlineStr">
        <is>
          <t>IVFA Scientists EA</t>
        </is>
      </c>
      <c r="E1234" s="11" t="inlineStr">
        <is>
          <t>FT - Full-time Waged</t>
        </is>
      </c>
      <c r="F1234" s="11" t="inlineStr">
        <is>
          <t>IVFA</t>
        </is>
      </c>
      <c r="G1234" s="11" t="inlineStr">
        <is>
          <t>New South Wales</t>
        </is>
      </c>
      <c r="H1234" s="13" t="inlineStr">
        <is>
          <t>76.00</t>
        </is>
      </c>
      <c r="I1234" s="11" t="inlineStr">
        <is>
          <t>IVF Australia Pty Ltd</t>
        </is>
      </c>
      <c r="J1234" s="14" t="n">
        <v>129.1</v>
      </c>
      <c r="K1234" s="13" t="inlineStr">
        <is>
          <t>129.10</t>
        </is>
      </c>
      <c r="L1234" s="12" t="n">
        <v>45949</v>
      </c>
      <c r="M1234" s="12" t="n">
        <v>44053</v>
      </c>
      <c r="N1234" s="13" t="inlineStr"/>
      <c r="O1234" s="13" t="inlineStr"/>
      <c r="P1234" s="12" t="n"/>
    </row>
    <row r="1235" ht="39.6" customHeight="1">
      <c r="A1235" s="15" t="n">
        <v>20885</v>
      </c>
      <c r="B1235" s="16" t="n">
        <v>44515</v>
      </c>
      <c r="C1235" s="15" t="inlineStr">
        <is>
          <t>Administration</t>
        </is>
      </c>
      <c r="D1235" s="15" t="inlineStr">
        <is>
          <t>NSW Support Services EA</t>
        </is>
      </c>
      <c r="E1235" s="15" t="inlineStr">
        <is>
          <t>FT - Full-time Waged</t>
        </is>
      </c>
      <c r="F1235" s="15" t="inlineStr">
        <is>
          <t>IVFA</t>
        </is>
      </c>
      <c r="G1235" s="15" t="inlineStr">
        <is>
          <t>New South Wales</t>
        </is>
      </c>
      <c r="H1235" s="17" t="inlineStr">
        <is>
          <t>76.00</t>
        </is>
      </c>
      <c r="I1235" s="15" t="inlineStr">
        <is>
          <t>IVF Australia Pty Ltd</t>
        </is>
      </c>
      <c r="J1235" s="18" t="n">
        <v>129.28</v>
      </c>
      <c r="K1235" s="17" t="inlineStr">
        <is>
          <t>129.28</t>
        </is>
      </c>
      <c r="L1235" s="16" t="n">
        <v>45949</v>
      </c>
      <c r="M1235" s="16" t="n">
        <v>44515</v>
      </c>
      <c r="N1235" s="17" t="inlineStr"/>
      <c r="O1235" s="17" t="inlineStr"/>
      <c r="P1235" s="16" t="n"/>
    </row>
    <row r="1236" ht="39.6" customHeight="1">
      <c r="A1236" s="11" t="n">
        <v>20883</v>
      </c>
      <c r="B1236" s="12" t="n">
        <v>44515</v>
      </c>
      <c r="C1236" s="11" t="inlineStr">
        <is>
          <t>Territory Administration Manager</t>
        </is>
      </c>
      <c r="D1236" s="11" t="inlineStr">
        <is>
          <t>NSW Support Services EA</t>
        </is>
      </c>
      <c r="E1236" s="11" t="inlineStr">
        <is>
          <t>FT - Full-time Waged</t>
        </is>
      </c>
      <c r="F1236" s="11" t="inlineStr">
        <is>
          <t>IVFA</t>
        </is>
      </c>
      <c r="G1236" s="11" t="inlineStr">
        <is>
          <t>New South Wales</t>
        </is>
      </c>
      <c r="H1236" s="13" t="inlineStr">
        <is>
          <t>76.00</t>
        </is>
      </c>
      <c r="I1236" s="11" t="inlineStr">
        <is>
          <t>IVF Australia Pty Ltd</t>
        </is>
      </c>
      <c r="J1236" s="14" t="n">
        <v>130.05</v>
      </c>
      <c r="K1236" s="13" t="inlineStr">
        <is>
          <t>130.05</t>
        </is>
      </c>
      <c r="L1236" s="12" t="n">
        <v>45949</v>
      </c>
      <c r="M1236" s="12" t="n">
        <v>44515</v>
      </c>
      <c r="N1236" s="13" t="inlineStr"/>
      <c r="O1236" s="13" t="inlineStr"/>
      <c r="P1236" s="12" t="n"/>
    </row>
    <row r="1237" ht="66" customHeight="1">
      <c r="A1237" s="15" t="inlineStr">
        <is>
          <t>AU23729</t>
        </is>
      </c>
      <c r="B1237" s="16" t="n">
        <v>45873</v>
      </c>
      <c r="C1237" s="15" t="inlineStr">
        <is>
          <t>Director of Nursing</t>
        </is>
      </c>
      <c r="D1237" s="15" t="inlineStr">
        <is>
          <t>NSW Nurse EA</t>
        </is>
      </c>
      <c r="E1237" s="15" t="inlineStr">
        <is>
          <t>FT - Full-time Waged</t>
        </is>
      </c>
      <c r="F1237" s="15" t="inlineStr">
        <is>
          <t>Day Hospitals</t>
        </is>
      </c>
      <c r="G1237" s="15" t="inlineStr">
        <is>
          <t>New South Wales</t>
        </is>
      </c>
      <c r="H1237" s="17" t="inlineStr">
        <is>
          <t>76.00</t>
        </is>
      </c>
      <c r="I1237" s="15" t="inlineStr">
        <is>
          <t>Alexandria Specialist Day Hospital Pty Ltd</t>
        </is>
      </c>
      <c r="J1237" s="18" t="n">
        <v>130.4</v>
      </c>
      <c r="K1237" s="17" t="inlineStr">
        <is>
          <t>130.40</t>
        </is>
      </c>
      <c r="L1237" s="16" t="n">
        <v>45949</v>
      </c>
      <c r="M1237" s="16" t="n">
        <v>44489</v>
      </c>
      <c r="N1237" s="17" t="inlineStr"/>
      <c r="O1237" s="17" t="inlineStr"/>
      <c r="P1237" s="16" t="n"/>
    </row>
    <row r="1238" ht="66" customHeight="1">
      <c r="A1238" s="11" t="n">
        <v>50127</v>
      </c>
      <c r="B1238" s="12" t="n">
        <v>43528</v>
      </c>
      <c r="C1238" s="11" t="inlineStr">
        <is>
          <t>Registered Nurse</t>
        </is>
      </c>
      <c r="D1238" s="11" t="inlineStr">
        <is>
          <t>NSW Nurse EA</t>
        </is>
      </c>
      <c r="E1238" s="11" t="inlineStr">
        <is>
          <t>CA - Casual</t>
        </is>
      </c>
      <c r="F1238" s="11" t="inlineStr">
        <is>
          <t>Day Hospitals</t>
        </is>
      </c>
      <c r="G1238" s="11" t="inlineStr">
        <is>
          <t>New South Wales</t>
        </is>
      </c>
      <c r="H1238" s="13" t="inlineStr"/>
      <c r="I1238" s="11" t="inlineStr">
        <is>
          <t>Alexandria Specialist Day Hospital Pty Ltd</t>
        </is>
      </c>
      <c r="J1238" s="14" t="n">
        <v>131.01</v>
      </c>
      <c r="K1238" s="13" t="inlineStr">
        <is>
          <t>131.01</t>
        </is>
      </c>
      <c r="L1238" s="12" t="n">
        <v>45949</v>
      </c>
      <c r="M1238" s="12" t="n">
        <v>43528</v>
      </c>
      <c r="N1238" s="13" t="inlineStr"/>
      <c r="O1238" s="13" t="inlineStr"/>
      <c r="P1238" s="12" t="n"/>
    </row>
    <row r="1239" ht="52.8" customHeight="1">
      <c r="A1239" s="15" t="n">
        <v>20263</v>
      </c>
      <c r="B1239" s="16" t="n">
        <v>40854</v>
      </c>
      <c r="C1239" s="15" t="inlineStr">
        <is>
          <t>Fertility Laboratory Director</t>
        </is>
      </c>
      <c r="D1239" s="15" t="inlineStr">
        <is>
          <t>Common Law Employment Contract</t>
        </is>
      </c>
      <c r="E1239" s="15" t="inlineStr">
        <is>
          <t>FT - Full-time Waged</t>
        </is>
      </c>
      <c r="F1239" s="15" t="inlineStr">
        <is>
          <t>IVFA</t>
        </is>
      </c>
      <c r="G1239" s="15" t="inlineStr">
        <is>
          <t>New South Wales</t>
        </is>
      </c>
      <c r="H1239" s="17" t="inlineStr">
        <is>
          <t>76.00</t>
        </is>
      </c>
      <c r="I1239" s="15" t="inlineStr">
        <is>
          <t>IVF Australia Pty Ltd</t>
        </is>
      </c>
      <c r="J1239" s="18" t="n">
        <v>71.01000000000001</v>
      </c>
      <c r="K1239" s="17" t="inlineStr">
        <is>
          <t>132.68</t>
        </is>
      </c>
      <c r="L1239" s="16" t="n">
        <v>45949</v>
      </c>
      <c r="M1239" s="16" t="n">
        <v>44507</v>
      </c>
      <c r="N1239" s="17" t="inlineStr">
        <is>
          <t>329.33</t>
        </is>
      </c>
      <c r="O1239" s="17" t="inlineStr">
        <is>
          <t>391.00</t>
        </is>
      </c>
      <c r="P1239" s="16" t="n"/>
    </row>
    <row r="1240" ht="66" customHeight="1">
      <c r="A1240" s="11" t="n">
        <v>80204</v>
      </c>
      <c r="B1240" s="12" t="n">
        <v>42394</v>
      </c>
      <c r="C1240" s="11" t="inlineStr">
        <is>
          <t>Senior Embryologist/Quality Management</t>
        </is>
      </c>
      <c r="D1240" s="11" t="inlineStr">
        <is>
          <t>QLD Scientists EA</t>
        </is>
      </c>
      <c r="E1240" s="11" t="inlineStr">
        <is>
          <t>PP - Part-time Waged</t>
        </is>
      </c>
      <c r="F1240" s="11" t="inlineStr">
        <is>
          <t>Queensland Fertility Group</t>
        </is>
      </c>
      <c r="G1240" s="11" t="inlineStr">
        <is>
          <t>Tasmania</t>
        </is>
      </c>
      <c r="H1240" s="13" t="inlineStr">
        <is>
          <t>51.20</t>
        </is>
      </c>
      <c r="I1240" s="11" t="inlineStr">
        <is>
          <t>Queensland Fertility Group Pty Ltd</t>
        </is>
      </c>
      <c r="J1240" s="14" t="n">
        <v>132.96</v>
      </c>
      <c r="K1240" s="13" t="inlineStr">
        <is>
          <t>132.96</t>
        </is>
      </c>
      <c r="L1240" s="12" t="n">
        <v>45949</v>
      </c>
      <c r="M1240" s="12" t="n">
        <v>42394</v>
      </c>
      <c r="N1240" s="13" t="inlineStr"/>
      <c r="O1240" s="13" t="inlineStr"/>
      <c r="P1240" s="12" t="n"/>
    </row>
    <row r="1241" ht="52.8" customHeight="1">
      <c r="A1241" s="15" t="n">
        <v>20869</v>
      </c>
      <c r="B1241" s="16" t="n">
        <v>44389</v>
      </c>
      <c r="C1241" s="15" t="inlineStr">
        <is>
          <t>Carpark Concierge</t>
        </is>
      </c>
      <c r="D1241" s="15" t="inlineStr">
        <is>
          <t>Common Law Employment Contract</t>
        </is>
      </c>
      <c r="E1241" s="15" t="inlineStr">
        <is>
          <t>FT - Full-time Waged</t>
        </is>
      </c>
      <c r="F1241" s="15" t="inlineStr">
        <is>
          <t>IVFA</t>
        </is>
      </c>
      <c r="G1241" s="15" t="inlineStr">
        <is>
          <t>New South Wales</t>
        </is>
      </c>
      <c r="H1241" s="17" t="inlineStr">
        <is>
          <t>76.00</t>
        </is>
      </c>
      <c r="I1241" s="15" t="inlineStr">
        <is>
          <t>IVF Australia Pty Ltd</t>
        </is>
      </c>
      <c r="J1241" s="18" t="n">
        <v>133.34</v>
      </c>
      <c r="K1241" s="17" t="inlineStr">
        <is>
          <t>133.34</t>
        </is>
      </c>
      <c r="L1241" s="16" t="n">
        <v>45949</v>
      </c>
      <c r="M1241" s="16" t="n">
        <v>44389</v>
      </c>
      <c r="N1241" s="17" t="inlineStr"/>
      <c r="O1241" s="17" t="inlineStr"/>
      <c r="P1241" s="16" t="n"/>
    </row>
    <row r="1242" ht="52.8" customHeight="1">
      <c r="A1242" s="11" t="inlineStr">
        <is>
          <t>AU22624</t>
        </is>
      </c>
      <c r="B1242" s="12" t="n">
        <v>44865</v>
      </c>
      <c r="C1242" s="11" t="inlineStr">
        <is>
          <t>Registered Nurse</t>
        </is>
      </c>
      <c r="D1242" s="11" t="inlineStr">
        <is>
          <t>QLD Nurse EA</t>
        </is>
      </c>
      <c r="E1242" s="11" t="inlineStr">
        <is>
          <t>FT - Full-time Waged</t>
        </is>
      </c>
      <c r="F1242" s="11" t="inlineStr">
        <is>
          <t>Queensland Fertility Group</t>
        </is>
      </c>
      <c r="G1242" s="11" t="inlineStr">
        <is>
          <t>Queensland</t>
        </is>
      </c>
      <c r="H1242" s="13" t="inlineStr">
        <is>
          <t>76.00</t>
        </is>
      </c>
      <c r="I1242" s="11" t="inlineStr">
        <is>
          <t>Queensland Fertility Group Pty Ltd</t>
        </is>
      </c>
      <c r="J1242" s="14" t="n">
        <v>133.81</v>
      </c>
      <c r="K1242" s="13" t="inlineStr">
        <is>
          <t>133.81</t>
        </is>
      </c>
      <c r="L1242" s="12" t="n">
        <v>45949</v>
      </c>
      <c r="M1242" s="12" t="n">
        <v>44865</v>
      </c>
      <c r="N1242" s="13" t="inlineStr"/>
      <c r="O1242" s="13" t="inlineStr"/>
      <c r="P1242" s="12" t="n"/>
    </row>
    <row r="1243" ht="66" customHeight="1">
      <c r="A1243" s="15" t="n">
        <v>40144</v>
      </c>
      <c r="B1243" s="16" t="n">
        <v>44468</v>
      </c>
      <c r="C1243" s="15" t="inlineStr">
        <is>
          <t>Director of Nursing-City West and Liverpool</t>
        </is>
      </c>
      <c r="D1243" s="15" t="inlineStr">
        <is>
          <t>NSW Nurse EA</t>
        </is>
      </c>
      <c r="E1243" s="15" t="inlineStr">
        <is>
          <t>FT - Full-time Waged</t>
        </is>
      </c>
      <c r="F1243" s="15" t="inlineStr">
        <is>
          <t>Day Hospitals</t>
        </is>
      </c>
      <c r="G1243" s="15" t="inlineStr">
        <is>
          <t>New South Wales</t>
        </is>
      </c>
      <c r="H1243" s="17" t="inlineStr">
        <is>
          <t>76.00</t>
        </is>
      </c>
      <c r="I1243" s="15" t="inlineStr">
        <is>
          <t>City West Day Surgery</t>
        </is>
      </c>
      <c r="J1243" s="18" t="n">
        <v>134.11</v>
      </c>
      <c r="K1243" s="17" t="inlineStr">
        <is>
          <t>134.11</t>
        </is>
      </c>
      <c r="L1243" s="16" t="n">
        <v>45949</v>
      </c>
      <c r="M1243" s="16" t="n">
        <v>44468</v>
      </c>
      <c r="N1243" s="17" t="inlineStr"/>
      <c r="O1243" s="17" t="inlineStr"/>
      <c r="P1243" s="16" t="n"/>
    </row>
    <row r="1244" ht="52.8" customHeight="1">
      <c r="A1244" s="11" t="n">
        <v>20873</v>
      </c>
      <c r="B1244" s="12" t="n">
        <v>44455</v>
      </c>
      <c r="C1244" s="11" t="inlineStr">
        <is>
          <t>Head of Finance-QFG &amp; VHSD</t>
        </is>
      </c>
      <c r="D1244" s="11" t="inlineStr">
        <is>
          <t>Common Law Employment Contract</t>
        </is>
      </c>
      <c r="E1244" s="11" t="inlineStr">
        <is>
          <t>FP - Full-time Salaried</t>
        </is>
      </c>
      <c r="F1244" s="11" t="inlineStr">
        <is>
          <t>Corporate Services</t>
        </is>
      </c>
      <c r="G1244" s="11" t="inlineStr">
        <is>
          <t>Queensland</t>
        </is>
      </c>
      <c r="H1244" s="13" t="inlineStr">
        <is>
          <t>76.00</t>
        </is>
      </c>
      <c r="I1244" s="11" t="inlineStr">
        <is>
          <t>IVF Australia Pty Ltd</t>
        </is>
      </c>
      <c r="J1244" s="14" t="n">
        <v>135.16</v>
      </c>
      <c r="K1244" s="13" t="inlineStr">
        <is>
          <t>135.16</t>
        </is>
      </c>
      <c r="L1244" s="12" t="n">
        <v>45949</v>
      </c>
      <c r="M1244" s="12" t="n">
        <v>44455</v>
      </c>
      <c r="N1244" s="13" t="inlineStr"/>
      <c r="O1244" s="13" t="inlineStr"/>
      <c r="P1244" s="12" t="n"/>
    </row>
    <row r="1245" ht="66" customHeight="1">
      <c r="A1245" s="15" t="n">
        <v>50122</v>
      </c>
      <c r="B1245" s="16" t="n">
        <v>43388</v>
      </c>
      <c r="C1245" s="15" t="inlineStr">
        <is>
          <t>Registered Nurse</t>
        </is>
      </c>
      <c r="D1245" s="15" t="inlineStr">
        <is>
          <t>NSW Nurse EA</t>
        </is>
      </c>
      <c r="E1245" s="15" t="inlineStr">
        <is>
          <t>CA - Casual</t>
        </is>
      </c>
      <c r="F1245" s="15" t="inlineStr">
        <is>
          <t>Day Hospitals</t>
        </is>
      </c>
      <c r="G1245" s="15" t="inlineStr">
        <is>
          <t>New South Wales</t>
        </is>
      </c>
      <c r="H1245" s="17" t="inlineStr"/>
      <c r="I1245" s="15" t="inlineStr">
        <is>
          <t>Alexandria Specialist Day Hospital Pty Ltd</t>
        </is>
      </c>
      <c r="J1245" s="18" t="n">
        <v>135.19</v>
      </c>
      <c r="K1245" s="17" t="inlineStr">
        <is>
          <t>135.19</t>
        </is>
      </c>
      <c r="L1245" s="16" t="n">
        <v>45879</v>
      </c>
      <c r="M1245" s="16" t="n">
        <v>43388</v>
      </c>
      <c r="N1245" s="17" t="inlineStr"/>
      <c r="O1245" s="17" t="inlineStr"/>
      <c r="P1245" s="16" t="n"/>
    </row>
    <row r="1246" ht="52.8" customHeight="1">
      <c r="A1246" s="11" t="n">
        <v>70030</v>
      </c>
      <c r="B1246" s="12" t="n">
        <v>44307</v>
      </c>
      <c r="C1246" s="11" t="inlineStr">
        <is>
          <t>Registered Nurse</t>
        </is>
      </c>
      <c r="D1246" s="11" t="inlineStr">
        <is>
          <t>QLD Nurse EA</t>
        </is>
      </c>
      <c r="E1246" s="11" t="inlineStr">
        <is>
          <t>PP - Part-time Waged</t>
        </is>
      </c>
      <c r="F1246" s="11" t="inlineStr">
        <is>
          <t>Queensland Fertility Group</t>
        </is>
      </c>
      <c r="G1246" s="11" t="inlineStr">
        <is>
          <t>Queensland</t>
        </is>
      </c>
      <c r="H1246" s="13" t="inlineStr">
        <is>
          <t>45.60</t>
        </is>
      </c>
      <c r="I1246" s="11" t="inlineStr">
        <is>
          <t>Queensland Fertility Group Pty Ltd</t>
        </is>
      </c>
      <c r="J1246" s="14" t="n">
        <v>135.7</v>
      </c>
      <c r="K1246" s="13" t="inlineStr">
        <is>
          <t>135.70</t>
        </is>
      </c>
      <c r="L1246" s="12" t="n">
        <v>45949</v>
      </c>
      <c r="M1246" s="12" t="n">
        <v>44307</v>
      </c>
      <c r="N1246" s="13" t="inlineStr"/>
      <c r="O1246" s="13" t="inlineStr"/>
      <c r="P1246" s="12" t="n"/>
    </row>
    <row r="1247" ht="52.8" customHeight="1">
      <c r="A1247" s="15" t="n">
        <v>90139</v>
      </c>
      <c r="B1247" s="16" t="n">
        <v>44445</v>
      </c>
      <c r="C1247" s="15" t="inlineStr">
        <is>
          <t>Assistant Accountant</t>
        </is>
      </c>
      <c r="D1247" s="15" t="inlineStr">
        <is>
          <t>Common Law Employment Contract</t>
        </is>
      </c>
      <c r="E1247" s="15" t="inlineStr">
        <is>
          <t>FP - Full-time Salaried</t>
        </is>
      </c>
      <c r="F1247" s="15" t="inlineStr">
        <is>
          <t>Diagnostics</t>
        </is>
      </c>
      <c r="G1247" s="15" t="inlineStr">
        <is>
          <t>New South Wales</t>
        </is>
      </c>
      <c r="H1247" s="17" t="inlineStr">
        <is>
          <t>76.00</t>
        </is>
      </c>
      <c r="I1247" s="15" t="inlineStr">
        <is>
          <t>Virtus Health Specialist Diagnostics</t>
        </is>
      </c>
      <c r="J1247" s="18" t="n">
        <v>136.17</v>
      </c>
      <c r="K1247" s="17" t="inlineStr">
        <is>
          <t>136.17</t>
        </is>
      </c>
      <c r="L1247" s="16" t="n">
        <v>45949</v>
      </c>
      <c r="M1247" s="16" t="n">
        <v>44445</v>
      </c>
      <c r="N1247" s="17" t="inlineStr"/>
      <c r="O1247" s="17" t="inlineStr"/>
      <c r="P1247" s="16" t="n"/>
    </row>
    <row r="1248" ht="39.6" customHeight="1">
      <c r="A1248" s="11" t="n">
        <v>20867</v>
      </c>
      <c r="B1248" s="12" t="n">
        <v>44389</v>
      </c>
      <c r="C1248" s="11" t="inlineStr">
        <is>
          <t>Andrologist</t>
        </is>
      </c>
      <c r="D1248" s="11" t="inlineStr">
        <is>
          <t>IVFA Scientists EA</t>
        </is>
      </c>
      <c r="E1248" s="11" t="inlineStr">
        <is>
          <t>FT - Full-time Waged</t>
        </is>
      </c>
      <c r="F1248" s="11" t="inlineStr">
        <is>
          <t>IVFA</t>
        </is>
      </c>
      <c r="G1248" s="11" t="inlineStr">
        <is>
          <t>New South Wales</t>
        </is>
      </c>
      <c r="H1248" s="13" t="inlineStr">
        <is>
          <t>76.00</t>
        </is>
      </c>
      <c r="I1248" s="11" t="inlineStr">
        <is>
          <t>IVF Australia Pty Ltd</t>
        </is>
      </c>
      <c r="J1248" s="14" t="n">
        <v>136.69</v>
      </c>
      <c r="K1248" s="13" t="inlineStr">
        <is>
          <t>136.69</t>
        </is>
      </c>
      <c r="L1248" s="12" t="n">
        <v>45949</v>
      </c>
      <c r="M1248" s="12" t="n">
        <v>44389</v>
      </c>
      <c r="N1248" s="13" t="inlineStr"/>
      <c r="O1248" s="13" t="inlineStr"/>
      <c r="P1248" s="12" t="n"/>
    </row>
    <row r="1249" ht="66" customHeight="1">
      <c r="A1249" s="15" t="n">
        <v>50191</v>
      </c>
      <c r="B1249" s="16" t="n">
        <v>44225</v>
      </c>
      <c r="C1249" s="15" t="inlineStr">
        <is>
          <t>Registered Nurse</t>
        </is>
      </c>
      <c r="D1249" s="15" t="inlineStr">
        <is>
          <t>NSW Nurse EA</t>
        </is>
      </c>
      <c r="E1249" s="15" t="inlineStr">
        <is>
          <t>PP - Part-time Waged</t>
        </is>
      </c>
      <c r="F1249" s="15" t="inlineStr">
        <is>
          <t>Day Hospitals</t>
        </is>
      </c>
      <c r="G1249" s="15" t="inlineStr">
        <is>
          <t>New South Wales</t>
        </is>
      </c>
      <c r="H1249" s="17" t="inlineStr">
        <is>
          <t>30.40</t>
        </is>
      </c>
      <c r="I1249" s="15" t="inlineStr">
        <is>
          <t>Alexandria Specialist Day Hospital Pty Ltd</t>
        </is>
      </c>
      <c r="J1249" s="18" t="n">
        <v>137.34</v>
      </c>
      <c r="K1249" s="17" t="inlineStr">
        <is>
          <t>137.34</t>
        </is>
      </c>
      <c r="L1249" s="16" t="n">
        <v>45949</v>
      </c>
      <c r="M1249" s="16" t="n">
        <v>44225</v>
      </c>
      <c r="N1249" s="17" t="inlineStr"/>
      <c r="O1249" s="17" t="inlineStr"/>
      <c r="P1249" s="16" t="n"/>
    </row>
    <row r="1250" ht="39.6" customHeight="1">
      <c r="A1250" s="11" t="n">
        <v>20810</v>
      </c>
      <c r="B1250" s="12" t="n">
        <v>44151</v>
      </c>
      <c r="C1250" s="11" t="inlineStr">
        <is>
          <t>Registered Nurse</t>
        </is>
      </c>
      <c r="D1250" s="11" t="inlineStr">
        <is>
          <t>NSW Nurse EA</t>
        </is>
      </c>
      <c r="E1250" s="11" t="inlineStr">
        <is>
          <t>FT - Full-time Waged</t>
        </is>
      </c>
      <c r="F1250" s="11" t="inlineStr">
        <is>
          <t>IVFA</t>
        </is>
      </c>
      <c r="G1250" s="11" t="inlineStr">
        <is>
          <t>New South Wales</t>
        </is>
      </c>
      <c r="H1250" s="13" t="inlineStr">
        <is>
          <t>76.00</t>
        </is>
      </c>
      <c r="I1250" s="11" t="inlineStr">
        <is>
          <t>IVF Australia Pty Ltd</t>
        </is>
      </c>
      <c r="J1250" s="14" t="n">
        <v>137.79</v>
      </c>
      <c r="K1250" s="13" t="inlineStr">
        <is>
          <t>137.79</t>
        </is>
      </c>
      <c r="L1250" s="12" t="n">
        <v>45795</v>
      </c>
      <c r="M1250" s="12" t="n">
        <v>44151</v>
      </c>
      <c r="N1250" s="13" t="inlineStr"/>
      <c r="O1250" s="13" t="inlineStr"/>
      <c r="P1250" s="12" t="n"/>
    </row>
    <row r="1251" ht="39.6" customHeight="1">
      <c r="A1251" s="15" t="n">
        <v>20797</v>
      </c>
      <c r="B1251" s="16" t="n">
        <v>44116</v>
      </c>
      <c r="C1251" s="15" t="inlineStr">
        <is>
          <t>Clinical Nurse Specialist</t>
        </is>
      </c>
      <c r="D1251" s="15" t="inlineStr">
        <is>
          <t>NSW Nurse EA</t>
        </is>
      </c>
      <c r="E1251" s="15" t="inlineStr">
        <is>
          <t>PP - Part-time Waged</t>
        </is>
      </c>
      <c r="F1251" s="15" t="inlineStr">
        <is>
          <t>IVFA</t>
        </is>
      </c>
      <c r="G1251" s="15" t="inlineStr">
        <is>
          <t>New South Wales</t>
        </is>
      </c>
      <c r="H1251" s="17" t="inlineStr">
        <is>
          <t>57.00</t>
        </is>
      </c>
      <c r="I1251" s="15" t="inlineStr">
        <is>
          <t>IVF Australia Pty Ltd</t>
        </is>
      </c>
      <c r="J1251" s="18" t="n">
        <v>138.16</v>
      </c>
      <c r="K1251" s="17" t="inlineStr">
        <is>
          <t>138.16</t>
        </is>
      </c>
      <c r="L1251" s="16" t="n">
        <v>45949</v>
      </c>
      <c r="M1251" s="16" t="n">
        <v>44116</v>
      </c>
      <c r="N1251" s="17" t="inlineStr"/>
      <c r="O1251" s="17" t="inlineStr"/>
      <c r="P1251" s="16" t="n"/>
    </row>
    <row r="1252" ht="39.6" customHeight="1">
      <c r="A1252" s="11" t="n">
        <v>40116</v>
      </c>
      <c r="B1252" s="12" t="n">
        <v>43899</v>
      </c>
      <c r="C1252" s="11" t="inlineStr">
        <is>
          <t>CSSD Tech</t>
        </is>
      </c>
      <c r="D1252" s="11" t="inlineStr">
        <is>
          <t>NSW Support Services EA</t>
        </is>
      </c>
      <c r="E1252" s="11" t="inlineStr">
        <is>
          <t>PP - Part-time Waged</t>
        </is>
      </c>
      <c r="F1252" s="11" t="inlineStr">
        <is>
          <t>Day Hospitals</t>
        </is>
      </c>
      <c r="G1252" s="11" t="inlineStr">
        <is>
          <t>New South Wales</t>
        </is>
      </c>
      <c r="H1252" s="13" t="inlineStr">
        <is>
          <t>48.00</t>
        </is>
      </c>
      <c r="I1252" s="11" t="inlineStr">
        <is>
          <t>City West Day Surgery</t>
        </is>
      </c>
      <c r="J1252" s="14" t="n">
        <v>138.96</v>
      </c>
      <c r="K1252" s="13" t="inlineStr">
        <is>
          <t>138.96</t>
        </is>
      </c>
      <c r="L1252" s="12" t="n">
        <v>45949</v>
      </c>
      <c r="M1252" s="12" t="n">
        <v>43899</v>
      </c>
      <c r="N1252" s="13" t="inlineStr"/>
      <c r="O1252" s="13" t="inlineStr"/>
      <c r="P1252" s="12" t="n"/>
    </row>
    <row r="1253" ht="66" customHeight="1">
      <c r="A1253" s="15" t="n">
        <v>20836</v>
      </c>
      <c r="B1253" s="16" t="n">
        <v>44256</v>
      </c>
      <c r="C1253" s="15" t="inlineStr">
        <is>
          <t>Business Development Manager - Metro Sydney</t>
        </is>
      </c>
      <c r="D1253" s="15" t="inlineStr">
        <is>
          <t>Common Law Employment Contract</t>
        </is>
      </c>
      <c r="E1253" s="15" t="inlineStr">
        <is>
          <t>FP - Full-time Salaried</t>
        </is>
      </c>
      <c r="F1253" s="15" t="inlineStr">
        <is>
          <t>IVFA</t>
        </is>
      </c>
      <c r="G1253" s="15" t="inlineStr">
        <is>
          <t>New South Wales</t>
        </is>
      </c>
      <c r="H1253" s="17" t="inlineStr">
        <is>
          <t>76.00</t>
        </is>
      </c>
      <c r="I1253" s="15" t="inlineStr">
        <is>
          <t>IVF Australia Pty Ltd</t>
        </is>
      </c>
      <c r="J1253" s="18" t="n">
        <v>140.35</v>
      </c>
      <c r="K1253" s="17" t="inlineStr">
        <is>
          <t>140.35</t>
        </is>
      </c>
      <c r="L1253" s="16" t="n">
        <v>45949</v>
      </c>
      <c r="M1253" s="16" t="n">
        <v>44256</v>
      </c>
      <c r="N1253" s="17" t="inlineStr"/>
      <c r="O1253" s="17" t="inlineStr"/>
      <c r="P1253" s="16" t="n"/>
    </row>
    <row r="1254" ht="52.8" customHeight="1">
      <c r="A1254" s="11" t="n">
        <v>20250</v>
      </c>
      <c r="B1254" s="12" t="n">
        <v>40756</v>
      </c>
      <c r="C1254" s="11" t="inlineStr">
        <is>
          <t>Natinal Accounts Receivable Manager</t>
        </is>
      </c>
      <c r="D1254" s="11" t="inlineStr">
        <is>
          <t>Common Law Employment Contract</t>
        </is>
      </c>
      <c r="E1254" s="11" t="inlineStr">
        <is>
          <t>FP - Full-time Salaried</t>
        </is>
      </c>
      <c r="F1254" s="11" t="inlineStr">
        <is>
          <t>IVFA</t>
        </is>
      </c>
      <c r="G1254" s="11" t="inlineStr">
        <is>
          <t>New South Wales</t>
        </is>
      </c>
      <c r="H1254" s="13" t="inlineStr">
        <is>
          <t>76.00</t>
        </is>
      </c>
      <c r="I1254" s="11" t="inlineStr">
        <is>
          <t>IVF Australia Pty Ltd</t>
        </is>
      </c>
      <c r="J1254" s="14" t="n">
        <v>325.36</v>
      </c>
      <c r="K1254" s="13" t="inlineStr">
        <is>
          <t>140.43</t>
        </is>
      </c>
      <c r="L1254" s="12" t="n">
        <v>45949</v>
      </c>
      <c r="M1254" s="12" t="n">
        <v>44409</v>
      </c>
      <c r="N1254" s="13" t="inlineStr">
        <is>
          <t>329.33</t>
        </is>
      </c>
      <c r="O1254" s="13" t="inlineStr">
        <is>
          <t>144.40</t>
        </is>
      </c>
      <c r="P1254" s="12" t="n"/>
    </row>
    <row r="1255" ht="39.6" customHeight="1">
      <c r="A1255" s="15" t="n">
        <v>20864</v>
      </c>
      <c r="B1255" s="16" t="n">
        <v>44377</v>
      </c>
      <c r="C1255" s="15" t="inlineStr">
        <is>
          <t>Embryologist</t>
        </is>
      </c>
      <c r="D1255" s="15" t="inlineStr">
        <is>
          <t>IVFA Scientists EA</t>
        </is>
      </c>
      <c r="E1255" s="15" t="inlineStr">
        <is>
          <t>FT - Full-time Waged</t>
        </is>
      </c>
      <c r="F1255" s="15" t="inlineStr">
        <is>
          <t>The Fertility Centre</t>
        </is>
      </c>
      <c r="G1255" s="15" t="inlineStr">
        <is>
          <t>New South Wales</t>
        </is>
      </c>
      <c r="H1255" s="17" t="inlineStr">
        <is>
          <t>76.00</t>
        </is>
      </c>
      <c r="I1255" s="15" t="inlineStr">
        <is>
          <t>IVF Australia Pty Ltd</t>
        </is>
      </c>
      <c r="J1255" s="18" t="n">
        <v>140.49</v>
      </c>
      <c r="K1255" s="17" t="inlineStr">
        <is>
          <t>140.49</t>
        </is>
      </c>
      <c r="L1255" s="16" t="n">
        <v>45949</v>
      </c>
      <c r="M1255" s="16" t="n">
        <v>44377</v>
      </c>
      <c r="N1255" s="17" t="inlineStr"/>
      <c r="O1255" s="17" t="inlineStr"/>
      <c r="P1255" s="16" t="n"/>
    </row>
    <row r="1256" ht="39.6" customHeight="1">
      <c r="A1256" s="11" t="n">
        <v>20874</v>
      </c>
      <c r="B1256" s="12" t="n">
        <v>44396</v>
      </c>
      <c r="C1256" s="11" t="inlineStr">
        <is>
          <t>Laboratory Supervisor</t>
        </is>
      </c>
      <c r="D1256" s="11" t="inlineStr">
        <is>
          <t>Lab Supervisors Pay Policy</t>
        </is>
      </c>
      <c r="E1256" s="11" t="inlineStr">
        <is>
          <t>FT - Full-time Waged</t>
        </is>
      </c>
      <c r="F1256" s="11" t="inlineStr">
        <is>
          <t>The Fertility Centre</t>
        </is>
      </c>
      <c r="G1256" s="11" t="inlineStr">
        <is>
          <t>New South Wales</t>
        </is>
      </c>
      <c r="H1256" s="13" t="inlineStr">
        <is>
          <t>76.00</t>
        </is>
      </c>
      <c r="I1256" s="11" t="inlineStr">
        <is>
          <t>IVF Australia Pty Ltd</t>
        </is>
      </c>
      <c r="J1256" s="14" t="n">
        <v>140.74</v>
      </c>
      <c r="K1256" s="13" t="inlineStr">
        <is>
          <t>140.74</t>
        </is>
      </c>
      <c r="L1256" s="12" t="n">
        <v>45949</v>
      </c>
      <c r="M1256" s="12" t="n">
        <v>44396</v>
      </c>
      <c r="N1256" s="13" t="inlineStr"/>
      <c r="O1256" s="13" t="inlineStr"/>
      <c r="P1256" s="12" t="n"/>
    </row>
    <row r="1257" ht="66" customHeight="1">
      <c r="A1257" s="15" t="n">
        <v>50166</v>
      </c>
      <c r="B1257" s="16" t="n">
        <v>44013</v>
      </c>
      <c r="C1257" s="15" t="inlineStr">
        <is>
          <t>Registered Nurse</t>
        </is>
      </c>
      <c r="D1257" s="15" t="inlineStr">
        <is>
          <t>NSW Nurse EA</t>
        </is>
      </c>
      <c r="E1257" s="15" t="inlineStr">
        <is>
          <t>FT - Full-time Waged</t>
        </is>
      </c>
      <c r="F1257" s="15" t="inlineStr">
        <is>
          <t>Day Hospitals</t>
        </is>
      </c>
      <c r="G1257" s="15" t="inlineStr">
        <is>
          <t>New South Wales</t>
        </is>
      </c>
      <c r="H1257" s="17" t="inlineStr">
        <is>
          <t>45.60</t>
        </is>
      </c>
      <c r="I1257" s="15" t="inlineStr">
        <is>
          <t>Alexandria Specialist Day Hospital Pty Ltd</t>
        </is>
      </c>
      <c r="J1257" s="18" t="n">
        <v>140.89</v>
      </c>
      <c r="K1257" s="17" t="inlineStr">
        <is>
          <t>140.89</t>
        </is>
      </c>
      <c r="L1257" s="16" t="n">
        <v>45949</v>
      </c>
      <c r="M1257" s="16" t="n">
        <v>44013</v>
      </c>
      <c r="N1257" s="17" t="inlineStr"/>
      <c r="O1257" s="17" t="inlineStr"/>
      <c r="P1257" s="16" t="n"/>
    </row>
    <row r="1258" ht="39.6" customHeight="1">
      <c r="A1258" s="11" t="n">
        <v>20849</v>
      </c>
      <c r="B1258" s="12" t="n">
        <v>44319</v>
      </c>
      <c r="C1258" s="11" t="inlineStr">
        <is>
          <t>Registered Nurse</t>
        </is>
      </c>
      <c r="D1258" s="11" t="inlineStr">
        <is>
          <t>NSW Nurse EA</t>
        </is>
      </c>
      <c r="E1258" s="11" t="inlineStr">
        <is>
          <t>FT - Full-time Waged</t>
        </is>
      </c>
      <c r="F1258" s="11" t="inlineStr">
        <is>
          <t>IVFA</t>
        </is>
      </c>
      <c r="G1258" s="11" t="inlineStr">
        <is>
          <t>New South Wales</t>
        </is>
      </c>
      <c r="H1258" s="13" t="inlineStr">
        <is>
          <t>76.00</t>
        </is>
      </c>
      <c r="I1258" s="11" t="inlineStr">
        <is>
          <t>IVF Australia Pty Ltd</t>
        </is>
      </c>
      <c r="J1258" s="14" t="n">
        <v>141.08</v>
      </c>
      <c r="K1258" s="13" t="inlineStr">
        <is>
          <t>141.08</t>
        </is>
      </c>
      <c r="L1258" s="12" t="n">
        <v>45949</v>
      </c>
      <c r="M1258" s="12" t="n">
        <v>44319</v>
      </c>
      <c r="N1258" s="13" t="inlineStr"/>
      <c r="O1258" s="13" t="inlineStr"/>
      <c r="P1258" s="12" t="n"/>
    </row>
    <row r="1259" ht="39.6" customHeight="1">
      <c r="A1259" s="15" t="n">
        <v>20865</v>
      </c>
      <c r="B1259" s="16" t="n">
        <v>44375</v>
      </c>
      <c r="C1259" s="15" t="inlineStr">
        <is>
          <t>Embryologist</t>
        </is>
      </c>
      <c r="D1259" s="15" t="inlineStr">
        <is>
          <t>IVFA Scientists EA</t>
        </is>
      </c>
      <c r="E1259" s="15" t="inlineStr">
        <is>
          <t>FT - Full-time Waged</t>
        </is>
      </c>
      <c r="F1259" s="15" t="inlineStr">
        <is>
          <t>IVFA</t>
        </is>
      </c>
      <c r="G1259" s="15" t="inlineStr">
        <is>
          <t>New South Wales</t>
        </is>
      </c>
      <c r="H1259" s="17" t="inlineStr">
        <is>
          <t>76.00</t>
        </is>
      </c>
      <c r="I1259" s="15" t="inlineStr">
        <is>
          <t>IVF Australia Pty Ltd</t>
        </is>
      </c>
      <c r="J1259" s="18" t="n">
        <v>141.13</v>
      </c>
      <c r="K1259" s="17" t="inlineStr">
        <is>
          <t>141.13</t>
        </is>
      </c>
      <c r="L1259" s="16" t="n">
        <v>45949</v>
      </c>
      <c r="M1259" s="16" t="n">
        <v>44375</v>
      </c>
      <c r="N1259" s="17" t="inlineStr"/>
      <c r="O1259" s="17" t="inlineStr"/>
      <c r="P1259" s="16" t="n"/>
    </row>
    <row r="1260" ht="52.8" customHeight="1">
      <c r="A1260" s="11" t="n">
        <v>80427</v>
      </c>
      <c r="B1260" s="12" t="n">
        <v>44396</v>
      </c>
      <c r="C1260" s="11" t="inlineStr">
        <is>
          <t>Finance Officer</t>
        </is>
      </c>
      <c r="D1260" s="11" t="inlineStr">
        <is>
          <t>Common Law Employment Contract</t>
        </is>
      </c>
      <c r="E1260" s="11" t="inlineStr">
        <is>
          <t>FP - Full-time Salaried</t>
        </is>
      </c>
      <c r="F1260" s="11" t="inlineStr">
        <is>
          <t>Queensland Fertility Group</t>
        </is>
      </c>
      <c r="G1260" s="11" t="inlineStr">
        <is>
          <t>Queensland</t>
        </is>
      </c>
      <c r="H1260" s="13" t="inlineStr">
        <is>
          <t>76.00</t>
        </is>
      </c>
      <c r="I1260" s="11" t="inlineStr">
        <is>
          <t>Queensland Fertility Group Pty Ltd</t>
        </is>
      </c>
      <c r="J1260" s="14" t="n">
        <v>141.87</v>
      </c>
      <c r="K1260" s="13" t="inlineStr">
        <is>
          <t>141.87</t>
        </is>
      </c>
      <c r="L1260" s="12" t="n">
        <v>45949</v>
      </c>
      <c r="M1260" s="12" t="n">
        <v>44396</v>
      </c>
      <c r="N1260" s="13" t="inlineStr"/>
      <c r="O1260" s="13" t="inlineStr"/>
      <c r="P1260" s="12" t="n"/>
    </row>
    <row r="1261" ht="52.8" customHeight="1">
      <c r="A1261" s="15" t="n">
        <v>60163</v>
      </c>
      <c r="B1261" s="16" t="n">
        <v>44088</v>
      </c>
      <c r="C1261" s="15" t="inlineStr">
        <is>
          <t>Registered Nurse</t>
        </is>
      </c>
      <c r="D1261" s="15" t="inlineStr">
        <is>
          <t>QLD Nurse EA</t>
        </is>
      </c>
      <c r="E1261" s="15" t="inlineStr">
        <is>
          <t>PP - Part-time Waged</t>
        </is>
      </c>
      <c r="F1261" s="15" t="inlineStr">
        <is>
          <t>Day Hospitals</t>
        </is>
      </c>
      <c r="G1261" s="15" t="inlineStr">
        <is>
          <t>Queensland</t>
        </is>
      </c>
      <c r="H1261" s="17" t="inlineStr">
        <is>
          <t>30.40</t>
        </is>
      </c>
      <c r="I1261" s="15" t="inlineStr">
        <is>
          <t>Spring Hill Specialist Day Hospital</t>
        </is>
      </c>
      <c r="J1261" s="18" t="n">
        <v>142.6</v>
      </c>
      <c r="K1261" s="17" t="inlineStr">
        <is>
          <t>142.60</t>
        </is>
      </c>
      <c r="L1261" s="16" t="n">
        <v>45949</v>
      </c>
      <c r="M1261" s="16" t="n">
        <v>44088</v>
      </c>
      <c r="N1261" s="17" t="inlineStr"/>
      <c r="O1261" s="17" t="inlineStr"/>
      <c r="P1261" s="16" t="n"/>
    </row>
    <row r="1262" ht="52.8" customHeight="1">
      <c r="A1262" s="11" t="n">
        <v>80315</v>
      </c>
      <c r="B1262" s="12" t="n">
        <v>43612</v>
      </c>
      <c r="C1262" s="11" t="inlineStr">
        <is>
          <t>Laboratory Technician</t>
        </is>
      </c>
      <c r="D1262" s="11" t="inlineStr">
        <is>
          <t>QLD Scientists EA</t>
        </is>
      </c>
      <c r="E1262" s="11" t="inlineStr">
        <is>
          <t>FT - Full-time Waged</t>
        </is>
      </c>
      <c r="F1262" s="11" t="inlineStr">
        <is>
          <t>The Fertility Centre</t>
        </is>
      </c>
      <c r="G1262" s="11" t="inlineStr">
        <is>
          <t>Queensland</t>
        </is>
      </c>
      <c r="H1262" s="13" t="inlineStr">
        <is>
          <t>76.00</t>
        </is>
      </c>
      <c r="I1262" s="11" t="inlineStr">
        <is>
          <t>Queensland Fertility Group Pty Ltd</t>
        </is>
      </c>
      <c r="J1262" s="14" t="n">
        <v>143.93</v>
      </c>
      <c r="K1262" s="13" t="inlineStr">
        <is>
          <t>143.93</t>
        </is>
      </c>
      <c r="L1262" s="12" t="n">
        <v>45949</v>
      </c>
      <c r="M1262" s="12" t="n">
        <v>43614</v>
      </c>
      <c r="N1262" s="13" t="inlineStr"/>
      <c r="O1262" s="13" t="inlineStr"/>
      <c r="P1262" s="12" t="n"/>
    </row>
    <row r="1263" ht="39.6" customHeight="1">
      <c r="A1263" s="15" t="n">
        <v>20860</v>
      </c>
      <c r="B1263" s="16" t="n">
        <v>44354</v>
      </c>
      <c r="C1263" s="15" t="inlineStr">
        <is>
          <t>Patients Support Officer</t>
        </is>
      </c>
      <c r="D1263" s="15" t="inlineStr">
        <is>
          <t>NSW Support Services EA</t>
        </is>
      </c>
      <c r="E1263" s="15" t="inlineStr">
        <is>
          <t>FT - Full-time Waged</t>
        </is>
      </c>
      <c r="F1263" s="15" t="inlineStr">
        <is>
          <t>IVFA</t>
        </is>
      </c>
      <c r="G1263" s="15" t="inlineStr">
        <is>
          <t>New South Wales</t>
        </is>
      </c>
      <c r="H1263" s="17" t="inlineStr">
        <is>
          <t>76.00</t>
        </is>
      </c>
      <c r="I1263" s="15" t="inlineStr">
        <is>
          <t>IVF Australia Pty Ltd</t>
        </is>
      </c>
      <c r="J1263" s="18" t="n">
        <v>144.47</v>
      </c>
      <c r="K1263" s="17" t="inlineStr">
        <is>
          <t>144.47</t>
        </is>
      </c>
      <c r="L1263" s="16" t="n">
        <v>45949</v>
      </c>
      <c r="M1263" s="16" t="n">
        <v>44354</v>
      </c>
      <c r="N1263" s="17" t="inlineStr"/>
      <c r="O1263" s="17" t="inlineStr"/>
      <c r="P1263" s="16" t="n"/>
    </row>
    <row r="1264" ht="39.6" customHeight="1">
      <c r="A1264" s="11" t="n">
        <v>20859</v>
      </c>
      <c r="B1264" s="12" t="n">
        <v>44354</v>
      </c>
      <c r="C1264" s="11" t="inlineStr">
        <is>
          <t>Medical Secretary</t>
        </is>
      </c>
      <c r="D1264" s="11" t="inlineStr">
        <is>
          <t>NSW Support Services EA</t>
        </is>
      </c>
      <c r="E1264" s="11" t="inlineStr">
        <is>
          <t>FT - Full-time Waged</t>
        </is>
      </c>
      <c r="F1264" s="11" t="inlineStr">
        <is>
          <t>IVFA</t>
        </is>
      </c>
      <c r="G1264" s="11" t="inlineStr">
        <is>
          <t>New South Wales</t>
        </is>
      </c>
      <c r="H1264" s="13" t="inlineStr">
        <is>
          <t>76.00</t>
        </is>
      </c>
      <c r="I1264" s="11" t="inlineStr">
        <is>
          <t>IVF Australia Pty Ltd</t>
        </is>
      </c>
      <c r="J1264" s="14" t="n">
        <v>144.7</v>
      </c>
      <c r="K1264" s="13" t="inlineStr">
        <is>
          <t>144.70</t>
        </is>
      </c>
      <c r="L1264" s="12" t="n">
        <v>45949</v>
      </c>
      <c r="M1264" s="12" t="n">
        <v>44354</v>
      </c>
      <c r="N1264" s="13" t="inlineStr"/>
      <c r="O1264" s="13" t="inlineStr"/>
      <c r="P1264" s="12" t="n"/>
    </row>
    <row r="1265" ht="39.6" customHeight="1">
      <c r="A1265" s="15" t="n">
        <v>20778</v>
      </c>
      <c r="B1265" s="16" t="n">
        <v>44060</v>
      </c>
      <c r="C1265" s="15" t="inlineStr">
        <is>
          <t>Embryologist</t>
        </is>
      </c>
      <c r="D1265" s="15" t="inlineStr">
        <is>
          <t>IVFA Scientists EA</t>
        </is>
      </c>
      <c r="E1265" s="15" t="inlineStr">
        <is>
          <t>FT - Full-time Waged</t>
        </is>
      </c>
      <c r="F1265" s="15" t="inlineStr">
        <is>
          <t>IVFA</t>
        </is>
      </c>
      <c r="G1265" s="15" t="inlineStr">
        <is>
          <t>New South Wales</t>
        </is>
      </c>
      <c r="H1265" s="17" t="inlineStr">
        <is>
          <t>60.80</t>
        </is>
      </c>
      <c r="I1265" s="15" t="inlineStr">
        <is>
          <t>IVF Australia Pty Ltd</t>
        </is>
      </c>
      <c r="J1265" s="18" t="n">
        <v>144.73</v>
      </c>
      <c r="K1265" s="17" t="inlineStr">
        <is>
          <t>144.73</t>
        </is>
      </c>
      <c r="L1265" s="16" t="n">
        <v>45949</v>
      </c>
      <c r="M1265" s="16" t="n">
        <v>44060</v>
      </c>
      <c r="N1265" s="17" t="inlineStr"/>
      <c r="O1265" s="17" t="inlineStr"/>
      <c r="P1265" s="16" t="n"/>
    </row>
    <row r="1266" ht="39.6" customHeight="1">
      <c r="A1266" s="11" t="n">
        <v>20603</v>
      </c>
      <c r="B1266" s="12" t="n">
        <v>43108</v>
      </c>
      <c r="C1266" s="11" t="inlineStr">
        <is>
          <t>Nurse Coordinator</t>
        </is>
      </c>
      <c r="D1266" s="11" t="inlineStr">
        <is>
          <t>NSW Nurse EA</t>
        </is>
      </c>
      <c r="E1266" s="11" t="inlineStr">
        <is>
          <t>PP - Part-time Waged</t>
        </is>
      </c>
      <c r="F1266" s="11" t="inlineStr">
        <is>
          <t>IVFA</t>
        </is>
      </c>
      <c r="G1266" s="11" t="inlineStr">
        <is>
          <t>New South Wales</t>
        </is>
      </c>
      <c r="H1266" s="13" t="inlineStr">
        <is>
          <t>48.00</t>
        </is>
      </c>
      <c r="I1266" s="11" t="inlineStr">
        <is>
          <t>IVF Australia Pty Ltd</t>
        </is>
      </c>
      <c r="J1266" s="14" t="n">
        <v>144.83</v>
      </c>
      <c r="K1266" s="13" t="inlineStr">
        <is>
          <t>144.83</t>
        </is>
      </c>
      <c r="L1266" s="12" t="n">
        <v>45949</v>
      </c>
      <c r="M1266" s="12" t="n">
        <v>43108</v>
      </c>
      <c r="N1266" s="13" t="inlineStr"/>
      <c r="O1266" s="13" t="inlineStr"/>
      <c r="P1266" s="12" t="n"/>
    </row>
    <row r="1267" ht="39.6" customHeight="1">
      <c r="A1267" s="15" t="n">
        <v>20790</v>
      </c>
      <c r="B1267" s="16" t="n">
        <v>44095</v>
      </c>
      <c r="C1267" s="15" t="inlineStr">
        <is>
          <t>Registered Nurse</t>
        </is>
      </c>
      <c r="D1267" s="15" t="inlineStr">
        <is>
          <t>NSW Nurse EA</t>
        </is>
      </c>
      <c r="E1267" s="15" t="inlineStr">
        <is>
          <t>FT - Full-time Waged</t>
        </is>
      </c>
      <c r="F1267" s="15" t="inlineStr">
        <is>
          <t>The Fertility Centre</t>
        </is>
      </c>
      <c r="G1267" s="15" t="inlineStr">
        <is>
          <t>New South Wales</t>
        </is>
      </c>
      <c r="H1267" s="17" t="inlineStr">
        <is>
          <t>76.00</t>
        </is>
      </c>
      <c r="I1267" s="15" t="inlineStr">
        <is>
          <t>IVF Australia Pty Ltd</t>
        </is>
      </c>
      <c r="J1267" s="18" t="n">
        <v>145.62</v>
      </c>
      <c r="K1267" s="17" t="inlineStr">
        <is>
          <t>145.62</t>
        </is>
      </c>
      <c r="L1267" s="16" t="n">
        <v>45949</v>
      </c>
      <c r="M1267" s="16" t="n">
        <v>44095</v>
      </c>
      <c r="N1267" s="17" t="inlineStr"/>
      <c r="O1267" s="17" t="inlineStr"/>
      <c r="P1267" s="16" t="n"/>
    </row>
    <row r="1268" ht="52.8" customHeight="1">
      <c r="A1268" s="11" t="n">
        <v>80400</v>
      </c>
      <c r="B1268" s="12" t="n">
        <v>44256</v>
      </c>
      <c r="C1268" s="11" t="inlineStr">
        <is>
          <t>Nurse Coordinator</t>
        </is>
      </c>
      <c r="D1268" s="11" t="inlineStr">
        <is>
          <t>QLD Nurse EA</t>
        </is>
      </c>
      <c r="E1268" s="11" t="inlineStr">
        <is>
          <t>PP - Part-time Waged</t>
        </is>
      </c>
      <c r="F1268" s="11" t="inlineStr">
        <is>
          <t>Queensland Fertility Group</t>
        </is>
      </c>
      <c r="G1268" s="11" t="inlineStr">
        <is>
          <t>Queensland</t>
        </is>
      </c>
      <c r="H1268" s="13" t="inlineStr">
        <is>
          <t>45.60</t>
        </is>
      </c>
      <c r="I1268" s="11" t="inlineStr">
        <is>
          <t>Queensland Fertility Group Pty Ltd</t>
        </is>
      </c>
      <c r="J1268" s="14" t="n">
        <v>145.67</v>
      </c>
      <c r="K1268" s="13" t="inlineStr">
        <is>
          <t>145.67</t>
        </is>
      </c>
      <c r="L1268" s="12" t="n">
        <v>45949</v>
      </c>
      <c r="M1268" s="12" t="n">
        <v>44256</v>
      </c>
      <c r="N1268" s="13" t="inlineStr"/>
      <c r="O1268" s="13" t="inlineStr"/>
      <c r="P1268" s="12" t="n"/>
    </row>
    <row r="1269" ht="39.6" customHeight="1">
      <c r="A1269" s="15" t="inlineStr">
        <is>
          <t>AU23687</t>
        </is>
      </c>
      <c r="B1269" s="16" t="n">
        <v>44088</v>
      </c>
      <c r="C1269" s="15" t="inlineStr">
        <is>
          <t>CSSD Technician</t>
        </is>
      </c>
      <c r="D1269" s="15" t="inlineStr">
        <is>
          <t>NSW Support Services EA</t>
        </is>
      </c>
      <c r="E1269" s="15" t="inlineStr">
        <is>
          <t>FT - Full-time Waged</t>
        </is>
      </c>
      <c r="F1269" s="15" t="inlineStr">
        <is>
          <t>Day Hospitals</t>
        </is>
      </c>
      <c r="G1269" s="15" t="inlineStr">
        <is>
          <t>New South Wales</t>
        </is>
      </c>
      <c r="H1269" s="17" t="inlineStr">
        <is>
          <t>76.00</t>
        </is>
      </c>
      <c r="I1269" s="15" t="inlineStr">
        <is>
          <t>City West Day Surgery</t>
        </is>
      </c>
      <c r="J1269" s="18" t="n">
        <v>145.67</v>
      </c>
      <c r="K1269" s="17" t="inlineStr">
        <is>
          <t>145.67</t>
        </is>
      </c>
      <c r="L1269" s="16" t="n">
        <v>45949</v>
      </c>
      <c r="M1269" s="16" t="n">
        <v>44088</v>
      </c>
      <c r="N1269" s="17" t="inlineStr"/>
      <c r="O1269" s="17" t="inlineStr"/>
      <c r="P1269" s="16" t="n"/>
    </row>
    <row r="1270" ht="39.6" customHeight="1">
      <c r="A1270" s="11" t="n">
        <v>20643</v>
      </c>
      <c r="B1270" s="12" t="n">
        <v>43292</v>
      </c>
      <c r="C1270" s="11" t="inlineStr">
        <is>
          <t>Registered Nurse</t>
        </is>
      </c>
      <c r="D1270" s="11" t="inlineStr">
        <is>
          <t>NSW Nurse EA</t>
        </is>
      </c>
      <c r="E1270" s="11" t="inlineStr">
        <is>
          <t>PP - Part-time Waged</t>
        </is>
      </c>
      <c r="F1270" s="11" t="inlineStr">
        <is>
          <t>IVFA</t>
        </is>
      </c>
      <c r="G1270" s="11" t="inlineStr">
        <is>
          <t>New South Wales</t>
        </is>
      </c>
      <c r="H1270" s="13" t="inlineStr">
        <is>
          <t>48.00</t>
        </is>
      </c>
      <c r="I1270" s="11" t="inlineStr">
        <is>
          <t>IVF Australia Pty Ltd</t>
        </is>
      </c>
      <c r="J1270" s="14" t="n">
        <v>145.84</v>
      </c>
      <c r="K1270" s="13" t="inlineStr">
        <is>
          <t>145.84</t>
        </is>
      </c>
      <c r="L1270" s="12" t="n">
        <v>45949</v>
      </c>
      <c r="M1270" s="12" t="n">
        <v>43292</v>
      </c>
      <c r="N1270" s="13" t="inlineStr"/>
      <c r="O1270" s="13" t="inlineStr"/>
      <c r="P1270" s="12" t="n"/>
    </row>
    <row r="1271" ht="39.6" customHeight="1">
      <c r="A1271" s="15" t="n">
        <v>40029</v>
      </c>
      <c r="B1271" s="16" t="n">
        <v>40686</v>
      </c>
      <c r="C1271" s="15" t="inlineStr">
        <is>
          <t>Registered Nurse</t>
        </is>
      </c>
      <c r="D1271" s="15" t="inlineStr">
        <is>
          <t>NSW Nurse EA</t>
        </is>
      </c>
      <c r="E1271" s="15" t="inlineStr">
        <is>
          <t>FT - Full-time Waged</t>
        </is>
      </c>
      <c r="F1271" s="15" t="inlineStr">
        <is>
          <t>Day Hospitals</t>
        </is>
      </c>
      <c r="G1271" s="15" t="inlineStr">
        <is>
          <t>New South Wales</t>
        </is>
      </c>
      <c r="H1271" s="17" t="inlineStr">
        <is>
          <t>76.00</t>
        </is>
      </c>
      <c r="I1271" s="15" t="inlineStr">
        <is>
          <t>City West Day Surgery</t>
        </is>
      </c>
      <c r="J1271" s="18" t="n">
        <v>429.82</v>
      </c>
      <c r="K1271" s="17" t="inlineStr">
        <is>
          <t>146.38</t>
        </is>
      </c>
      <c r="L1271" s="16" t="n">
        <v>45949</v>
      </c>
      <c r="M1271" s="16" t="n">
        <v>44339</v>
      </c>
      <c r="N1271" s="17" t="inlineStr">
        <is>
          <t>321.44</t>
        </is>
      </c>
      <c r="O1271" s="17" t="inlineStr">
        <is>
          <t>38.00</t>
        </is>
      </c>
      <c r="P1271" s="16" t="n"/>
    </row>
    <row r="1272" ht="39.6" customHeight="1">
      <c r="A1272" s="11" t="n">
        <v>20779</v>
      </c>
      <c r="B1272" s="12" t="n">
        <v>44060</v>
      </c>
      <c r="C1272" s="11" t="inlineStr">
        <is>
          <t>Embryologist/Andrologist</t>
        </is>
      </c>
      <c r="D1272" s="11" t="inlineStr">
        <is>
          <t>IVFA Scientists EA</t>
        </is>
      </c>
      <c r="E1272" s="11" t="inlineStr">
        <is>
          <t>PP - Part-time Waged</t>
        </is>
      </c>
      <c r="F1272" s="11" t="inlineStr">
        <is>
          <t>IVFA</t>
        </is>
      </c>
      <c r="G1272" s="11" t="inlineStr">
        <is>
          <t>New South Wales</t>
        </is>
      </c>
      <c r="H1272" s="13" t="inlineStr">
        <is>
          <t>56.33</t>
        </is>
      </c>
      <c r="I1272" s="11" t="inlineStr">
        <is>
          <t>IVF Australia Pty Ltd</t>
        </is>
      </c>
      <c r="J1272" s="14" t="n">
        <v>146.44</v>
      </c>
      <c r="K1272" s="13" t="inlineStr">
        <is>
          <t>146.44</t>
        </is>
      </c>
      <c r="L1272" s="12" t="n">
        <v>45767</v>
      </c>
      <c r="M1272" s="12" t="n">
        <v>44060</v>
      </c>
      <c r="N1272" s="13" t="inlineStr"/>
      <c r="O1272" s="13" t="inlineStr"/>
      <c r="P1272" s="12" t="n"/>
    </row>
    <row r="1273" ht="52.8" customHeight="1">
      <c r="A1273" s="15" t="n">
        <v>20765</v>
      </c>
      <c r="B1273" s="16" t="n">
        <v>44032</v>
      </c>
      <c r="C1273" s="15" t="inlineStr">
        <is>
          <t>Marcomms Specialist</t>
        </is>
      </c>
      <c r="D1273" s="15" t="inlineStr">
        <is>
          <t>Common Law Employment Contract</t>
        </is>
      </c>
      <c r="E1273" s="15" t="inlineStr">
        <is>
          <t>FP - Full-time Salaried</t>
        </is>
      </c>
      <c r="F1273" s="15" t="inlineStr">
        <is>
          <t>Corporate Services</t>
        </is>
      </c>
      <c r="G1273" s="15" t="inlineStr">
        <is>
          <t>New South Wales</t>
        </is>
      </c>
      <c r="H1273" s="17" t="inlineStr">
        <is>
          <t>76.00</t>
        </is>
      </c>
      <c r="I1273" s="15" t="inlineStr">
        <is>
          <t>IVF Australia Pty Ltd</t>
        </is>
      </c>
      <c r="J1273" s="18" t="n">
        <v>146.56</v>
      </c>
      <c r="K1273" s="17" t="inlineStr">
        <is>
          <t>146.56</t>
        </is>
      </c>
      <c r="L1273" s="16" t="n">
        <v>45767</v>
      </c>
      <c r="M1273" s="16" t="n">
        <v>44032</v>
      </c>
      <c r="N1273" s="17" t="inlineStr"/>
      <c r="O1273" s="17" t="inlineStr"/>
      <c r="P1273" s="16" t="n"/>
    </row>
    <row r="1274" ht="39.6" customHeight="1">
      <c r="A1274" s="11" t="n">
        <v>20851</v>
      </c>
      <c r="B1274" s="12" t="n">
        <v>44319</v>
      </c>
      <c r="C1274" s="11" t="inlineStr">
        <is>
          <t>Clinical Nurse Specialist</t>
        </is>
      </c>
      <c r="D1274" s="11" t="inlineStr">
        <is>
          <t>NSW Nurse EA</t>
        </is>
      </c>
      <c r="E1274" s="11" t="inlineStr">
        <is>
          <t>FT - Full-time Waged</t>
        </is>
      </c>
      <c r="F1274" s="11" t="inlineStr">
        <is>
          <t>IVFA</t>
        </is>
      </c>
      <c r="G1274" s="11" t="inlineStr">
        <is>
          <t>New South Wales</t>
        </is>
      </c>
      <c r="H1274" s="13" t="inlineStr">
        <is>
          <t>57.00</t>
        </is>
      </c>
      <c r="I1274" s="11" t="inlineStr">
        <is>
          <t>IVF Australia Pty Ltd</t>
        </is>
      </c>
      <c r="J1274" s="14" t="n">
        <v>146.95</v>
      </c>
      <c r="K1274" s="13" t="inlineStr">
        <is>
          <t>146.95</t>
        </is>
      </c>
      <c r="L1274" s="12" t="n">
        <v>45949</v>
      </c>
      <c r="M1274" s="12" t="n">
        <v>44319</v>
      </c>
      <c r="N1274" s="13" t="inlineStr"/>
      <c r="O1274" s="13" t="inlineStr"/>
      <c r="P1274" s="12" t="n"/>
    </row>
    <row r="1275" ht="39.6" customHeight="1">
      <c r="A1275" s="15" t="n">
        <v>20741</v>
      </c>
      <c r="B1275" s="16" t="n">
        <v>43997</v>
      </c>
      <c r="C1275" s="15" t="inlineStr">
        <is>
          <t>Embryologist</t>
        </is>
      </c>
      <c r="D1275" s="15" t="inlineStr">
        <is>
          <t>IVFA Scientists EA</t>
        </is>
      </c>
      <c r="E1275" s="15" t="inlineStr">
        <is>
          <t>FT - Full-time Waged</t>
        </is>
      </c>
      <c r="F1275" s="15" t="inlineStr">
        <is>
          <t>IVFA</t>
        </is>
      </c>
      <c r="G1275" s="15" t="inlineStr">
        <is>
          <t>New South Wales</t>
        </is>
      </c>
      <c r="H1275" s="17" t="inlineStr">
        <is>
          <t>76.00</t>
        </is>
      </c>
      <c r="I1275" s="15" t="inlineStr">
        <is>
          <t>IVF Australia Pty Ltd</t>
        </is>
      </c>
      <c r="J1275" s="18" t="n">
        <v>147.13</v>
      </c>
      <c r="K1275" s="17" t="inlineStr">
        <is>
          <t>147.13</t>
        </is>
      </c>
      <c r="L1275" s="16" t="n">
        <v>45949</v>
      </c>
      <c r="M1275" s="16" t="n">
        <v>43997</v>
      </c>
      <c r="N1275" s="17" t="inlineStr"/>
      <c r="O1275" s="17" t="inlineStr"/>
      <c r="P1275" s="16" t="n"/>
    </row>
    <row r="1276" ht="66" customHeight="1">
      <c r="A1276" s="11" t="n">
        <v>50160</v>
      </c>
      <c r="B1276" s="12" t="n">
        <v>43906</v>
      </c>
      <c r="C1276" s="11" t="inlineStr">
        <is>
          <t>Enrolled Nurse</t>
        </is>
      </c>
      <c r="D1276" s="11" t="inlineStr">
        <is>
          <t>NSW Nurse EA</t>
        </is>
      </c>
      <c r="E1276" s="11" t="inlineStr">
        <is>
          <t>PP - Part-time Waged</t>
        </is>
      </c>
      <c r="F1276" s="11" t="inlineStr">
        <is>
          <t>Day Hospitals</t>
        </is>
      </c>
      <c r="G1276" s="11" t="inlineStr">
        <is>
          <t>New South Wales</t>
        </is>
      </c>
      <c r="H1276" s="13" t="inlineStr">
        <is>
          <t>32.00</t>
        </is>
      </c>
      <c r="I1276" s="11" t="inlineStr">
        <is>
          <t>Alexandria Specialist Day Hospital Pty Ltd</t>
        </is>
      </c>
      <c r="J1276" s="14" t="n">
        <v>147.88</v>
      </c>
      <c r="K1276" s="13" t="inlineStr">
        <is>
          <t>147.88</t>
        </is>
      </c>
      <c r="L1276" s="12" t="n">
        <v>45949</v>
      </c>
      <c r="M1276" s="12" t="n">
        <v>43906</v>
      </c>
      <c r="N1276" s="13" t="inlineStr"/>
      <c r="O1276" s="13" t="inlineStr"/>
      <c r="P1276" s="12" t="n"/>
    </row>
    <row r="1277" ht="52.8" customHeight="1">
      <c r="A1277" s="15" t="n">
        <v>80402</v>
      </c>
      <c r="B1277" s="16" t="n">
        <v>44277</v>
      </c>
      <c r="C1277" s="15" t="inlineStr">
        <is>
          <t xml:space="preserve"> Embryologist</t>
        </is>
      </c>
      <c r="D1277" s="15" t="inlineStr">
        <is>
          <t>QLD Scientists EA</t>
        </is>
      </c>
      <c r="E1277" s="15" t="inlineStr">
        <is>
          <t>FT - Full-time Waged</t>
        </is>
      </c>
      <c r="F1277" s="15" t="inlineStr">
        <is>
          <t>Queensland Fertility Group</t>
        </is>
      </c>
      <c r="G1277" s="15" t="inlineStr">
        <is>
          <t>Queensland</t>
        </is>
      </c>
      <c r="H1277" s="17" t="inlineStr">
        <is>
          <t>76.00</t>
        </is>
      </c>
      <c r="I1277" s="15" t="inlineStr">
        <is>
          <t>Queensland Fertility Group Pty Ltd</t>
        </is>
      </c>
      <c r="J1277" s="18" t="n">
        <v>149.22</v>
      </c>
      <c r="K1277" s="17" t="inlineStr">
        <is>
          <t>149.22</t>
        </is>
      </c>
      <c r="L1277" s="16" t="n">
        <v>45949</v>
      </c>
      <c r="M1277" s="16" t="n">
        <v>44277</v>
      </c>
      <c r="N1277" s="17" t="inlineStr"/>
      <c r="O1277" s="17" t="inlineStr"/>
      <c r="P1277" s="16" t="n"/>
    </row>
    <row r="1278" ht="39.6" customHeight="1">
      <c r="A1278" s="11" t="n">
        <v>20242</v>
      </c>
      <c r="B1278" s="12" t="n">
        <v>40652</v>
      </c>
      <c r="C1278" s="11" t="inlineStr">
        <is>
          <t>Embryologist</t>
        </is>
      </c>
      <c r="D1278" s="11" t="inlineStr">
        <is>
          <t>IVFA Scientists EA</t>
        </is>
      </c>
      <c r="E1278" s="11" t="inlineStr">
        <is>
          <t>FT - Full-time Waged</t>
        </is>
      </c>
      <c r="F1278" s="11" t="inlineStr">
        <is>
          <t>The Fertility Centre</t>
        </is>
      </c>
      <c r="G1278" s="11" t="inlineStr">
        <is>
          <t>New South Wales</t>
        </is>
      </c>
      <c r="H1278" s="13" t="inlineStr">
        <is>
          <t>76.00</t>
        </is>
      </c>
      <c r="I1278" s="11" t="inlineStr">
        <is>
          <t>IVF Australia Pty Ltd</t>
        </is>
      </c>
      <c r="J1278" s="14" t="n">
        <v>440.72</v>
      </c>
      <c r="K1278" s="13" t="inlineStr">
        <is>
          <t>149.39</t>
        </is>
      </c>
      <c r="L1278" s="12" t="n">
        <v>45949</v>
      </c>
      <c r="M1278" s="12" t="n">
        <v>44305</v>
      </c>
      <c r="N1278" s="13" t="inlineStr">
        <is>
          <t>329.33</t>
        </is>
      </c>
      <c r="O1278" s="13" t="inlineStr">
        <is>
          <t>38.00</t>
        </is>
      </c>
      <c r="P1278" s="12" t="n"/>
    </row>
    <row r="1279" ht="52.8" customHeight="1">
      <c r="A1279" s="15" t="n">
        <v>80410</v>
      </c>
      <c r="B1279" s="16" t="n">
        <v>44312</v>
      </c>
      <c r="C1279" s="15" t="inlineStr">
        <is>
          <t>Embryologist</t>
        </is>
      </c>
      <c r="D1279" s="15" t="inlineStr">
        <is>
          <t>QLD Scientists EA</t>
        </is>
      </c>
      <c r="E1279" s="15" t="inlineStr">
        <is>
          <t>FT - Full-time Waged</t>
        </is>
      </c>
      <c r="F1279" s="15" t="inlineStr">
        <is>
          <t>The Fertility Centre</t>
        </is>
      </c>
      <c r="G1279" s="15" t="inlineStr">
        <is>
          <t>Queensland</t>
        </is>
      </c>
      <c r="H1279" s="17" t="inlineStr">
        <is>
          <t>76.00</t>
        </is>
      </c>
      <c r="I1279" s="15" t="inlineStr">
        <is>
          <t>Queensland Fertility Group Pty Ltd</t>
        </is>
      </c>
      <c r="J1279" s="18" t="n">
        <v>149.92</v>
      </c>
      <c r="K1279" s="17" t="inlineStr">
        <is>
          <t>149.92</t>
        </is>
      </c>
      <c r="L1279" s="16" t="n">
        <v>45949</v>
      </c>
      <c r="M1279" s="16" t="n">
        <v>44312</v>
      </c>
      <c r="N1279" s="17" t="inlineStr"/>
      <c r="O1279" s="17" t="inlineStr"/>
      <c r="P1279" s="16" t="n"/>
    </row>
    <row r="1280" ht="66" customHeight="1">
      <c r="A1280" s="11" t="n">
        <v>50184</v>
      </c>
      <c r="B1280" s="12" t="n">
        <v>44137</v>
      </c>
      <c r="C1280" s="11" t="inlineStr">
        <is>
          <t>CSSD Tech</t>
        </is>
      </c>
      <c r="D1280" s="11" t="inlineStr">
        <is>
          <t>NSW Support Services EA</t>
        </is>
      </c>
      <c r="E1280" s="11" t="inlineStr">
        <is>
          <t>FT - Full-time Waged</t>
        </is>
      </c>
      <c r="F1280" s="11" t="inlineStr">
        <is>
          <t>Day Hospitals</t>
        </is>
      </c>
      <c r="G1280" s="11" t="inlineStr">
        <is>
          <t>New South Wales</t>
        </is>
      </c>
      <c r="H1280" s="13" t="inlineStr">
        <is>
          <t>76.00</t>
        </is>
      </c>
      <c r="I1280" s="11" t="inlineStr">
        <is>
          <t>Alexandria Specialist Day Hospital Pty Ltd</t>
        </is>
      </c>
      <c r="J1280" s="14" t="n">
        <v>152.56</v>
      </c>
      <c r="K1280" s="13" t="inlineStr">
        <is>
          <t>152.56</t>
        </is>
      </c>
      <c r="L1280" s="12" t="n">
        <v>45949</v>
      </c>
      <c r="M1280" s="12" t="n">
        <v>44137</v>
      </c>
      <c r="N1280" s="13" t="inlineStr"/>
      <c r="O1280" s="13" t="inlineStr"/>
      <c r="P1280" s="12" t="n"/>
    </row>
    <row r="1281" ht="79.2" customHeight="1">
      <c r="A1281" s="15" t="n">
        <v>80359</v>
      </c>
      <c r="B1281" s="16" t="n">
        <v>44025</v>
      </c>
      <c r="C1281" s="15" t="inlineStr">
        <is>
          <t>Clinical Administration-Nursing</t>
        </is>
      </c>
      <c r="D1281" s="15" t="inlineStr">
        <is>
          <t>Health Professionals and Support Services Award</t>
        </is>
      </c>
      <c r="E1281" s="15" t="inlineStr">
        <is>
          <t>FT - Full-time Waged</t>
        </is>
      </c>
      <c r="F1281" s="15" t="inlineStr">
        <is>
          <t>Queensland Fertility Group</t>
        </is>
      </c>
      <c r="G1281" s="15" t="inlineStr">
        <is>
          <t>Queensland</t>
        </is>
      </c>
      <c r="H1281" s="17" t="inlineStr">
        <is>
          <t>76.00</t>
        </is>
      </c>
      <c r="I1281" s="15" t="inlineStr">
        <is>
          <t>Queensland Fertility Group Pty Ltd</t>
        </is>
      </c>
      <c r="J1281" s="18" t="n">
        <v>153.07</v>
      </c>
      <c r="K1281" s="17" t="inlineStr">
        <is>
          <t>153.07</t>
        </is>
      </c>
      <c r="L1281" s="16" t="n">
        <v>45949</v>
      </c>
      <c r="M1281" s="16" t="n">
        <v>44025</v>
      </c>
      <c r="N1281" s="17" t="inlineStr"/>
      <c r="O1281" s="17" t="inlineStr"/>
      <c r="P1281" s="16" t="n"/>
    </row>
    <row r="1282" ht="79.2" customHeight="1">
      <c r="A1282" s="11" t="n">
        <v>90019</v>
      </c>
      <c r="B1282" s="12" t="n">
        <v>40623</v>
      </c>
      <c r="C1282" s="11" t="inlineStr">
        <is>
          <t>Pathology Scientist</t>
        </is>
      </c>
      <c r="D1282" s="11" t="inlineStr">
        <is>
          <t>Health Professionals and Support Services Award</t>
        </is>
      </c>
      <c r="E1282" s="11" t="inlineStr">
        <is>
          <t>FT - Full-time Waged</t>
        </is>
      </c>
      <c r="F1282" s="11" t="inlineStr">
        <is>
          <t>Diagnostics</t>
        </is>
      </c>
      <c r="G1282" s="11" t="inlineStr">
        <is>
          <t>New South Wales</t>
        </is>
      </c>
      <c r="H1282" s="13" t="inlineStr">
        <is>
          <t>76.00</t>
        </is>
      </c>
      <c r="I1282" s="11" t="inlineStr">
        <is>
          <t>Virtus Health Specialist Diagnostics</t>
        </is>
      </c>
      <c r="J1282" s="14" t="n">
        <v>409.82</v>
      </c>
      <c r="K1282" s="13" t="inlineStr">
        <is>
          <t>153.17</t>
        </is>
      </c>
      <c r="L1282" s="12" t="n">
        <v>45949</v>
      </c>
      <c r="M1282" s="12" t="n">
        <v>44276</v>
      </c>
      <c r="N1282" s="13" t="inlineStr">
        <is>
          <t>294.65</t>
        </is>
      </c>
      <c r="O1282" s="13" t="inlineStr">
        <is>
          <t>38.00</t>
        </is>
      </c>
      <c r="P1282" s="12" t="n"/>
    </row>
    <row r="1283" ht="52.8" customHeight="1">
      <c r="A1283" s="15" t="n">
        <v>80398</v>
      </c>
      <c r="B1283" s="16" t="n">
        <v>44256</v>
      </c>
      <c r="C1283" s="15" t="inlineStr">
        <is>
          <t xml:space="preserve">Acting Managing Director </t>
        </is>
      </c>
      <c r="D1283" s="15" t="inlineStr">
        <is>
          <t>Common Law Employment Contract</t>
        </is>
      </c>
      <c r="E1283" s="15" t="inlineStr">
        <is>
          <t>FP - Full-time Salaried</t>
        </is>
      </c>
      <c r="F1283" s="15" t="inlineStr">
        <is>
          <t>Queensland Fertility Group</t>
        </is>
      </c>
      <c r="G1283" s="15" t="inlineStr">
        <is>
          <t>Queensland</t>
        </is>
      </c>
      <c r="H1283" s="17" t="inlineStr">
        <is>
          <t>76.00</t>
        </is>
      </c>
      <c r="I1283" s="15" t="inlineStr">
        <is>
          <t>Queensland Fertility Group Pty Ltd</t>
        </is>
      </c>
      <c r="J1283" s="18" t="n">
        <v>154.03</v>
      </c>
      <c r="K1283" s="17" t="inlineStr">
        <is>
          <t>154.03</t>
        </is>
      </c>
      <c r="L1283" s="16" t="n">
        <v>45949</v>
      </c>
      <c r="M1283" s="16" t="n">
        <v>44256</v>
      </c>
      <c r="N1283" s="17" t="inlineStr"/>
      <c r="O1283" s="17" t="inlineStr"/>
      <c r="P1283" s="16" t="n"/>
    </row>
    <row r="1284" ht="52.8" customHeight="1">
      <c r="A1284" s="11" t="n">
        <v>19009</v>
      </c>
      <c r="B1284" s="12" t="n">
        <v>41710</v>
      </c>
      <c r="C1284" s="11" t="inlineStr">
        <is>
          <t xml:space="preserve">Senior Technology Operations Manager </t>
        </is>
      </c>
      <c r="D1284" s="11" t="inlineStr">
        <is>
          <t>Common Law Employment Contract</t>
        </is>
      </c>
      <c r="E1284" s="11" t="inlineStr">
        <is>
          <t>FP - Full-time Salaried</t>
        </is>
      </c>
      <c r="F1284" s="11" t="inlineStr">
        <is>
          <t>Corporate Services</t>
        </is>
      </c>
      <c r="G1284" s="11" t="inlineStr">
        <is>
          <t>Victoria</t>
        </is>
      </c>
      <c r="H1284" s="13" t="inlineStr">
        <is>
          <t>76.00</t>
        </is>
      </c>
      <c r="I1284" s="11" t="inlineStr">
        <is>
          <t>IVF Australia Pty Ltd</t>
        </is>
      </c>
      <c r="J1284" s="14" t="n">
        <v>118.77</v>
      </c>
      <c r="K1284" s="13" t="inlineStr">
        <is>
          <t>154.04</t>
        </is>
      </c>
      <c r="L1284" s="12" t="n">
        <v>45949</v>
      </c>
      <c r="M1284" s="12" t="n">
        <v>44267</v>
      </c>
      <c r="N1284" s="13" t="inlineStr">
        <is>
          <t>230.73</t>
        </is>
      </c>
      <c r="O1284" s="13" t="inlineStr">
        <is>
          <t>266.00</t>
        </is>
      </c>
      <c r="P1284" s="12" t="n"/>
    </row>
    <row r="1285" ht="39.6" customHeight="1">
      <c r="A1285" s="15" t="n">
        <v>20618</v>
      </c>
      <c r="B1285" s="16" t="n">
        <v>43220</v>
      </c>
      <c r="C1285" s="15" t="inlineStr">
        <is>
          <t>Embryologist</t>
        </is>
      </c>
      <c r="D1285" s="15" t="inlineStr">
        <is>
          <t>IVFA Scientists EA</t>
        </is>
      </c>
      <c r="E1285" s="15" t="inlineStr">
        <is>
          <t>FT - Full-time Waged</t>
        </is>
      </c>
      <c r="F1285" s="15" t="inlineStr">
        <is>
          <t>IVFA</t>
        </is>
      </c>
      <c r="G1285" s="15" t="inlineStr">
        <is>
          <t>New South Wales</t>
        </is>
      </c>
      <c r="H1285" s="17" t="inlineStr">
        <is>
          <t>76.00</t>
        </is>
      </c>
      <c r="I1285" s="15" t="inlineStr">
        <is>
          <t>IVF Australia Pty Ltd</t>
        </is>
      </c>
      <c r="J1285" s="18" t="n">
        <v>154.09</v>
      </c>
      <c r="K1285" s="17" t="inlineStr">
        <is>
          <t>154.09</t>
        </is>
      </c>
      <c r="L1285" s="16" t="n">
        <v>45949</v>
      </c>
      <c r="M1285" s="16" t="n">
        <v>43213</v>
      </c>
      <c r="N1285" s="17" t="inlineStr"/>
      <c r="O1285" s="17" t="inlineStr"/>
      <c r="P1285" s="16" t="n"/>
    </row>
    <row r="1286" ht="66" customHeight="1">
      <c r="A1286" s="11" t="n">
        <v>30361</v>
      </c>
      <c r="B1286" s="12" t="n">
        <v>43999</v>
      </c>
      <c r="C1286" s="11" t="inlineStr">
        <is>
          <t>Administration Team Leader</t>
        </is>
      </c>
      <c r="D1286" s="11" t="inlineStr">
        <is>
          <t>NSW Support Services EA</t>
        </is>
      </c>
      <c r="E1286" s="11" t="inlineStr">
        <is>
          <t>FT - Full-time Waged</t>
        </is>
      </c>
      <c r="F1286" s="11" t="inlineStr">
        <is>
          <t>Day Hospitals</t>
        </is>
      </c>
      <c r="G1286" s="11" t="inlineStr">
        <is>
          <t>New South Wales</t>
        </is>
      </c>
      <c r="H1286" s="13" t="inlineStr">
        <is>
          <t>48.00</t>
        </is>
      </c>
      <c r="I1286" s="11" t="inlineStr">
        <is>
          <t>North Shore Specialist Day Hospital Pty Ltd</t>
        </is>
      </c>
      <c r="J1286" s="14" t="n">
        <v>154.26</v>
      </c>
      <c r="K1286" s="13" t="inlineStr">
        <is>
          <t>154.26</t>
        </is>
      </c>
      <c r="L1286" s="12" t="n">
        <v>45949</v>
      </c>
      <c r="M1286" s="12" t="n">
        <v>44116</v>
      </c>
      <c r="N1286" s="13" t="inlineStr"/>
      <c r="O1286" s="13" t="inlineStr"/>
      <c r="P1286" s="12" t="n"/>
    </row>
    <row r="1287" ht="52.8" customHeight="1">
      <c r="A1287" s="15" t="n">
        <v>20831</v>
      </c>
      <c r="B1287" s="16" t="n">
        <v>44242</v>
      </c>
      <c r="C1287" s="15" t="inlineStr">
        <is>
          <t>HR Operations Manager</t>
        </is>
      </c>
      <c r="D1287" s="15" t="inlineStr">
        <is>
          <t>Common Law Employment Contract</t>
        </is>
      </c>
      <c r="E1287" s="15" t="inlineStr">
        <is>
          <t>FP - Full-time Salaried</t>
        </is>
      </c>
      <c r="F1287" s="15" t="inlineStr">
        <is>
          <t>Corporate Services</t>
        </is>
      </c>
      <c r="G1287" s="15" t="inlineStr">
        <is>
          <t>New South Wales</t>
        </is>
      </c>
      <c r="H1287" s="17" t="inlineStr">
        <is>
          <t>76.00</t>
        </is>
      </c>
      <c r="I1287" s="15" t="inlineStr">
        <is>
          <t>IVF Australia Pty Ltd</t>
        </is>
      </c>
      <c r="J1287" s="18" t="n">
        <v>154.53</v>
      </c>
      <c r="K1287" s="17" t="inlineStr">
        <is>
          <t>154.53</t>
        </is>
      </c>
      <c r="L1287" s="16" t="n">
        <v>45949</v>
      </c>
      <c r="M1287" s="16" t="n">
        <v>44242</v>
      </c>
      <c r="N1287" s="17" t="inlineStr"/>
      <c r="O1287" s="17" t="inlineStr"/>
      <c r="P1287" s="16" t="n"/>
    </row>
    <row r="1288" ht="39.6" customHeight="1">
      <c r="A1288" s="11" t="n">
        <v>20760</v>
      </c>
      <c r="B1288" s="12" t="n">
        <v>44018</v>
      </c>
      <c r="C1288" s="11" t="inlineStr">
        <is>
          <t>Nurse Unit Manager</t>
        </is>
      </c>
      <c r="D1288" s="11" t="inlineStr">
        <is>
          <t>NSW Nurse EA</t>
        </is>
      </c>
      <c r="E1288" s="11" t="inlineStr">
        <is>
          <t>FT - Full-time Waged</t>
        </is>
      </c>
      <c r="F1288" s="11" t="inlineStr">
        <is>
          <t>IVFA</t>
        </is>
      </c>
      <c r="G1288" s="11" t="inlineStr">
        <is>
          <t>Australian Capital Territory</t>
        </is>
      </c>
      <c r="H1288" s="13" t="inlineStr">
        <is>
          <t>76.00</t>
        </is>
      </c>
      <c r="I1288" s="11" t="inlineStr">
        <is>
          <t>IVF Australia Pty Ltd</t>
        </is>
      </c>
      <c r="J1288" s="14" t="n">
        <v>154.72</v>
      </c>
      <c r="K1288" s="13" t="inlineStr">
        <is>
          <t>154.72</t>
        </is>
      </c>
      <c r="L1288" s="12" t="n">
        <v>45949</v>
      </c>
      <c r="M1288" s="12" t="n">
        <v>44018</v>
      </c>
      <c r="N1288" s="13" t="inlineStr"/>
      <c r="O1288" s="13" t="inlineStr"/>
      <c r="P1288" s="12" t="n"/>
    </row>
    <row r="1289" ht="39.6" customHeight="1">
      <c r="A1289" s="15" t="inlineStr">
        <is>
          <t>AU23698</t>
        </is>
      </c>
      <c r="B1289" s="16" t="n">
        <v>45838</v>
      </c>
      <c r="C1289" s="15" t="inlineStr">
        <is>
          <t>Nurse Coordinator</t>
        </is>
      </c>
      <c r="D1289" s="15" t="inlineStr">
        <is>
          <t>NSW Nurse EA</t>
        </is>
      </c>
      <c r="E1289" s="15" t="inlineStr">
        <is>
          <t>CA - Casual</t>
        </is>
      </c>
      <c r="F1289" s="15" t="inlineStr">
        <is>
          <t>IVFA</t>
        </is>
      </c>
      <c r="G1289" s="15" t="inlineStr">
        <is>
          <t>New South Wales</t>
        </is>
      </c>
      <c r="H1289" s="17" t="inlineStr"/>
      <c r="I1289" s="15" t="inlineStr">
        <is>
          <t>IVF Australia Pty Ltd</t>
        </is>
      </c>
      <c r="J1289" s="18" t="n">
        <v>155.97</v>
      </c>
      <c r="K1289" s="17" t="inlineStr">
        <is>
          <t>155.97</t>
        </is>
      </c>
      <c r="L1289" s="16" t="n">
        <v>45949</v>
      </c>
      <c r="M1289" s="16" t="n">
        <v>43507</v>
      </c>
      <c r="N1289" s="17" t="inlineStr"/>
      <c r="O1289" s="17" t="inlineStr"/>
      <c r="P1289" s="16" t="n"/>
    </row>
    <row r="1290" ht="52.8" customHeight="1">
      <c r="A1290" s="11" t="n">
        <v>20749</v>
      </c>
      <c r="B1290" s="12" t="n">
        <v>43997</v>
      </c>
      <c r="C1290" s="11" t="inlineStr">
        <is>
          <t>Principal Scientist</t>
        </is>
      </c>
      <c r="D1290" s="11" t="inlineStr">
        <is>
          <t>Common Law Employment Contract</t>
        </is>
      </c>
      <c r="E1290" s="11" t="inlineStr">
        <is>
          <t>FP - Full-time Salaried</t>
        </is>
      </c>
      <c r="F1290" s="11" t="inlineStr">
        <is>
          <t>Corporate Services</t>
        </is>
      </c>
      <c r="G1290" s="11" t="inlineStr">
        <is>
          <t>Tasmania</t>
        </is>
      </c>
      <c r="H1290" s="13" t="inlineStr">
        <is>
          <t>76.00</t>
        </is>
      </c>
      <c r="I1290" s="11" t="inlineStr">
        <is>
          <t>IVF Australia Pty Ltd</t>
        </is>
      </c>
      <c r="J1290" s="14" t="n">
        <v>156.51</v>
      </c>
      <c r="K1290" s="13" t="inlineStr">
        <is>
          <t>156.51</t>
        </is>
      </c>
      <c r="L1290" s="12" t="n">
        <v>45949</v>
      </c>
      <c r="M1290" s="12" t="n">
        <v>43997</v>
      </c>
      <c r="N1290" s="13" t="inlineStr"/>
      <c r="O1290" s="13" t="inlineStr"/>
      <c r="P1290" s="12" t="n"/>
    </row>
    <row r="1291" ht="39.6" customHeight="1">
      <c r="A1291" s="15" t="n">
        <v>20756</v>
      </c>
      <c r="B1291" s="16" t="n">
        <v>44018</v>
      </c>
      <c r="C1291" s="15" t="inlineStr">
        <is>
          <t>Clinical Nurse Specialist</t>
        </is>
      </c>
      <c r="D1291" s="15" t="inlineStr">
        <is>
          <t>NSW Nurse EA</t>
        </is>
      </c>
      <c r="E1291" s="15" t="inlineStr">
        <is>
          <t>FT - Full-time Waged</t>
        </is>
      </c>
      <c r="F1291" s="15" t="inlineStr">
        <is>
          <t>IVFA</t>
        </is>
      </c>
      <c r="G1291" s="15" t="inlineStr">
        <is>
          <t>New South Wales</t>
        </is>
      </c>
      <c r="H1291" s="17" t="inlineStr">
        <is>
          <t>76.00</t>
        </is>
      </c>
      <c r="I1291" s="15" t="inlineStr">
        <is>
          <t>IVF Australia Pty Ltd</t>
        </is>
      </c>
      <c r="J1291" s="18" t="n">
        <v>156.73</v>
      </c>
      <c r="K1291" s="17" t="inlineStr">
        <is>
          <t>156.73</t>
        </is>
      </c>
      <c r="L1291" s="16" t="n">
        <v>45893</v>
      </c>
      <c r="M1291" s="16" t="n">
        <v>44018</v>
      </c>
      <c r="N1291" s="17" t="inlineStr"/>
      <c r="O1291" s="17" t="inlineStr"/>
      <c r="P1291" s="16" t="n"/>
    </row>
    <row r="1292" ht="52.8" customHeight="1">
      <c r="A1292" s="11" t="n">
        <v>80415</v>
      </c>
      <c r="B1292" s="12" t="n">
        <v>44333</v>
      </c>
      <c r="C1292" s="11" t="inlineStr">
        <is>
          <t>IVF Nurse Coordinator</t>
        </is>
      </c>
      <c r="D1292" s="11" t="inlineStr">
        <is>
          <t>QLD Nurse EA</t>
        </is>
      </c>
      <c r="E1292" s="11" t="inlineStr">
        <is>
          <t>PP - Part-time Waged</t>
        </is>
      </c>
      <c r="F1292" s="11" t="inlineStr">
        <is>
          <t>Queensland Fertility Group</t>
        </is>
      </c>
      <c r="G1292" s="11" t="inlineStr">
        <is>
          <t>Queensland</t>
        </is>
      </c>
      <c r="H1292" s="13" t="inlineStr">
        <is>
          <t>60.80</t>
        </is>
      </c>
      <c r="I1292" s="11" t="inlineStr">
        <is>
          <t>Queensland Fertility Group Pty Ltd</t>
        </is>
      </c>
      <c r="J1292" s="14" t="n">
        <v>157.38</v>
      </c>
      <c r="K1292" s="13" t="inlineStr">
        <is>
          <t>157.38</t>
        </is>
      </c>
      <c r="L1292" s="12" t="n">
        <v>45949</v>
      </c>
      <c r="M1292" s="12" t="n">
        <v>44333</v>
      </c>
      <c r="N1292" s="13" t="inlineStr"/>
      <c r="O1292" s="13" t="inlineStr"/>
      <c r="P1292" s="12" t="n"/>
    </row>
    <row r="1293" ht="39.6" customHeight="1">
      <c r="A1293" s="15" t="n">
        <v>20820</v>
      </c>
      <c r="B1293" s="16" t="n">
        <v>44207</v>
      </c>
      <c r="C1293" s="15" t="inlineStr">
        <is>
          <t>Andrologist</t>
        </is>
      </c>
      <c r="D1293" s="15" t="inlineStr">
        <is>
          <t>IVFA Scientists EA</t>
        </is>
      </c>
      <c r="E1293" s="15" t="inlineStr">
        <is>
          <t>FT - Full-time Waged</t>
        </is>
      </c>
      <c r="F1293" s="15" t="inlineStr">
        <is>
          <t>IVFA</t>
        </is>
      </c>
      <c r="G1293" s="15" t="inlineStr">
        <is>
          <t>New South Wales</t>
        </is>
      </c>
      <c r="H1293" s="17" t="inlineStr">
        <is>
          <t>76.00</t>
        </is>
      </c>
      <c r="I1293" s="15" t="inlineStr">
        <is>
          <t>IVF Australia Pty Ltd</t>
        </is>
      </c>
      <c r="J1293" s="18" t="n">
        <v>157.72</v>
      </c>
      <c r="K1293" s="17" t="inlineStr">
        <is>
          <t>157.72</t>
        </is>
      </c>
      <c r="L1293" s="16" t="n">
        <v>45949</v>
      </c>
      <c r="M1293" s="16" t="n">
        <v>44207</v>
      </c>
      <c r="N1293" s="17" t="inlineStr"/>
      <c r="O1293" s="17" t="inlineStr"/>
      <c r="P1293" s="16" t="n"/>
    </row>
    <row r="1294" ht="52.8" customHeight="1">
      <c r="A1294" s="11" t="n">
        <v>80470</v>
      </c>
      <c r="B1294" s="12" t="n">
        <v>44718</v>
      </c>
      <c r="C1294" s="11" t="inlineStr">
        <is>
          <t>Registered Nurse Clinic Coordinator</t>
        </is>
      </c>
      <c r="D1294" s="11" t="inlineStr">
        <is>
          <t>QLD Nurse EA</t>
        </is>
      </c>
      <c r="E1294" s="11" t="inlineStr">
        <is>
          <t>FT - Full-time Waged</t>
        </is>
      </c>
      <c r="F1294" s="11" t="inlineStr">
        <is>
          <t>Queensland Fertility Group</t>
        </is>
      </c>
      <c r="G1294" s="11" t="inlineStr">
        <is>
          <t>Queensland</t>
        </is>
      </c>
      <c r="H1294" s="13" t="inlineStr">
        <is>
          <t>76.00</t>
        </is>
      </c>
      <c r="I1294" s="11" t="inlineStr">
        <is>
          <t>Queensland Fertility Group Pty Ltd</t>
        </is>
      </c>
      <c r="J1294" s="14" t="n">
        <v>157.97</v>
      </c>
      <c r="K1294" s="13" t="inlineStr">
        <is>
          <t>157.97</t>
        </is>
      </c>
      <c r="L1294" s="12" t="n">
        <v>45949</v>
      </c>
      <c r="M1294" s="12" t="n">
        <v>44718</v>
      </c>
      <c r="N1294" s="13" t="inlineStr"/>
      <c r="O1294" s="13" t="inlineStr"/>
      <c r="P1294" s="12" t="n"/>
    </row>
    <row r="1295" ht="79.2" customHeight="1">
      <c r="A1295" s="15" t="n">
        <v>90133</v>
      </c>
      <c r="B1295" s="16" t="n">
        <v>44172</v>
      </c>
      <c r="C1295" s="15" t="inlineStr">
        <is>
          <t>Phlebotomist</t>
        </is>
      </c>
      <c r="D1295" s="15" t="inlineStr">
        <is>
          <t>Health Professionals and Support Services Award</t>
        </is>
      </c>
      <c r="E1295" s="15" t="inlineStr">
        <is>
          <t>FT - Full-time Waged</t>
        </is>
      </c>
      <c r="F1295" s="15" t="inlineStr">
        <is>
          <t>Diagnostics</t>
        </is>
      </c>
      <c r="G1295" s="15" t="inlineStr">
        <is>
          <t>New South Wales</t>
        </is>
      </c>
      <c r="H1295" s="17" t="inlineStr">
        <is>
          <t>76.00</t>
        </is>
      </c>
      <c r="I1295" s="15" t="inlineStr">
        <is>
          <t>Virtus Health Specialist Diagnostics</t>
        </is>
      </c>
      <c r="J1295" s="18" t="n">
        <v>158.55</v>
      </c>
      <c r="K1295" s="17" t="inlineStr">
        <is>
          <t>158.55</t>
        </is>
      </c>
      <c r="L1295" s="16" t="n">
        <v>45949</v>
      </c>
      <c r="M1295" s="16" t="n">
        <v>44172</v>
      </c>
      <c r="N1295" s="17" t="inlineStr"/>
      <c r="O1295" s="17" t="inlineStr"/>
      <c r="P1295" s="16" t="n"/>
    </row>
    <row r="1296" ht="52.8" customHeight="1">
      <c r="A1296" s="11" t="n">
        <v>91008</v>
      </c>
      <c r="B1296" s="12" t="n">
        <v>43581</v>
      </c>
      <c r="C1296" s="11" t="inlineStr">
        <is>
          <t>Medical Laboratory Director - Pathology</t>
        </is>
      </c>
      <c r="D1296" s="11" t="inlineStr">
        <is>
          <t>Common Law Employment Contract</t>
        </is>
      </c>
      <c r="E1296" s="11" t="inlineStr">
        <is>
          <t>FP - Full-time Salaried</t>
        </is>
      </c>
      <c r="F1296" s="11" t="inlineStr">
        <is>
          <t>Diagnostics</t>
        </is>
      </c>
      <c r="G1296" s="11" t="inlineStr">
        <is>
          <t>New South Wales</t>
        </is>
      </c>
      <c r="H1296" s="13" t="inlineStr">
        <is>
          <t>76.00</t>
        </is>
      </c>
      <c r="I1296" s="11" t="inlineStr">
        <is>
          <t>Virtus Health Specialist Diagnostics</t>
        </is>
      </c>
      <c r="J1296" s="14" t="n">
        <v>159.35</v>
      </c>
      <c r="K1296" s="13" t="inlineStr">
        <is>
          <t>159.35</t>
        </is>
      </c>
      <c r="L1296" s="12" t="n">
        <v>45949</v>
      </c>
      <c r="M1296" s="12" t="n">
        <v>43581</v>
      </c>
      <c r="N1296" s="13" t="inlineStr"/>
      <c r="O1296" s="13" t="inlineStr"/>
      <c r="P1296" s="12" t="n"/>
    </row>
    <row r="1297" ht="39.6" customHeight="1">
      <c r="A1297" s="15" t="n">
        <v>20813</v>
      </c>
      <c r="B1297" s="16" t="n">
        <v>44159</v>
      </c>
      <c r="C1297" s="15" t="inlineStr">
        <is>
          <t>Administration</t>
        </is>
      </c>
      <c r="D1297" s="15" t="inlineStr">
        <is>
          <t>NSW Support Services EA</t>
        </is>
      </c>
      <c r="E1297" s="15" t="inlineStr">
        <is>
          <t>FT - Full-time Waged</t>
        </is>
      </c>
      <c r="F1297" s="15" t="inlineStr">
        <is>
          <t>IVFA</t>
        </is>
      </c>
      <c r="G1297" s="15" t="inlineStr">
        <is>
          <t>New South Wales</t>
        </is>
      </c>
      <c r="H1297" s="17" t="inlineStr">
        <is>
          <t>76.00</t>
        </is>
      </c>
      <c r="I1297" s="15" t="inlineStr">
        <is>
          <t>IVF Australia Pty Ltd</t>
        </is>
      </c>
      <c r="J1297" s="18" t="n">
        <v>160.29</v>
      </c>
      <c r="K1297" s="17" t="inlineStr">
        <is>
          <t>160.29</t>
        </is>
      </c>
      <c r="L1297" s="16" t="n">
        <v>45949</v>
      </c>
      <c r="M1297" s="16" t="n">
        <v>44159</v>
      </c>
      <c r="N1297" s="17" t="inlineStr"/>
      <c r="O1297" s="17" t="inlineStr"/>
      <c r="P1297" s="16" t="n"/>
    </row>
    <row r="1298" ht="66" customHeight="1">
      <c r="A1298" s="11" t="n">
        <v>30353</v>
      </c>
      <c r="B1298" s="12" t="n">
        <v>43773</v>
      </c>
      <c r="C1298" s="11" t="inlineStr">
        <is>
          <t>CSSD Tech</t>
        </is>
      </c>
      <c r="D1298" s="11" t="inlineStr">
        <is>
          <t>NSW Support Services EA</t>
        </is>
      </c>
      <c r="E1298" s="11" t="inlineStr">
        <is>
          <t>FT - Full-time Waged</t>
        </is>
      </c>
      <c r="F1298" s="11" t="inlineStr">
        <is>
          <t>Day Hospitals</t>
        </is>
      </c>
      <c r="G1298" s="11" t="inlineStr">
        <is>
          <t>New South Wales</t>
        </is>
      </c>
      <c r="H1298" s="13" t="inlineStr">
        <is>
          <t>76.00</t>
        </is>
      </c>
      <c r="I1298" s="11" t="inlineStr">
        <is>
          <t>North Shore Specialist Day Hospital Pty Ltd</t>
        </is>
      </c>
      <c r="J1298" s="14" t="n">
        <v>160.5</v>
      </c>
      <c r="K1298" s="13" t="inlineStr">
        <is>
          <t>160.50</t>
        </is>
      </c>
      <c r="L1298" s="12" t="n">
        <v>45949</v>
      </c>
      <c r="M1298" s="12" t="n">
        <v>43773</v>
      </c>
      <c r="N1298" s="13" t="inlineStr"/>
      <c r="O1298" s="13" t="inlineStr"/>
      <c r="P1298" s="12" t="n"/>
    </row>
    <row r="1299" ht="39.6" customHeight="1">
      <c r="A1299" s="15" t="n">
        <v>100036</v>
      </c>
      <c r="B1299" s="16" t="n">
        <v>44088</v>
      </c>
      <c r="C1299" s="15" t="inlineStr">
        <is>
          <t>Administration</t>
        </is>
      </c>
      <c r="D1299" s="15" t="inlineStr">
        <is>
          <t>NSW Support Services EA</t>
        </is>
      </c>
      <c r="E1299" s="15" t="inlineStr">
        <is>
          <t>FT - Full-time Waged</t>
        </is>
      </c>
      <c r="F1299" s="15" t="inlineStr">
        <is>
          <t>IVFA</t>
        </is>
      </c>
      <c r="G1299" s="15" t="inlineStr">
        <is>
          <t>Western Australia</t>
        </is>
      </c>
      <c r="H1299" s="17" t="inlineStr">
        <is>
          <t>76.00</t>
        </is>
      </c>
      <c r="I1299" s="15" t="inlineStr">
        <is>
          <t>IVF Australia Pty Ltd</t>
        </is>
      </c>
      <c r="J1299" s="18" t="n">
        <v>161.34</v>
      </c>
      <c r="K1299" s="17" t="inlineStr">
        <is>
          <t>161.34</t>
        </is>
      </c>
      <c r="L1299" s="16" t="n">
        <v>45949</v>
      </c>
      <c r="M1299" s="16" t="n">
        <v>44088</v>
      </c>
      <c r="N1299" s="17" t="inlineStr"/>
      <c r="O1299" s="17" t="inlineStr"/>
      <c r="P1299" s="16" t="n"/>
    </row>
    <row r="1300" ht="39.6" customHeight="1">
      <c r="A1300" s="11" t="n">
        <v>19811</v>
      </c>
      <c r="B1300" s="12" t="n">
        <v>40515</v>
      </c>
      <c r="C1300" s="11" t="inlineStr">
        <is>
          <t>Administration Manager</t>
        </is>
      </c>
      <c r="D1300" s="11" t="inlineStr">
        <is>
          <t>NSW Support Services EA</t>
        </is>
      </c>
      <c r="E1300" s="11" t="inlineStr">
        <is>
          <t>FT - Full-time Waged</t>
        </is>
      </c>
      <c r="F1300" s="11" t="inlineStr">
        <is>
          <t>IVFA</t>
        </is>
      </c>
      <c r="G1300" s="11" t="inlineStr">
        <is>
          <t>New South Wales</t>
        </is>
      </c>
      <c r="H1300" s="13" t="inlineStr">
        <is>
          <t>76.00</t>
        </is>
      </c>
      <c r="I1300" s="11" t="inlineStr">
        <is>
          <t>IVF Australia Pty Ltd</t>
        </is>
      </c>
      <c r="J1300" s="14" t="n">
        <v>404.29</v>
      </c>
      <c r="K1300" s="13" t="inlineStr">
        <is>
          <t>162.32</t>
        </is>
      </c>
      <c r="L1300" s="12" t="n">
        <v>45949</v>
      </c>
      <c r="M1300" s="12" t="n">
        <v>44168</v>
      </c>
      <c r="N1300" s="13" t="inlineStr">
        <is>
          <t>317.97</t>
        </is>
      </c>
      <c r="O1300" s="13" t="inlineStr">
        <is>
          <t>76.00</t>
        </is>
      </c>
      <c r="P1300" s="12" t="n"/>
    </row>
    <row r="1301" ht="39.6" customHeight="1">
      <c r="A1301" s="15" t="n">
        <v>20793</v>
      </c>
      <c r="B1301" s="16" t="n">
        <v>44102</v>
      </c>
      <c r="C1301" s="15" t="inlineStr">
        <is>
          <t>Unit Nurse Manager</t>
        </is>
      </c>
      <c r="D1301" s="15" t="inlineStr">
        <is>
          <t>NSW Nurse EA</t>
        </is>
      </c>
      <c r="E1301" s="15" t="inlineStr">
        <is>
          <t>FT - Full-time Waged</t>
        </is>
      </c>
      <c r="F1301" s="15" t="inlineStr">
        <is>
          <t>IVFA</t>
        </is>
      </c>
      <c r="G1301" s="15" t="inlineStr">
        <is>
          <t>New South Wales</t>
        </is>
      </c>
      <c r="H1301" s="17" t="inlineStr">
        <is>
          <t>76.00</t>
        </is>
      </c>
      <c r="I1301" s="15" t="inlineStr">
        <is>
          <t>IVF Australia Pty Ltd</t>
        </is>
      </c>
      <c r="J1301" s="18" t="n">
        <v>162.42</v>
      </c>
      <c r="K1301" s="17" t="inlineStr">
        <is>
          <t>162.42</t>
        </is>
      </c>
      <c r="L1301" s="16" t="n">
        <v>45949</v>
      </c>
      <c r="M1301" s="16" t="n">
        <v>44102</v>
      </c>
      <c r="N1301" s="17" t="inlineStr"/>
      <c r="O1301" s="17" t="inlineStr"/>
      <c r="P1301" s="16" t="n"/>
    </row>
    <row r="1302" ht="39.6" customHeight="1">
      <c r="A1302" s="11" t="n">
        <v>40110</v>
      </c>
      <c r="B1302" s="12" t="n">
        <v>43563</v>
      </c>
      <c r="C1302" s="11" t="inlineStr">
        <is>
          <t>Registered Nurse</t>
        </is>
      </c>
      <c r="D1302" s="11" t="inlineStr">
        <is>
          <t>NSW Nurse EA</t>
        </is>
      </c>
      <c r="E1302" s="11" t="inlineStr">
        <is>
          <t>PP - Part-time Waged</t>
        </is>
      </c>
      <c r="F1302" s="11" t="inlineStr">
        <is>
          <t>Day Hospitals</t>
        </is>
      </c>
      <c r="G1302" s="11" t="inlineStr">
        <is>
          <t>New South Wales</t>
        </is>
      </c>
      <c r="H1302" s="13" t="inlineStr">
        <is>
          <t>76.00</t>
        </is>
      </c>
      <c r="I1302" s="11" t="inlineStr">
        <is>
          <t>City West Day Surgery</t>
        </is>
      </c>
      <c r="J1302" s="14" t="n">
        <v>162.44</v>
      </c>
      <c r="K1302" s="13" t="inlineStr">
        <is>
          <t>162.44</t>
        </is>
      </c>
      <c r="L1302" s="12" t="n">
        <v>45949</v>
      </c>
      <c r="M1302" s="12" t="n">
        <v>43563</v>
      </c>
      <c r="N1302" s="13" t="inlineStr"/>
      <c r="O1302" s="13" t="inlineStr"/>
      <c r="P1302" s="12" t="n"/>
    </row>
    <row r="1303" ht="52.8" customHeight="1">
      <c r="A1303" s="15" t="n">
        <v>20595</v>
      </c>
      <c r="B1303" s="16" t="n">
        <v>43052</v>
      </c>
      <c r="C1303" s="15" t="inlineStr">
        <is>
          <t>Facilities and Projects manager</t>
        </is>
      </c>
      <c r="D1303" s="15" t="inlineStr">
        <is>
          <t>Common Law Employment Contract</t>
        </is>
      </c>
      <c r="E1303" s="15" t="inlineStr">
        <is>
          <t>PT - Part-time Salary</t>
        </is>
      </c>
      <c r="F1303" s="15" t="inlineStr">
        <is>
          <t>IVFA</t>
        </is>
      </c>
      <c r="G1303" s="15" t="inlineStr">
        <is>
          <t>New South Wales</t>
        </is>
      </c>
      <c r="H1303" s="17" t="inlineStr">
        <is>
          <t>76.00</t>
        </is>
      </c>
      <c r="I1303" s="15" t="inlineStr">
        <is>
          <t>IVF Australia Pty Ltd</t>
        </is>
      </c>
      <c r="J1303" s="18" t="n">
        <v>162.55</v>
      </c>
      <c r="K1303" s="17" t="inlineStr">
        <is>
          <t>162.55</t>
        </is>
      </c>
      <c r="L1303" s="16" t="n">
        <v>45949</v>
      </c>
      <c r="M1303" s="16" t="n">
        <v>43052</v>
      </c>
      <c r="N1303" s="17" t="inlineStr"/>
      <c r="O1303" s="17" t="inlineStr"/>
      <c r="P1303" s="16" t="n"/>
    </row>
    <row r="1304" ht="52.8" customHeight="1">
      <c r="A1304" s="11" t="n">
        <v>80372</v>
      </c>
      <c r="B1304" s="12" t="n">
        <v>44088</v>
      </c>
      <c r="C1304" s="11" t="inlineStr">
        <is>
          <t xml:space="preserve"> Embryologist</t>
        </is>
      </c>
      <c r="D1304" s="11" t="inlineStr">
        <is>
          <t>QLD Scientists EA</t>
        </is>
      </c>
      <c r="E1304" s="11" t="inlineStr">
        <is>
          <t>FT - Full-time Waged</t>
        </is>
      </c>
      <c r="F1304" s="11" t="inlineStr">
        <is>
          <t>Queensland Fertility Group</t>
        </is>
      </c>
      <c r="G1304" s="11" t="inlineStr">
        <is>
          <t>Queensland</t>
        </is>
      </c>
      <c r="H1304" s="13" t="inlineStr">
        <is>
          <t>76.00</t>
        </is>
      </c>
      <c r="I1304" s="11" t="inlineStr">
        <is>
          <t>Queensland Fertility Group Pty Ltd</t>
        </is>
      </c>
      <c r="J1304" s="14" t="n">
        <v>162.94</v>
      </c>
      <c r="K1304" s="13" t="inlineStr">
        <is>
          <t>162.94</t>
        </is>
      </c>
      <c r="L1304" s="12" t="n">
        <v>45949</v>
      </c>
      <c r="M1304" s="12" t="n">
        <v>44088</v>
      </c>
      <c r="N1304" s="13" t="inlineStr"/>
      <c r="O1304" s="13" t="inlineStr"/>
      <c r="P1304" s="12" t="n"/>
    </row>
    <row r="1305" ht="39.6" customHeight="1">
      <c r="A1305" s="15" t="n">
        <v>20689</v>
      </c>
      <c r="B1305" s="16" t="n">
        <v>43647</v>
      </c>
      <c r="C1305" s="15" t="inlineStr">
        <is>
          <t>Medical Secretary</t>
        </is>
      </c>
      <c r="D1305" s="15" t="inlineStr">
        <is>
          <t>NSW Support Services EA</t>
        </is>
      </c>
      <c r="E1305" s="15" t="inlineStr">
        <is>
          <t>PP - Part-time Waged</t>
        </is>
      </c>
      <c r="F1305" s="15" t="inlineStr">
        <is>
          <t>IVFA</t>
        </is>
      </c>
      <c r="G1305" s="15" t="inlineStr">
        <is>
          <t>New South Wales</t>
        </is>
      </c>
      <c r="H1305" s="17" t="inlineStr">
        <is>
          <t>54.00</t>
        </is>
      </c>
      <c r="I1305" s="15" t="inlineStr">
        <is>
          <t>IVF Australia Pty Ltd</t>
        </is>
      </c>
      <c r="J1305" s="18" t="n">
        <v>163.35</v>
      </c>
      <c r="K1305" s="17" t="inlineStr">
        <is>
          <t>163.35</t>
        </is>
      </c>
      <c r="L1305" s="16" t="n">
        <v>45949</v>
      </c>
      <c r="M1305" s="16" t="n">
        <v>43647</v>
      </c>
      <c r="N1305" s="17" t="inlineStr"/>
      <c r="O1305" s="17" t="inlineStr"/>
      <c r="P1305" s="16" t="n"/>
    </row>
    <row r="1306" ht="39.6" customHeight="1">
      <c r="A1306" s="11" t="n">
        <v>20666</v>
      </c>
      <c r="B1306" s="12" t="n">
        <v>43537</v>
      </c>
      <c r="C1306" s="11" t="inlineStr">
        <is>
          <t>Nurse Coordinator</t>
        </is>
      </c>
      <c r="D1306" s="11" t="inlineStr">
        <is>
          <t>NSW Nurse EA</t>
        </is>
      </c>
      <c r="E1306" s="11" t="inlineStr">
        <is>
          <t>FT - Full-time Waged</t>
        </is>
      </c>
      <c r="F1306" s="11" t="inlineStr">
        <is>
          <t>IVFA</t>
        </is>
      </c>
      <c r="G1306" s="11" t="inlineStr">
        <is>
          <t>New South Wales</t>
        </is>
      </c>
      <c r="H1306" s="13" t="inlineStr">
        <is>
          <t>76.00</t>
        </is>
      </c>
      <c r="I1306" s="11" t="inlineStr">
        <is>
          <t>IVF Australia Pty Ltd</t>
        </is>
      </c>
      <c r="J1306" s="14" t="n">
        <v>165.8</v>
      </c>
      <c r="K1306" s="13" t="inlineStr">
        <is>
          <t>165.80</t>
        </is>
      </c>
      <c r="L1306" s="12" t="n">
        <v>45949</v>
      </c>
      <c r="M1306" s="12" t="n">
        <v>43537</v>
      </c>
      <c r="N1306" s="13" t="inlineStr"/>
      <c r="O1306" s="13" t="inlineStr"/>
      <c r="P1306" s="12" t="n"/>
    </row>
    <row r="1307" ht="52.8" customHeight="1">
      <c r="A1307" s="15" t="n">
        <v>80348</v>
      </c>
      <c r="B1307" s="16" t="n">
        <v>43976</v>
      </c>
      <c r="C1307" s="15" t="inlineStr">
        <is>
          <t>Embryologist</t>
        </is>
      </c>
      <c r="D1307" s="15" t="inlineStr">
        <is>
          <t>QLD Scientists EA</t>
        </is>
      </c>
      <c r="E1307" s="15" t="inlineStr">
        <is>
          <t>FT - Full-time Waged</t>
        </is>
      </c>
      <c r="F1307" s="15" t="inlineStr">
        <is>
          <t>Queensland Fertility Group</t>
        </is>
      </c>
      <c r="G1307" s="15" t="inlineStr">
        <is>
          <t>Queensland</t>
        </is>
      </c>
      <c r="H1307" s="17" t="inlineStr">
        <is>
          <t>76.00</t>
        </is>
      </c>
      <c r="I1307" s="15" t="inlineStr">
        <is>
          <t>Queensland Fertility Group Pty Ltd</t>
        </is>
      </c>
      <c r="J1307" s="18" t="n">
        <v>168.14</v>
      </c>
      <c r="K1307" s="17" t="inlineStr">
        <is>
          <t>168.14</t>
        </is>
      </c>
      <c r="L1307" s="16" t="n">
        <v>45949</v>
      </c>
      <c r="M1307" s="16" t="n">
        <v>43976</v>
      </c>
      <c r="N1307" s="17" t="inlineStr"/>
      <c r="O1307" s="17" t="inlineStr"/>
      <c r="P1307" s="16" t="n"/>
    </row>
    <row r="1308" ht="52.8" customHeight="1">
      <c r="A1308" s="11" t="n">
        <v>80397</v>
      </c>
      <c r="B1308" s="12" t="n">
        <v>43983</v>
      </c>
      <c r="C1308" s="11" t="inlineStr">
        <is>
          <t>Embryology Regional Coordinator</t>
        </is>
      </c>
      <c r="D1308" s="11" t="inlineStr">
        <is>
          <t>QLD Scientists EA</t>
        </is>
      </c>
      <c r="E1308" s="11" t="inlineStr">
        <is>
          <t>FT - Full-time Waged</t>
        </is>
      </c>
      <c r="F1308" s="11" t="inlineStr">
        <is>
          <t>Queensland Fertility Group</t>
        </is>
      </c>
      <c r="G1308" s="11" t="inlineStr">
        <is>
          <t>Queensland</t>
        </is>
      </c>
      <c r="H1308" s="13" t="inlineStr">
        <is>
          <t>76.00</t>
        </is>
      </c>
      <c r="I1308" s="11" t="inlineStr">
        <is>
          <t>Queensland Fertility Group Pty Ltd</t>
        </is>
      </c>
      <c r="J1308" s="14" t="n">
        <v>168.51</v>
      </c>
      <c r="K1308" s="13" t="inlineStr">
        <is>
          <t>168.51</t>
        </is>
      </c>
      <c r="L1308" s="12" t="n">
        <v>45949</v>
      </c>
      <c r="M1308" s="12" t="n">
        <v>43983</v>
      </c>
      <c r="N1308" s="13" t="inlineStr"/>
      <c r="O1308" s="13" t="inlineStr"/>
      <c r="P1308" s="12" t="n"/>
    </row>
    <row r="1309" ht="66" customHeight="1">
      <c r="A1309" s="15" t="n">
        <v>80375</v>
      </c>
      <c r="B1309" s="16" t="n">
        <v>44095</v>
      </c>
      <c r="C1309" s="15" t="inlineStr">
        <is>
          <t>Executive Assistant &amp; HR Administration</t>
        </is>
      </c>
      <c r="D1309" s="15" t="inlineStr">
        <is>
          <t>Common Law Employment Contract</t>
        </is>
      </c>
      <c r="E1309" s="15" t="inlineStr">
        <is>
          <t>FP - Full-time Salaried</t>
        </is>
      </c>
      <c r="F1309" s="15" t="inlineStr">
        <is>
          <t>Queensland Fertility Group</t>
        </is>
      </c>
      <c r="G1309" s="15" t="inlineStr">
        <is>
          <t>Queensland</t>
        </is>
      </c>
      <c r="H1309" s="17" t="inlineStr">
        <is>
          <t>76.00</t>
        </is>
      </c>
      <c r="I1309" s="15" t="inlineStr">
        <is>
          <t>Queensland Fertility Group Pty Ltd</t>
        </is>
      </c>
      <c r="J1309" s="18" t="n">
        <v>169.11</v>
      </c>
      <c r="K1309" s="17" t="inlineStr">
        <is>
          <t>169.11</t>
        </is>
      </c>
      <c r="L1309" s="16" t="n">
        <v>45949</v>
      </c>
      <c r="M1309" s="16" t="n">
        <v>44095</v>
      </c>
      <c r="N1309" s="17" t="inlineStr"/>
      <c r="O1309" s="17" t="inlineStr"/>
      <c r="P1309" s="16" t="n"/>
    </row>
    <row r="1310" ht="39.6" customHeight="1">
      <c r="A1310" s="11" t="n">
        <v>20782</v>
      </c>
      <c r="B1310" s="12" t="n">
        <v>44060</v>
      </c>
      <c r="C1310" s="11" t="inlineStr">
        <is>
          <t>Embryologist</t>
        </is>
      </c>
      <c r="D1310" s="11" t="inlineStr">
        <is>
          <t>IVFA Scientists EA</t>
        </is>
      </c>
      <c r="E1310" s="11" t="inlineStr">
        <is>
          <t>FT - Full-time Waged</t>
        </is>
      </c>
      <c r="F1310" s="11" t="inlineStr">
        <is>
          <t>The Fertility Centre</t>
        </is>
      </c>
      <c r="G1310" s="11" t="inlineStr">
        <is>
          <t>New South Wales</t>
        </is>
      </c>
      <c r="H1310" s="13" t="inlineStr">
        <is>
          <t>76.00</t>
        </is>
      </c>
      <c r="I1310" s="11" t="inlineStr">
        <is>
          <t>IVF Australia Pty Ltd</t>
        </is>
      </c>
      <c r="J1310" s="14" t="n">
        <v>169.8</v>
      </c>
      <c r="K1310" s="13" t="inlineStr">
        <is>
          <t>169.80</t>
        </is>
      </c>
      <c r="L1310" s="12" t="n">
        <v>45949</v>
      </c>
      <c r="M1310" s="12" t="n">
        <v>44060</v>
      </c>
      <c r="N1310" s="13" t="inlineStr"/>
      <c r="O1310" s="13" t="inlineStr"/>
      <c r="P1310" s="12" t="n"/>
    </row>
    <row r="1311" ht="39.6" customHeight="1">
      <c r="A1311" s="15" t="n">
        <v>20773</v>
      </c>
      <c r="B1311" s="16" t="n">
        <v>44053</v>
      </c>
      <c r="C1311" s="15" t="inlineStr">
        <is>
          <t>Embryologist</t>
        </is>
      </c>
      <c r="D1311" s="15" t="inlineStr">
        <is>
          <t>IVFA Scientists EA</t>
        </is>
      </c>
      <c r="E1311" s="15" t="inlineStr">
        <is>
          <t>FT - Full-time Waged</t>
        </is>
      </c>
      <c r="F1311" s="15" t="inlineStr">
        <is>
          <t>IVFA</t>
        </is>
      </c>
      <c r="G1311" s="15" t="inlineStr">
        <is>
          <t>New South Wales</t>
        </is>
      </c>
      <c r="H1311" s="17" t="inlineStr">
        <is>
          <t>76.00</t>
        </is>
      </c>
      <c r="I1311" s="15" t="inlineStr">
        <is>
          <t>IVF Australia Pty Ltd</t>
        </is>
      </c>
      <c r="J1311" s="18" t="n">
        <v>171.88</v>
      </c>
      <c r="K1311" s="17" t="inlineStr">
        <is>
          <t>171.88</t>
        </is>
      </c>
      <c r="L1311" s="16" t="n">
        <v>45949</v>
      </c>
      <c r="M1311" s="16" t="n">
        <v>44053</v>
      </c>
      <c r="N1311" s="17" t="inlineStr"/>
      <c r="O1311" s="17" t="inlineStr"/>
      <c r="P1311" s="16" t="n"/>
    </row>
    <row r="1312" ht="79.2" customHeight="1">
      <c r="A1312" s="11" t="n">
        <v>80364</v>
      </c>
      <c r="B1312" s="12" t="n">
        <v>44054</v>
      </c>
      <c r="C1312" s="11" t="inlineStr">
        <is>
          <t xml:space="preserve"> Acc Receivable Mgr</t>
        </is>
      </c>
      <c r="D1312" s="11" t="inlineStr">
        <is>
          <t>Health Professionals and Support Services Award</t>
        </is>
      </c>
      <c r="E1312" s="11" t="inlineStr">
        <is>
          <t>FT - Full-time Waged</t>
        </is>
      </c>
      <c r="F1312" s="11" t="inlineStr">
        <is>
          <t>Diagnostics</t>
        </is>
      </c>
      <c r="G1312" s="11" t="inlineStr">
        <is>
          <t>Queensland</t>
        </is>
      </c>
      <c r="H1312" s="13" t="inlineStr">
        <is>
          <t>76.00</t>
        </is>
      </c>
      <c r="I1312" s="11" t="inlineStr">
        <is>
          <t>Queensland Fertility Group Pty Ltd</t>
        </is>
      </c>
      <c r="J1312" s="14" t="n">
        <v>172.67</v>
      </c>
      <c r="K1312" s="13" t="inlineStr">
        <is>
          <t>172.67</t>
        </is>
      </c>
      <c r="L1312" s="12" t="n">
        <v>45949</v>
      </c>
      <c r="M1312" s="12" t="n">
        <v>44054</v>
      </c>
      <c r="N1312" s="13" t="inlineStr"/>
      <c r="O1312" s="13" t="inlineStr"/>
      <c r="P1312" s="12" t="n"/>
    </row>
    <row r="1313" ht="52.8" customHeight="1">
      <c r="A1313" s="15" t="inlineStr">
        <is>
          <t>AU23712</t>
        </is>
      </c>
      <c r="B1313" s="16" t="n">
        <v>45838</v>
      </c>
      <c r="C1313" s="15" t="inlineStr">
        <is>
          <t xml:space="preserve">Business Development Manager </t>
        </is>
      </c>
      <c r="D1313" s="15" t="inlineStr">
        <is>
          <t>Common Law Employment Contract</t>
        </is>
      </c>
      <c r="E1313" s="15" t="inlineStr">
        <is>
          <t>FP - Full-time Salaried</t>
        </is>
      </c>
      <c r="F1313" s="15" t="inlineStr">
        <is>
          <t>Diagnostics</t>
        </is>
      </c>
      <c r="G1313" s="15" t="inlineStr">
        <is>
          <t>New South Wales</t>
        </is>
      </c>
      <c r="H1313" s="17" t="inlineStr">
        <is>
          <t>76.00</t>
        </is>
      </c>
      <c r="I1313" s="15" t="inlineStr">
        <is>
          <t>Virtus Health Specialist Diagnostics</t>
        </is>
      </c>
      <c r="J1313" s="18" t="n">
        <v>172.9</v>
      </c>
      <c r="K1313" s="17" t="inlineStr">
        <is>
          <t>172.90</t>
        </is>
      </c>
      <c r="L1313" s="16" t="n">
        <v>45949</v>
      </c>
      <c r="M1313" s="16" t="n">
        <v>44039</v>
      </c>
      <c r="N1313" s="17" t="inlineStr"/>
      <c r="O1313" s="17" t="inlineStr"/>
      <c r="P1313" s="16" t="n"/>
    </row>
    <row r="1314" ht="39.6" customHeight="1">
      <c r="A1314" s="11" t="n">
        <v>20755</v>
      </c>
      <c r="B1314" s="12" t="n">
        <v>44013</v>
      </c>
      <c r="C1314" s="11" t="inlineStr">
        <is>
          <t>Clinical Nurse Specialist</t>
        </is>
      </c>
      <c r="D1314" s="11" t="inlineStr">
        <is>
          <t>NSW Nurse EA</t>
        </is>
      </c>
      <c r="E1314" s="11" t="inlineStr">
        <is>
          <t>FT - Full-time Waged</t>
        </is>
      </c>
      <c r="F1314" s="11" t="inlineStr">
        <is>
          <t>IVFA</t>
        </is>
      </c>
      <c r="G1314" s="11" t="inlineStr">
        <is>
          <t>New South Wales</t>
        </is>
      </c>
      <c r="H1314" s="13" t="inlineStr">
        <is>
          <t>76.00</t>
        </is>
      </c>
      <c r="I1314" s="11" t="inlineStr">
        <is>
          <t>IVF Australia Pty Ltd</t>
        </is>
      </c>
      <c r="J1314" s="14" t="n">
        <v>174.53</v>
      </c>
      <c r="K1314" s="13" t="inlineStr">
        <is>
          <t>174.53</t>
        </is>
      </c>
      <c r="L1314" s="12" t="n">
        <v>45949</v>
      </c>
      <c r="M1314" s="12" t="n">
        <v>44013</v>
      </c>
      <c r="N1314" s="13" t="inlineStr"/>
      <c r="O1314" s="13" t="inlineStr"/>
      <c r="P1314" s="12" t="n"/>
    </row>
    <row r="1315" ht="79.2" customHeight="1">
      <c r="A1315" s="15" t="n">
        <v>90106</v>
      </c>
      <c r="B1315" s="16" t="n">
        <v>43773</v>
      </c>
      <c r="C1315" s="15" t="inlineStr">
        <is>
          <t>Administration</t>
        </is>
      </c>
      <c r="D1315" s="15" t="inlineStr">
        <is>
          <t>Health Professionals and Support Services Award</t>
        </is>
      </c>
      <c r="E1315" s="15" t="inlineStr">
        <is>
          <t>FT - Full-time Waged</t>
        </is>
      </c>
      <c r="F1315" s="15" t="inlineStr">
        <is>
          <t>Diagnostics</t>
        </is>
      </c>
      <c r="G1315" s="15" t="inlineStr">
        <is>
          <t>New South Wales</t>
        </is>
      </c>
      <c r="H1315" s="17" t="inlineStr">
        <is>
          <t>76.00</t>
        </is>
      </c>
      <c r="I1315" s="15" t="inlineStr">
        <is>
          <t>Virtus Health Specialist Diagnostics</t>
        </is>
      </c>
      <c r="J1315" s="18" t="n">
        <v>174.59</v>
      </c>
      <c r="K1315" s="17" t="inlineStr">
        <is>
          <t>174.59</t>
        </is>
      </c>
      <c r="L1315" s="16" t="n">
        <v>45949</v>
      </c>
      <c r="M1315" s="16" t="n">
        <v>43773</v>
      </c>
      <c r="N1315" s="17" t="inlineStr"/>
      <c r="O1315" s="17" t="inlineStr"/>
      <c r="P1315" s="16" t="n"/>
    </row>
    <row r="1316" ht="52.8" customHeight="1">
      <c r="A1316" s="11" t="inlineStr">
        <is>
          <t>AU23301</t>
        </is>
      </c>
      <c r="B1316" s="12" t="n">
        <v>45474</v>
      </c>
      <c r="C1316" s="11" t="inlineStr">
        <is>
          <t>Technology Business Partner</t>
        </is>
      </c>
      <c r="D1316" s="11" t="inlineStr">
        <is>
          <t>Common Law Employment Contract</t>
        </is>
      </c>
      <c r="E1316" s="11" t="inlineStr">
        <is>
          <t>FP - Full-time Salaried</t>
        </is>
      </c>
      <c r="F1316" s="11" t="inlineStr">
        <is>
          <t>Corporate Services</t>
        </is>
      </c>
      <c r="G1316" s="11" t="inlineStr">
        <is>
          <t>Victoria</t>
        </is>
      </c>
      <c r="H1316" s="13" t="inlineStr">
        <is>
          <t>76.00</t>
        </is>
      </c>
      <c r="I1316" s="11" t="inlineStr">
        <is>
          <t>IVF Australia Pty Ltd</t>
        </is>
      </c>
      <c r="J1316" s="14" t="n">
        <v>175.07</v>
      </c>
      <c r="K1316" s="13" t="inlineStr">
        <is>
          <t>175.07</t>
        </is>
      </c>
      <c r="L1316" s="12" t="n">
        <v>45949</v>
      </c>
      <c r="M1316" s="12" t="n">
        <v>44053</v>
      </c>
      <c r="N1316" s="13" t="inlineStr"/>
      <c r="O1316" s="13" t="inlineStr"/>
      <c r="P1316" s="12" t="n"/>
    </row>
    <row r="1317" ht="52.8" customHeight="1">
      <c r="A1317" s="15" t="n">
        <v>80414</v>
      </c>
      <c r="B1317" s="16" t="n">
        <v>44333</v>
      </c>
      <c r="C1317" s="15" t="inlineStr">
        <is>
          <t>Nurse Coordinator</t>
        </is>
      </c>
      <c r="D1317" s="15" t="inlineStr">
        <is>
          <t>QLD Nurse EA</t>
        </is>
      </c>
      <c r="E1317" s="15" t="inlineStr">
        <is>
          <t>PP - Part-time Waged</t>
        </is>
      </c>
      <c r="F1317" s="15" t="inlineStr">
        <is>
          <t>The Fertility Centre</t>
        </is>
      </c>
      <c r="G1317" s="15" t="inlineStr">
        <is>
          <t>Queensland</t>
        </is>
      </c>
      <c r="H1317" s="17" t="inlineStr">
        <is>
          <t>60.80</t>
        </is>
      </c>
      <c r="I1317" s="15" t="inlineStr">
        <is>
          <t>Queensland Fertility Group Pty Ltd</t>
        </is>
      </c>
      <c r="J1317" s="18" t="n">
        <v>175.86</v>
      </c>
      <c r="K1317" s="17" t="inlineStr">
        <is>
          <t>175.86</t>
        </is>
      </c>
      <c r="L1317" s="16" t="n">
        <v>45949</v>
      </c>
      <c r="M1317" s="16" t="n">
        <v>44333</v>
      </c>
      <c r="N1317" s="17" t="inlineStr"/>
      <c r="O1317" s="17" t="inlineStr"/>
      <c r="P1317" s="16" t="n"/>
    </row>
    <row r="1318" ht="79.2" customHeight="1">
      <c r="A1318" s="11" t="n">
        <v>90094</v>
      </c>
      <c r="B1318" s="12" t="n">
        <v>43558</v>
      </c>
      <c r="C1318" s="11" t="inlineStr">
        <is>
          <t>Courier</t>
        </is>
      </c>
      <c r="D1318" s="11" t="inlineStr">
        <is>
          <t>Health Professionals and Support Services Award</t>
        </is>
      </c>
      <c r="E1318" s="11" t="inlineStr">
        <is>
          <t>PP - Part-time Waged</t>
        </is>
      </c>
      <c r="F1318" s="11" t="inlineStr">
        <is>
          <t>Diagnostics</t>
        </is>
      </c>
      <c r="G1318" s="11" t="inlineStr">
        <is>
          <t>New South Wales</t>
        </is>
      </c>
      <c r="H1318" s="13" t="inlineStr">
        <is>
          <t>60.00</t>
        </is>
      </c>
      <c r="I1318" s="11" t="inlineStr">
        <is>
          <t>Virtus Health Specialist Diagnostics</t>
        </is>
      </c>
      <c r="J1318" s="14" t="n">
        <v>176.07</v>
      </c>
      <c r="K1318" s="13" t="inlineStr">
        <is>
          <t>176.07</t>
        </is>
      </c>
      <c r="L1318" s="12" t="n">
        <v>45949</v>
      </c>
      <c r="M1318" s="12" t="n">
        <v>43558</v>
      </c>
      <c r="N1318" s="13" t="inlineStr"/>
      <c r="O1318" s="13" t="inlineStr"/>
      <c r="P1318" s="12" t="n"/>
    </row>
    <row r="1319" ht="52.8" customHeight="1">
      <c r="A1319" s="15" t="inlineStr">
        <is>
          <t>AU23782</t>
        </is>
      </c>
      <c r="B1319" s="16" t="n">
        <v>45866</v>
      </c>
      <c r="C1319" s="15" t="inlineStr">
        <is>
          <t>Nurse Coordinator</t>
        </is>
      </c>
      <c r="D1319" s="15" t="inlineStr">
        <is>
          <t>QLD Nurse EA</t>
        </is>
      </c>
      <c r="E1319" s="15" t="inlineStr">
        <is>
          <t>PP - Part-time Waged</t>
        </is>
      </c>
      <c r="F1319" s="15" t="inlineStr">
        <is>
          <t>Queensland Fertility Group</t>
        </is>
      </c>
      <c r="G1319" s="15" t="inlineStr">
        <is>
          <t>Queensland</t>
        </is>
      </c>
      <c r="H1319" s="17" t="inlineStr">
        <is>
          <t>45.60</t>
        </is>
      </c>
      <c r="I1319" s="15" t="inlineStr">
        <is>
          <t>Queensland Fertility Group Pty Ltd</t>
        </is>
      </c>
      <c r="J1319" s="18" t="n">
        <v>178.02</v>
      </c>
      <c r="K1319" s="17" t="inlineStr">
        <is>
          <t>178.02</t>
        </is>
      </c>
      <c r="L1319" s="16" t="n">
        <v>45949</v>
      </c>
      <c r="M1319" s="16" t="n">
        <v>42843</v>
      </c>
      <c r="N1319" s="17" t="inlineStr"/>
      <c r="O1319" s="17" t="inlineStr"/>
      <c r="P1319" s="16" t="n"/>
    </row>
    <row r="1320" ht="66" customHeight="1">
      <c r="A1320" s="11" t="n">
        <v>20732</v>
      </c>
      <c r="B1320" s="12" t="n">
        <v>43935</v>
      </c>
      <c r="C1320" s="11" t="inlineStr">
        <is>
          <t>head of ESG and Corporate Communications</t>
        </is>
      </c>
      <c r="D1320" s="11" t="inlineStr">
        <is>
          <t>Common Law Employment Contract</t>
        </is>
      </c>
      <c r="E1320" s="11" t="inlineStr">
        <is>
          <t>PP - Part-time Waged</t>
        </is>
      </c>
      <c r="F1320" s="11" t="inlineStr">
        <is>
          <t>Corporate Services</t>
        </is>
      </c>
      <c r="G1320" s="11" t="inlineStr">
        <is>
          <t>New South Wales</t>
        </is>
      </c>
      <c r="H1320" s="13" t="inlineStr">
        <is>
          <t>76.00</t>
        </is>
      </c>
      <c r="I1320" s="11" t="inlineStr">
        <is>
          <t>IVF Australia Pty Ltd</t>
        </is>
      </c>
      <c r="J1320" s="14" t="n">
        <v>178.22</v>
      </c>
      <c r="K1320" s="13" t="inlineStr">
        <is>
          <t>178.22</t>
        </is>
      </c>
      <c r="L1320" s="12" t="n">
        <v>45949</v>
      </c>
      <c r="M1320" s="12" t="n">
        <v>43935</v>
      </c>
      <c r="N1320" s="13" t="inlineStr"/>
      <c r="O1320" s="13" t="inlineStr"/>
      <c r="P1320" s="12" t="n"/>
    </row>
    <row r="1321" ht="52.8" customHeight="1">
      <c r="A1321" s="15" t="n">
        <v>80351</v>
      </c>
      <c r="B1321" s="16" t="n">
        <v>43983</v>
      </c>
      <c r="C1321" s="15" t="inlineStr">
        <is>
          <t>Fertility Lab Manager</t>
        </is>
      </c>
      <c r="D1321" s="15" t="inlineStr">
        <is>
          <t>Common Law Employment Contract</t>
        </is>
      </c>
      <c r="E1321" s="15" t="inlineStr">
        <is>
          <t>FT - Full-time Waged</t>
        </is>
      </c>
      <c r="F1321" s="15" t="inlineStr">
        <is>
          <t>Queensland Fertility Group</t>
        </is>
      </c>
      <c r="G1321" s="15" t="inlineStr">
        <is>
          <t>Queensland</t>
        </is>
      </c>
      <c r="H1321" s="17" t="inlineStr">
        <is>
          <t>76.00</t>
        </is>
      </c>
      <c r="I1321" s="15" t="inlineStr">
        <is>
          <t>Queensland Fertility Group Pty Ltd</t>
        </is>
      </c>
      <c r="J1321" s="18" t="n">
        <v>186.19</v>
      </c>
      <c r="K1321" s="17" t="inlineStr">
        <is>
          <t>178.59</t>
        </is>
      </c>
      <c r="L1321" s="16" t="n">
        <v>45949</v>
      </c>
      <c r="M1321" s="16" t="n">
        <v>43983</v>
      </c>
      <c r="N1321" s="17" t="inlineStr">
        <is>
          <t>7.60</t>
        </is>
      </c>
      <c r="O1321" s="17" t="inlineStr"/>
      <c r="P1321" s="16" t="n"/>
    </row>
    <row r="1322" ht="39.6" customHeight="1">
      <c r="A1322" s="11" t="n">
        <v>20661</v>
      </c>
      <c r="B1322" s="12" t="n">
        <v>43507</v>
      </c>
      <c r="C1322" s="11" t="inlineStr">
        <is>
          <t>Registered Nurse</t>
        </is>
      </c>
      <c r="D1322" s="11" t="inlineStr">
        <is>
          <t>NSW Nurse EA</t>
        </is>
      </c>
      <c r="E1322" s="11" t="inlineStr">
        <is>
          <t>PP - Part-time Waged</t>
        </is>
      </c>
      <c r="F1322" s="11" t="inlineStr">
        <is>
          <t>IVFA</t>
        </is>
      </c>
      <c r="G1322" s="11" t="inlineStr">
        <is>
          <t>New South Wales</t>
        </is>
      </c>
      <c r="H1322" s="13" t="inlineStr">
        <is>
          <t>57.00</t>
        </is>
      </c>
      <c r="I1322" s="11" t="inlineStr">
        <is>
          <t>IVF Australia Pty Ltd</t>
        </is>
      </c>
      <c r="J1322" s="14" t="n">
        <v>178.6</v>
      </c>
      <c r="K1322" s="13" t="inlineStr">
        <is>
          <t>178.60</t>
        </is>
      </c>
      <c r="L1322" s="12" t="n">
        <v>45949</v>
      </c>
      <c r="M1322" s="12" t="n">
        <v>43507</v>
      </c>
      <c r="N1322" s="13" t="inlineStr"/>
      <c r="O1322" s="13" t="inlineStr"/>
      <c r="P1322" s="12" t="n"/>
    </row>
    <row r="1323" ht="52.8" customHeight="1">
      <c r="A1323" s="15" t="n">
        <v>80342</v>
      </c>
      <c r="B1323" s="16" t="n">
        <v>43962</v>
      </c>
      <c r="C1323" s="15" t="inlineStr">
        <is>
          <t>Embryologist</t>
        </is>
      </c>
      <c r="D1323" s="15" t="inlineStr">
        <is>
          <t>QLD Scientists EA</t>
        </is>
      </c>
      <c r="E1323" s="15" t="inlineStr">
        <is>
          <t>FT - Full-time Waged</t>
        </is>
      </c>
      <c r="F1323" s="15" t="inlineStr">
        <is>
          <t>Queensland Fertility Group</t>
        </is>
      </c>
      <c r="G1323" s="15" t="inlineStr">
        <is>
          <t>Queensland</t>
        </is>
      </c>
      <c r="H1323" s="17" t="inlineStr">
        <is>
          <t>76.00</t>
        </is>
      </c>
      <c r="I1323" s="15" t="inlineStr">
        <is>
          <t>Queensland Fertility Group Pty Ltd</t>
        </is>
      </c>
      <c r="J1323" s="18" t="n">
        <v>181.1</v>
      </c>
      <c r="K1323" s="17" t="inlineStr">
        <is>
          <t>181.10</t>
        </is>
      </c>
      <c r="L1323" s="16" t="n">
        <v>45949</v>
      </c>
      <c r="M1323" s="16" t="n">
        <v>43962</v>
      </c>
      <c r="N1323" s="17" t="inlineStr"/>
      <c r="O1323" s="17" t="inlineStr"/>
      <c r="P1323" s="16" t="n"/>
    </row>
    <row r="1324" ht="39.6" customHeight="1">
      <c r="A1324" s="11" t="n">
        <v>20513</v>
      </c>
      <c r="B1324" s="12" t="n">
        <v>42408</v>
      </c>
      <c r="C1324" s="11" t="inlineStr">
        <is>
          <t>Administration</t>
        </is>
      </c>
      <c r="D1324" s="11" t="inlineStr">
        <is>
          <t>NSW Support Services EA</t>
        </is>
      </c>
      <c r="E1324" s="11" t="inlineStr">
        <is>
          <t>PP - Part-time Waged</t>
        </is>
      </c>
      <c r="F1324" s="11" t="inlineStr">
        <is>
          <t>IVFA</t>
        </is>
      </c>
      <c r="G1324" s="11" t="inlineStr">
        <is>
          <t>New South Wales</t>
        </is>
      </c>
      <c r="H1324" s="13" t="inlineStr">
        <is>
          <t>56.00</t>
        </is>
      </c>
      <c r="I1324" s="11" t="inlineStr">
        <is>
          <t>IVF Australia Pty Ltd</t>
        </is>
      </c>
      <c r="J1324" s="14" t="n">
        <v>182.18</v>
      </c>
      <c r="K1324" s="13" t="inlineStr">
        <is>
          <t>182.18</t>
        </is>
      </c>
      <c r="L1324" s="12" t="n">
        <v>45949</v>
      </c>
      <c r="M1324" s="12" t="n">
        <v>42408</v>
      </c>
      <c r="N1324" s="13" t="inlineStr"/>
      <c r="O1324" s="13" t="inlineStr"/>
      <c r="P1324" s="12" t="n"/>
    </row>
    <row r="1325" ht="52.8" customHeight="1">
      <c r="A1325" s="15" t="n">
        <v>20713</v>
      </c>
      <c r="B1325" s="16" t="n">
        <v>43843</v>
      </c>
      <c r="C1325" s="15" t="inlineStr">
        <is>
          <t>Community Partnerships Manager</t>
        </is>
      </c>
      <c r="D1325" s="15" t="inlineStr">
        <is>
          <t>Common Law Employment Contract</t>
        </is>
      </c>
      <c r="E1325" s="15" t="inlineStr">
        <is>
          <t>FP - Full-time Salaried</t>
        </is>
      </c>
      <c r="F1325" s="15" t="inlineStr">
        <is>
          <t>IVFA</t>
        </is>
      </c>
      <c r="G1325" s="15" t="inlineStr">
        <is>
          <t>New South Wales</t>
        </is>
      </c>
      <c r="H1325" s="17" t="inlineStr">
        <is>
          <t>76.00</t>
        </is>
      </c>
      <c r="I1325" s="15" t="inlineStr">
        <is>
          <t>IVF Australia Pty Ltd</t>
        </is>
      </c>
      <c r="J1325" s="18" t="n">
        <v>184.94</v>
      </c>
      <c r="K1325" s="17" t="inlineStr">
        <is>
          <t>184.94</t>
        </is>
      </c>
      <c r="L1325" s="16" t="n">
        <v>45949</v>
      </c>
      <c r="M1325" s="16" t="n">
        <v>43843</v>
      </c>
      <c r="N1325" s="17" t="inlineStr"/>
      <c r="O1325" s="17" t="inlineStr"/>
      <c r="P1325" s="16" t="n"/>
    </row>
    <row r="1326" ht="39.6" customHeight="1">
      <c r="A1326" s="11" t="n">
        <v>20693</v>
      </c>
      <c r="B1326" s="12" t="n">
        <v>43682</v>
      </c>
      <c r="C1326" s="11" t="inlineStr">
        <is>
          <t>Nurse Coordinator</t>
        </is>
      </c>
      <c r="D1326" s="11" t="inlineStr">
        <is>
          <t>NSW Nurse EA</t>
        </is>
      </c>
      <c r="E1326" s="11" t="inlineStr">
        <is>
          <t>PP - Part-time Waged</t>
        </is>
      </c>
      <c r="F1326" s="11" t="inlineStr">
        <is>
          <t>IVFA</t>
        </is>
      </c>
      <c r="G1326" s="11" t="inlineStr">
        <is>
          <t>New South Wales</t>
        </is>
      </c>
      <c r="H1326" s="13" t="inlineStr">
        <is>
          <t>42.50</t>
        </is>
      </c>
      <c r="I1326" s="11" t="inlineStr">
        <is>
          <t>IVF Australia Pty Ltd</t>
        </is>
      </c>
      <c r="J1326" s="14" t="n">
        <v>185.2</v>
      </c>
      <c r="K1326" s="13" t="inlineStr">
        <is>
          <t>185.20</t>
        </is>
      </c>
      <c r="L1326" s="12" t="n">
        <v>45949</v>
      </c>
      <c r="M1326" s="12" t="n">
        <v>43682</v>
      </c>
      <c r="N1326" s="13" t="inlineStr"/>
      <c r="O1326" s="13" t="inlineStr"/>
      <c r="P1326" s="12" t="n"/>
    </row>
    <row r="1327" ht="52.8" customHeight="1">
      <c r="A1327" s="15" t="n">
        <v>80338</v>
      </c>
      <c r="B1327" s="16" t="n">
        <v>43864</v>
      </c>
      <c r="C1327" s="15" t="inlineStr">
        <is>
          <t>National Operations Manager - Diagnostics</t>
        </is>
      </c>
      <c r="D1327" s="15" t="inlineStr">
        <is>
          <t>Common Law Employment Contract</t>
        </is>
      </c>
      <c r="E1327" s="15" t="inlineStr">
        <is>
          <t>FT - Full-time Waged</t>
        </is>
      </c>
      <c r="F1327" s="15" t="inlineStr">
        <is>
          <t>Diagnostics</t>
        </is>
      </c>
      <c r="G1327" s="15" t="inlineStr">
        <is>
          <t>Queensland</t>
        </is>
      </c>
      <c r="H1327" s="17" t="inlineStr">
        <is>
          <t>76.00</t>
        </is>
      </c>
      <c r="I1327" s="15" t="inlineStr">
        <is>
          <t>Queensland Fertility Group Pty Ltd</t>
        </is>
      </c>
      <c r="J1327" s="18" t="n">
        <v>185.32</v>
      </c>
      <c r="K1327" s="17" t="inlineStr">
        <is>
          <t>185.32</t>
        </is>
      </c>
      <c r="L1327" s="16" t="n">
        <v>45949</v>
      </c>
      <c r="M1327" s="16" t="n">
        <v>43864</v>
      </c>
      <c r="N1327" s="17" t="inlineStr"/>
      <c r="O1327" s="17" t="inlineStr"/>
      <c r="P1327" s="16" t="n"/>
    </row>
    <row r="1328" ht="52.8" customHeight="1">
      <c r="A1328" s="11" t="n">
        <v>80451</v>
      </c>
      <c r="B1328" s="12" t="n">
        <v>44606</v>
      </c>
      <c r="C1328" s="11" t="inlineStr">
        <is>
          <t>Nurse Coordinator</t>
        </is>
      </c>
      <c r="D1328" s="11" t="inlineStr">
        <is>
          <t>QLD Nurse EA</t>
        </is>
      </c>
      <c r="E1328" s="11" t="inlineStr">
        <is>
          <t>FT - Full-time Waged</t>
        </is>
      </c>
      <c r="F1328" s="11" t="inlineStr">
        <is>
          <t>The Fertility Centre</t>
        </is>
      </c>
      <c r="G1328" s="11" t="inlineStr">
        <is>
          <t>Queensland</t>
        </is>
      </c>
      <c r="H1328" s="13" t="inlineStr">
        <is>
          <t>76.00</t>
        </is>
      </c>
      <c r="I1328" s="11" t="inlineStr">
        <is>
          <t>Queensland Fertility Group Pty Ltd</t>
        </is>
      </c>
      <c r="J1328" s="14" t="n">
        <v>185.64</v>
      </c>
      <c r="K1328" s="13" t="inlineStr">
        <is>
          <t>185.64</t>
        </is>
      </c>
      <c r="L1328" s="12" t="n">
        <v>45949</v>
      </c>
      <c r="M1328" s="12" t="n">
        <v>44606</v>
      </c>
      <c r="N1328" s="13" t="inlineStr"/>
      <c r="O1328" s="13" t="inlineStr"/>
      <c r="P1328" s="12" t="n"/>
    </row>
    <row r="1329" ht="79.2" customHeight="1">
      <c r="A1329" s="15" t="n">
        <v>91009</v>
      </c>
      <c r="B1329" s="16" t="n">
        <v>43887</v>
      </c>
      <c r="C1329" s="15" t="inlineStr">
        <is>
          <t>Genetics Scientist</t>
        </is>
      </c>
      <c r="D1329" s="15" t="inlineStr">
        <is>
          <t>Health Professionals and Support Services Award</t>
        </is>
      </c>
      <c r="E1329" s="15" t="inlineStr">
        <is>
          <t>FT - Full-time Waged</t>
        </is>
      </c>
      <c r="F1329" s="15" t="inlineStr">
        <is>
          <t>Diagnostics</t>
        </is>
      </c>
      <c r="G1329" s="15" t="inlineStr">
        <is>
          <t>New South Wales</t>
        </is>
      </c>
      <c r="H1329" s="17" t="inlineStr">
        <is>
          <t>76.00</t>
        </is>
      </c>
      <c r="I1329" s="15" t="inlineStr">
        <is>
          <t>Virtus Health Specialist Diagnostics</t>
        </is>
      </c>
      <c r="J1329" s="18" t="n">
        <v>185.8</v>
      </c>
      <c r="K1329" s="17" t="inlineStr">
        <is>
          <t>185.80</t>
        </is>
      </c>
      <c r="L1329" s="16" t="n">
        <v>45949</v>
      </c>
      <c r="M1329" s="16" t="n">
        <v>43887</v>
      </c>
      <c r="N1329" s="17" t="inlineStr"/>
      <c r="O1329" s="17" t="inlineStr"/>
      <c r="P1329" s="16" t="n"/>
    </row>
    <row r="1330" ht="52.8" customHeight="1">
      <c r="A1330" s="11" t="n">
        <v>80330</v>
      </c>
      <c r="B1330" s="12" t="n">
        <v>43609</v>
      </c>
      <c r="C1330" s="11" t="inlineStr">
        <is>
          <t>Enrolled Nurse</t>
        </is>
      </c>
      <c r="D1330" s="11" t="inlineStr">
        <is>
          <t>QLD Nurse EA</t>
        </is>
      </c>
      <c r="E1330" s="11" t="inlineStr">
        <is>
          <t>PP - Part-time Waged</t>
        </is>
      </c>
      <c r="F1330" s="11" t="inlineStr">
        <is>
          <t>Queensland Fertility Group</t>
        </is>
      </c>
      <c r="G1330" s="11" t="inlineStr">
        <is>
          <t>Queensland</t>
        </is>
      </c>
      <c r="H1330" s="13" t="inlineStr">
        <is>
          <t>45.60</t>
        </is>
      </c>
      <c r="I1330" s="11" t="inlineStr">
        <is>
          <t>Queensland Fertility Group Pty Ltd</t>
        </is>
      </c>
      <c r="J1330" s="14" t="n">
        <v>187.51</v>
      </c>
      <c r="K1330" s="13" t="inlineStr">
        <is>
          <t>187.51</t>
        </is>
      </c>
      <c r="L1330" s="12" t="n">
        <v>45949</v>
      </c>
      <c r="M1330" s="12" t="n">
        <v>43609</v>
      </c>
      <c r="N1330" s="13" t="inlineStr"/>
      <c r="O1330" s="13" t="inlineStr"/>
      <c r="P1330" s="12" t="n"/>
    </row>
    <row r="1331" ht="52.8" customHeight="1">
      <c r="A1331" s="15" t="n">
        <v>80255</v>
      </c>
      <c r="B1331" s="16" t="n">
        <v>42857</v>
      </c>
      <c r="C1331" s="15" t="inlineStr">
        <is>
          <t>Trainee Embryologist</t>
        </is>
      </c>
      <c r="D1331" s="15" t="inlineStr">
        <is>
          <t>QLD Scientists EA</t>
        </is>
      </c>
      <c r="E1331" s="15" t="inlineStr">
        <is>
          <t>PP - Part-time Waged</t>
        </is>
      </c>
      <c r="F1331" s="15" t="inlineStr">
        <is>
          <t>Queensland Fertility Group</t>
        </is>
      </c>
      <c r="G1331" s="15" t="inlineStr">
        <is>
          <t>Queensland</t>
        </is>
      </c>
      <c r="H1331" s="17" t="inlineStr">
        <is>
          <t>45.60</t>
        </is>
      </c>
      <c r="I1331" s="15" t="inlineStr">
        <is>
          <t>Queensland Fertility Group Pty Ltd</t>
        </is>
      </c>
      <c r="J1331" s="18" t="n">
        <v>191.31</v>
      </c>
      <c r="K1331" s="17" t="inlineStr">
        <is>
          <t>191.31</t>
        </is>
      </c>
      <c r="L1331" s="16" t="n">
        <v>45949</v>
      </c>
      <c r="M1331" s="16" t="n">
        <v>42857</v>
      </c>
      <c r="N1331" s="17" t="inlineStr"/>
      <c r="O1331" s="17" t="inlineStr"/>
      <c r="P1331" s="16" t="n"/>
    </row>
    <row r="1332" ht="66" customHeight="1">
      <c r="A1332" s="11" t="n">
        <v>30323</v>
      </c>
      <c r="B1332" s="12" t="n">
        <v>42772</v>
      </c>
      <c r="C1332" s="11" t="inlineStr">
        <is>
          <t>CSSD Tech</t>
        </is>
      </c>
      <c r="D1332" s="11" t="inlineStr">
        <is>
          <t>NSW Support Services EA</t>
        </is>
      </c>
      <c r="E1332" s="11" t="inlineStr">
        <is>
          <t>PP - Part-time Waged</t>
        </is>
      </c>
      <c r="F1332" s="11" t="inlineStr">
        <is>
          <t>Day Hospitals</t>
        </is>
      </c>
      <c r="G1332" s="11" t="inlineStr">
        <is>
          <t>New South Wales</t>
        </is>
      </c>
      <c r="H1332" s="13" t="inlineStr">
        <is>
          <t>64.00</t>
        </is>
      </c>
      <c r="I1332" s="11" t="inlineStr">
        <is>
          <t>North Shore Specialist Day Hospital Pty Ltd</t>
        </is>
      </c>
      <c r="J1332" s="14" t="n">
        <v>31.5</v>
      </c>
      <c r="K1332" s="13" t="inlineStr">
        <is>
          <t>191.50</t>
        </is>
      </c>
      <c r="L1332" s="12" t="n">
        <v>45837</v>
      </c>
      <c r="M1332" s="12" t="n">
        <v>42772</v>
      </c>
      <c r="N1332" s="13" t="inlineStr"/>
      <c r="O1332" s="13" t="inlineStr">
        <is>
          <t>160.00</t>
        </is>
      </c>
      <c r="P1332" s="12" t="n"/>
    </row>
    <row r="1333" ht="39.6" customHeight="1">
      <c r="A1333" s="15" t="n">
        <v>20535</v>
      </c>
      <c r="B1333" s="16" t="n">
        <v>42557</v>
      </c>
      <c r="C1333" s="15" t="inlineStr">
        <is>
          <t>Andrologist</t>
        </is>
      </c>
      <c r="D1333" s="15" t="inlineStr">
        <is>
          <t>IVFA Scientists EA</t>
        </is>
      </c>
      <c r="E1333" s="15" t="inlineStr">
        <is>
          <t>PP - Part-time Waged</t>
        </is>
      </c>
      <c r="F1333" s="15" t="inlineStr">
        <is>
          <t>IVFA</t>
        </is>
      </c>
      <c r="G1333" s="15" t="inlineStr">
        <is>
          <t>New South Wales</t>
        </is>
      </c>
      <c r="H1333" s="17" t="inlineStr">
        <is>
          <t>46.00</t>
        </is>
      </c>
      <c r="I1333" s="15" t="inlineStr">
        <is>
          <t>IVF Australia Pty Ltd</t>
        </is>
      </c>
      <c r="J1333" s="18" t="n">
        <v>191.66</v>
      </c>
      <c r="K1333" s="17" t="inlineStr">
        <is>
          <t>191.66</t>
        </is>
      </c>
      <c r="L1333" s="16" t="n">
        <v>45949</v>
      </c>
      <c r="M1333" s="16" t="n">
        <v>42557</v>
      </c>
      <c r="N1333" s="17" t="inlineStr"/>
      <c r="O1333" s="17" t="inlineStr"/>
      <c r="P1333" s="16" t="n"/>
    </row>
    <row r="1334" ht="52.8" customHeight="1">
      <c r="A1334" s="11" t="n">
        <v>80327</v>
      </c>
      <c r="B1334" s="12" t="n">
        <v>43731</v>
      </c>
      <c r="C1334" s="11" t="inlineStr">
        <is>
          <t>Financial Accountant</t>
        </is>
      </c>
      <c r="D1334" s="11" t="inlineStr">
        <is>
          <t>Common Law Employment Contract</t>
        </is>
      </c>
      <c r="E1334" s="11" t="inlineStr">
        <is>
          <t>FT - Full-time Waged</t>
        </is>
      </c>
      <c r="F1334" s="11" t="inlineStr">
        <is>
          <t>Queensland Fertility Group</t>
        </is>
      </c>
      <c r="G1334" s="11" t="inlineStr">
        <is>
          <t>Queensland</t>
        </is>
      </c>
      <c r="H1334" s="13" t="inlineStr">
        <is>
          <t>76.00</t>
        </is>
      </c>
      <c r="I1334" s="11" t="inlineStr">
        <is>
          <t>Queensland Fertility Group Pty Ltd</t>
        </is>
      </c>
      <c r="J1334" s="14" t="n">
        <v>195.2</v>
      </c>
      <c r="K1334" s="13" t="inlineStr">
        <is>
          <t>195.20</t>
        </is>
      </c>
      <c r="L1334" s="12" t="n">
        <v>45949</v>
      </c>
      <c r="M1334" s="12" t="n">
        <v>43731</v>
      </c>
      <c r="N1334" s="13" t="inlineStr"/>
      <c r="O1334" s="13" t="inlineStr"/>
      <c r="P1334" s="12" t="n"/>
    </row>
    <row r="1335" ht="52.8" customHeight="1">
      <c r="A1335" s="15" t="n">
        <v>70027</v>
      </c>
      <c r="B1335" s="16" t="n">
        <v>43777</v>
      </c>
      <c r="C1335" s="15" t="inlineStr">
        <is>
          <t>Laboratory Supervisor</t>
        </is>
      </c>
      <c r="D1335" s="15" t="inlineStr">
        <is>
          <t>QLD Scientists EA</t>
        </is>
      </c>
      <c r="E1335" s="15" t="inlineStr">
        <is>
          <t>FT - Full-time Waged</t>
        </is>
      </c>
      <c r="F1335" s="15" t="inlineStr">
        <is>
          <t>Queensland Fertility Group</t>
        </is>
      </c>
      <c r="G1335" s="15" t="inlineStr">
        <is>
          <t>Queensland</t>
        </is>
      </c>
      <c r="H1335" s="17" t="inlineStr">
        <is>
          <t>76.00</t>
        </is>
      </c>
      <c r="I1335" s="15" t="inlineStr">
        <is>
          <t>Queensland Fertility Group Pty Ltd</t>
        </is>
      </c>
      <c r="J1335" s="18" t="n">
        <v>196.55</v>
      </c>
      <c r="K1335" s="17" t="inlineStr">
        <is>
          <t>196.55</t>
        </is>
      </c>
      <c r="L1335" s="16" t="n">
        <v>45949</v>
      </c>
      <c r="M1335" s="16" t="n">
        <v>43777</v>
      </c>
      <c r="N1335" s="17" t="inlineStr"/>
      <c r="O1335" s="17" t="inlineStr"/>
      <c r="P1335" s="16" t="n"/>
    </row>
    <row r="1336" ht="52.8" customHeight="1">
      <c r="A1336" s="11" t="n">
        <v>20696</v>
      </c>
      <c r="B1336" s="12" t="n">
        <v>43703</v>
      </c>
      <c r="C1336" s="11" t="inlineStr">
        <is>
          <t>PR &amp; Media Specialist</t>
        </is>
      </c>
      <c r="D1336" s="11" t="inlineStr">
        <is>
          <t>Common Law Employment Contract</t>
        </is>
      </c>
      <c r="E1336" s="11" t="inlineStr">
        <is>
          <t>FP - Full-time Salaried</t>
        </is>
      </c>
      <c r="F1336" s="11" t="inlineStr">
        <is>
          <t>Corporate Services</t>
        </is>
      </c>
      <c r="G1336" s="11" t="inlineStr">
        <is>
          <t>New South Wales</t>
        </is>
      </c>
      <c r="H1336" s="13" t="inlineStr">
        <is>
          <t>76.00</t>
        </is>
      </c>
      <c r="I1336" s="11" t="inlineStr">
        <is>
          <t>IVF Australia Pty Ltd</t>
        </is>
      </c>
      <c r="J1336" s="14" t="n">
        <v>197.73</v>
      </c>
      <c r="K1336" s="13" t="inlineStr">
        <is>
          <t>197.73</t>
        </is>
      </c>
      <c r="L1336" s="12" t="n">
        <v>45949</v>
      </c>
      <c r="M1336" s="12" t="n">
        <v>43703</v>
      </c>
      <c r="N1336" s="13" t="inlineStr"/>
      <c r="O1336" s="13" t="inlineStr"/>
      <c r="P1336" s="12" t="n"/>
    </row>
    <row r="1337" ht="39.6" customHeight="1">
      <c r="A1337" s="15" t="n">
        <v>20687</v>
      </c>
      <c r="B1337" s="16" t="n">
        <v>43647</v>
      </c>
      <c r="C1337" s="15" t="inlineStr">
        <is>
          <t>Embryologist</t>
        </is>
      </c>
      <c r="D1337" s="15" t="inlineStr">
        <is>
          <t>IVFA Scientists EA</t>
        </is>
      </c>
      <c r="E1337" s="15" t="inlineStr">
        <is>
          <t>FT - Full-time Waged</t>
        </is>
      </c>
      <c r="F1337" s="15" t="inlineStr">
        <is>
          <t>IVFA</t>
        </is>
      </c>
      <c r="G1337" s="15" t="inlineStr">
        <is>
          <t>New South Wales</t>
        </is>
      </c>
      <c r="H1337" s="17" t="inlineStr">
        <is>
          <t>76.00</t>
        </is>
      </c>
      <c r="I1337" s="15" t="inlineStr">
        <is>
          <t>IVF Australia Pty Ltd</t>
        </is>
      </c>
      <c r="J1337" s="18" t="n">
        <v>198.04</v>
      </c>
      <c r="K1337" s="17" t="inlineStr">
        <is>
          <t>198.04</t>
        </is>
      </c>
      <c r="L1337" s="16" t="n">
        <v>45907</v>
      </c>
      <c r="M1337" s="16" t="n">
        <v>43647</v>
      </c>
      <c r="N1337" s="17" t="inlineStr"/>
      <c r="O1337" s="17" t="inlineStr"/>
      <c r="P1337" s="16" t="n"/>
    </row>
    <row r="1338" ht="52.8" customHeight="1">
      <c r="A1338" s="11" t="n">
        <v>80329</v>
      </c>
      <c r="B1338" s="12" t="n">
        <v>43755</v>
      </c>
      <c r="C1338" s="11" t="inlineStr">
        <is>
          <t>Pathology Scientist</t>
        </is>
      </c>
      <c r="D1338" s="11" t="inlineStr">
        <is>
          <t>QLD Scientists EA</t>
        </is>
      </c>
      <c r="E1338" s="11" t="inlineStr">
        <is>
          <t>FT - Full-time Waged</t>
        </is>
      </c>
      <c r="F1338" s="11" t="inlineStr">
        <is>
          <t>Diagnostics</t>
        </is>
      </c>
      <c r="G1338" s="11" t="inlineStr">
        <is>
          <t>Queensland</t>
        </is>
      </c>
      <c r="H1338" s="13" t="inlineStr">
        <is>
          <t>76.00</t>
        </is>
      </c>
      <c r="I1338" s="11" t="inlineStr">
        <is>
          <t>Queensland Fertility Group Pty Ltd</t>
        </is>
      </c>
      <c r="J1338" s="14" t="n">
        <v>199.58</v>
      </c>
      <c r="K1338" s="13" t="inlineStr">
        <is>
          <t>199.58</t>
        </is>
      </c>
      <c r="L1338" s="12" t="n">
        <v>45949</v>
      </c>
      <c r="M1338" s="12" t="n">
        <v>43755</v>
      </c>
      <c r="N1338" s="13" t="inlineStr"/>
      <c r="O1338" s="13" t="inlineStr"/>
      <c r="P1338" s="12" t="n"/>
    </row>
    <row r="1339" ht="52.8" customHeight="1">
      <c r="A1339" s="15" t="n">
        <v>20612</v>
      </c>
      <c r="B1339" s="16" t="n">
        <v>43199</v>
      </c>
      <c r="C1339" s="15" t="inlineStr">
        <is>
          <t>Director of Nursing</t>
        </is>
      </c>
      <c r="D1339" s="15" t="inlineStr">
        <is>
          <t>Common Law Employment Contract</t>
        </is>
      </c>
      <c r="E1339" s="15" t="inlineStr">
        <is>
          <t>FT - Full-time Waged</t>
        </is>
      </c>
      <c r="F1339" s="15" t="inlineStr">
        <is>
          <t>The Fertility Centre</t>
        </is>
      </c>
      <c r="G1339" s="15" t="inlineStr">
        <is>
          <t>New South Wales</t>
        </is>
      </c>
      <c r="H1339" s="17" t="inlineStr">
        <is>
          <t>76.00</t>
        </is>
      </c>
      <c r="I1339" s="15" t="inlineStr">
        <is>
          <t>IVF Australia Pty Ltd</t>
        </is>
      </c>
      <c r="J1339" s="18" t="n">
        <v>200.76</v>
      </c>
      <c r="K1339" s="17" t="inlineStr">
        <is>
          <t>200.76</t>
        </is>
      </c>
      <c r="L1339" s="16" t="n">
        <v>45949</v>
      </c>
      <c r="M1339" s="16" t="n">
        <v>43199</v>
      </c>
      <c r="N1339" s="17" t="inlineStr"/>
      <c r="O1339" s="17" t="inlineStr"/>
      <c r="P1339" s="16" t="n"/>
    </row>
    <row r="1340" ht="39.6" customHeight="1">
      <c r="A1340" s="11" t="n">
        <v>40107</v>
      </c>
      <c r="B1340" s="12" t="n">
        <v>43507</v>
      </c>
      <c r="C1340" s="11" t="inlineStr">
        <is>
          <t>Registered Nurse</t>
        </is>
      </c>
      <c r="D1340" s="11" t="inlineStr">
        <is>
          <t>NSW Nurse EA</t>
        </is>
      </c>
      <c r="E1340" s="11" t="inlineStr">
        <is>
          <t>FT - Full-time Waged</t>
        </is>
      </c>
      <c r="F1340" s="11" t="inlineStr">
        <is>
          <t>Day Hospitals</t>
        </is>
      </c>
      <c r="G1340" s="11" t="inlineStr">
        <is>
          <t>New South Wales</t>
        </is>
      </c>
      <c r="H1340" s="13" t="inlineStr">
        <is>
          <t>76.00</t>
        </is>
      </c>
      <c r="I1340" s="11" t="inlineStr">
        <is>
          <t>City West Day Surgery</t>
        </is>
      </c>
      <c r="J1340" s="14" t="n">
        <v>201.87</v>
      </c>
      <c r="K1340" s="13" t="inlineStr">
        <is>
          <t>201.87</t>
        </is>
      </c>
      <c r="L1340" s="12" t="n">
        <v>45949</v>
      </c>
      <c r="M1340" s="12" t="n">
        <v>43507</v>
      </c>
      <c r="N1340" s="13" t="inlineStr"/>
      <c r="O1340" s="13" t="inlineStr"/>
      <c r="P1340" s="12" t="n"/>
    </row>
    <row r="1341" ht="39.6" customHeight="1">
      <c r="A1341" s="15" t="n">
        <v>20686</v>
      </c>
      <c r="B1341" s="16" t="n">
        <v>43647</v>
      </c>
      <c r="C1341" s="15" t="inlineStr">
        <is>
          <t>Embryologist</t>
        </is>
      </c>
      <c r="D1341" s="15" t="inlineStr">
        <is>
          <t>IVFA Scientists EA</t>
        </is>
      </c>
      <c r="E1341" s="15" t="inlineStr">
        <is>
          <t>FT - Full-time Waged</t>
        </is>
      </c>
      <c r="F1341" s="15" t="inlineStr">
        <is>
          <t>IVFA</t>
        </is>
      </c>
      <c r="G1341" s="15" t="inlineStr">
        <is>
          <t>New South Wales</t>
        </is>
      </c>
      <c r="H1341" s="17" t="inlineStr">
        <is>
          <t>76.00</t>
        </is>
      </c>
      <c r="I1341" s="15" t="inlineStr">
        <is>
          <t>IVF Australia Pty Ltd</t>
        </is>
      </c>
      <c r="J1341" s="18" t="n">
        <v>203.05</v>
      </c>
      <c r="K1341" s="17" t="inlineStr">
        <is>
          <t>203.05</t>
        </is>
      </c>
      <c r="L1341" s="16" t="n">
        <v>45949</v>
      </c>
      <c r="M1341" s="16" t="n">
        <v>43647</v>
      </c>
      <c r="N1341" s="17" t="inlineStr"/>
      <c r="O1341" s="17" t="inlineStr"/>
      <c r="P1341" s="16" t="n"/>
    </row>
    <row r="1342" ht="66" customHeight="1">
      <c r="A1342" s="11" t="inlineStr">
        <is>
          <t>AU23787</t>
        </is>
      </c>
      <c r="B1342" s="12" t="n">
        <v>45887</v>
      </c>
      <c r="C1342" s="11" t="inlineStr">
        <is>
          <t>Accounts Officer</t>
        </is>
      </c>
      <c r="D1342" s="11" t="inlineStr">
        <is>
          <t>NSW Support Services EA</t>
        </is>
      </c>
      <c r="E1342" s="11" t="inlineStr">
        <is>
          <t>PP - Part-time Waged</t>
        </is>
      </c>
      <c r="F1342" s="11" t="inlineStr">
        <is>
          <t>Day Hospitals</t>
        </is>
      </c>
      <c r="G1342" s="11" t="inlineStr">
        <is>
          <t>New South Wales</t>
        </is>
      </c>
      <c r="H1342" s="13" t="inlineStr">
        <is>
          <t>45.00</t>
        </is>
      </c>
      <c r="I1342" s="11" t="inlineStr">
        <is>
          <t>Alexandria Specialist Day Hospital Pty Ltd</t>
        </is>
      </c>
      <c r="J1342" s="14" t="n">
        <v>207.61</v>
      </c>
      <c r="K1342" s="13" t="inlineStr">
        <is>
          <t>207.61</t>
        </is>
      </c>
      <c r="L1342" s="12" t="n">
        <v>45949</v>
      </c>
      <c r="M1342" s="12" t="n">
        <v>42432</v>
      </c>
      <c r="N1342" s="13" t="inlineStr"/>
      <c r="O1342" s="13" t="inlineStr"/>
      <c r="P1342" s="12" t="n"/>
    </row>
    <row r="1343" ht="66" customHeight="1">
      <c r="A1343" s="15" t="n">
        <v>50167</v>
      </c>
      <c r="B1343" s="16" t="n">
        <v>43565</v>
      </c>
      <c r="C1343" s="15" t="inlineStr">
        <is>
          <t>Administration Team Leader</t>
        </is>
      </c>
      <c r="D1343" s="15" t="inlineStr">
        <is>
          <t>NSW Support Services EA</t>
        </is>
      </c>
      <c r="E1343" s="15" t="inlineStr">
        <is>
          <t>FT - Full-time Waged</t>
        </is>
      </c>
      <c r="F1343" s="15" t="inlineStr">
        <is>
          <t>Day Hospitals</t>
        </is>
      </c>
      <c r="G1343" s="15" t="inlineStr">
        <is>
          <t>New South Wales</t>
        </is>
      </c>
      <c r="H1343" s="17" t="inlineStr">
        <is>
          <t>76.00</t>
        </is>
      </c>
      <c r="I1343" s="15" t="inlineStr">
        <is>
          <t>Alexandria Specialist Day Hospital Pty Ltd</t>
        </is>
      </c>
      <c r="J1343" s="18" t="n">
        <v>207.73</v>
      </c>
      <c r="K1343" s="17" t="inlineStr">
        <is>
          <t>207.73</t>
        </is>
      </c>
      <c r="L1343" s="16" t="n">
        <v>45949</v>
      </c>
      <c r="M1343" s="16" t="n">
        <v>43565</v>
      </c>
      <c r="N1343" s="17" t="inlineStr"/>
      <c r="O1343" s="17" t="inlineStr"/>
      <c r="P1343" s="16" t="n"/>
    </row>
    <row r="1344" ht="39.6" customHeight="1">
      <c r="A1344" s="11" t="n">
        <v>40100</v>
      </c>
      <c r="B1344" s="12" t="n">
        <v>43227</v>
      </c>
      <c r="C1344" s="11" t="inlineStr">
        <is>
          <t>Unit Nurse Manager</t>
        </is>
      </c>
      <c r="D1344" s="11" t="inlineStr">
        <is>
          <t>NSW Nurse EA</t>
        </is>
      </c>
      <c r="E1344" s="11" t="inlineStr">
        <is>
          <t>FT - Full-time Waged</t>
        </is>
      </c>
      <c r="F1344" s="11" t="inlineStr">
        <is>
          <t>Day Hospitals</t>
        </is>
      </c>
      <c r="G1344" s="11" t="inlineStr">
        <is>
          <t>New South Wales</t>
        </is>
      </c>
      <c r="H1344" s="13" t="inlineStr">
        <is>
          <t>76.00</t>
        </is>
      </c>
      <c r="I1344" s="11" t="inlineStr">
        <is>
          <t>City West Day Surgery</t>
        </is>
      </c>
      <c r="J1344" s="14" t="n">
        <v>209.16</v>
      </c>
      <c r="K1344" s="13" t="inlineStr">
        <is>
          <t>209.16</t>
        </is>
      </c>
      <c r="L1344" s="12" t="n">
        <v>45949</v>
      </c>
      <c r="M1344" s="12" t="n">
        <v>43227</v>
      </c>
      <c r="N1344" s="13" t="inlineStr"/>
      <c r="O1344" s="13" t="inlineStr"/>
      <c r="P1344" s="12" t="n"/>
    </row>
    <row r="1345" ht="52.8" customHeight="1">
      <c r="A1345" s="15" t="n">
        <v>60177</v>
      </c>
      <c r="B1345" s="16" t="n">
        <v>44396</v>
      </c>
      <c r="C1345" s="15" t="inlineStr">
        <is>
          <t>Director of Nursing</t>
        </is>
      </c>
      <c r="D1345" s="15" t="inlineStr">
        <is>
          <t>QLD Nurse EA</t>
        </is>
      </c>
      <c r="E1345" s="15" t="inlineStr">
        <is>
          <t>FT - Full-time Waged</t>
        </is>
      </c>
      <c r="F1345" s="15" t="inlineStr">
        <is>
          <t>Day Hospitals</t>
        </is>
      </c>
      <c r="G1345" s="15" t="inlineStr">
        <is>
          <t>Queensland</t>
        </is>
      </c>
      <c r="H1345" s="17" t="inlineStr">
        <is>
          <t>76.00</t>
        </is>
      </c>
      <c r="I1345" s="15" t="inlineStr">
        <is>
          <t>Spring Hill Specialist Day Hospital</t>
        </is>
      </c>
      <c r="J1345" s="18" t="n">
        <v>211.37</v>
      </c>
      <c r="K1345" s="17" t="inlineStr">
        <is>
          <t>211.37</t>
        </is>
      </c>
      <c r="L1345" s="16" t="n">
        <v>45949</v>
      </c>
      <c r="M1345" s="16" t="n">
        <v>44396</v>
      </c>
      <c r="N1345" s="17" t="inlineStr"/>
      <c r="O1345" s="17" t="inlineStr"/>
      <c r="P1345" s="16" t="n"/>
    </row>
    <row r="1346" ht="79.2" customHeight="1">
      <c r="A1346" s="11" t="n">
        <v>80301</v>
      </c>
      <c r="B1346" s="12" t="n">
        <v>43292</v>
      </c>
      <c r="C1346" s="11" t="inlineStr">
        <is>
          <t>Courier</t>
        </is>
      </c>
      <c r="D1346" s="11" t="inlineStr">
        <is>
          <t>Health Professionals and Support Services Award</t>
        </is>
      </c>
      <c r="E1346" s="11" t="inlineStr">
        <is>
          <t>PP - Part-time Waged</t>
        </is>
      </c>
      <c r="F1346" s="11" t="inlineStr">
        <is>
          <t>Queensland Fertility Group</t>
        </is>
      </c>
      <c r="G1346" s="11" t="inlineStr">
        <is>
          <t>Queensland</t>
        </is>
      </c>
      <c r="H1346" s="13" t="inlineStr">
        <is>
          <t>72.00</t>
        </is>
      </c>
      <c r="I1346" s="11" t="inlineStr">
        <is>
          <t>Queensland Fertility Group Pty Ltd</t>
        </is>
      </c>
      <c r="J1346" s="14" t="n">
        <v>213.08</v>
      </c>
      <c r="K1346" s="13" t="inlineStr">
        <is>
          <t>213.08</t>
        </is>
      </c>
      <c r="L1346" s="12" t="n">
        <v>45949</v>
      </c>
      <c r="M1346" s="12" t="n">
        <v>43292</v>
      </c>
      <c r="N1346" s="13" t="inlineStr"/>
      <c r="O1346" s="13" t="inlineStr"/>
      <c r="P1346" s="12" t="n"/>
    </row>
    <row r="1347" ht="39.6" customHeight="1">
      <c r="A1347" s="15" t="n">
        <v>20571</v>
      </c>
      <c r="B1347" s="16" t="n">
        <v>42887</v>
      </c>
      <c r="C1347" s="15" t="inlineStr">
        <is>
          <t>Registered Nurse</t>
        </is>
      </c>
      <c r="D1347" s="15" t="inlineStr">
        <is>
          <t>NSW Nurse EA</t>
        </is>
      </c>
      <c r="E1347" s="15" t="inlineStr">
        <is>
          <t>PP - Part-time Waged</t>
        </is>
      </c>
      <c r="F1347" s="15" t="inlineStr">
        <is>
          <t>IVFA</t>
        </is>
      </c>
      <c r="G1347" s="15" t="inlineStr">
        <is>
          <t>New South Wales</t>
        </is>
      </c>
      <c r="H1347" s="17" t="inlineStr">
        <is>
          <t>51.00</t>
        </is>
      </c>
      <c r="I1347" s="15" t="inlineStr">
        <is>
          <t>IVF Australia Pty Ltd</t>
        </is>
      </c>
      <c r="J1347" s="18" t="n">
        <v>213.15</v>
      </c>
      <c r="K1347" s="17" t="inlineStr">
        <is>
          <t>213.15</t>
        </is>
      </c>
      <c r="L1347" s="16" t="n">
        <v>45949</v>
      </c>
      <c r="M1347" s="16" t="n">
        <v>42887</v>
      </c>
      <c r="N1347" s="17" t="inlineStr"/>
      <c r="O1347" s="17" t="inlineStr"/>
      <c r="P1347" s="16" t="n"/>
    </row>
    <row r="1348" ht="79.2" customHeight="1">
      <c r="A1348" s="11" t="n">
        <v>80545</v>
      </c>
      <c r="B1348" s="12" t="n">
        <v>43402</v>
      </c>
      <c r="C1348" s="11" t="inlineStr">
        <is>
          <t>New Patient Care Consultant</t>
        </is>
      </c>
      <c r="D1348" s="11" t="inlineStr">
        <is>
          <t>Health Professionals and Support Services Award</t>
        </is>
      </c>
      <c r="E1348" s="11" t="inlineStr">
        <is>
          <t>PP - Part-time Waged</t>
        </is>
      </c>
      <c r="F1348" s="11" t="inlineStr">
        <is>
          <t>The Fertility Centre</t>
        </is>
      </c>
      <c r="G1348" s="11" t="inlineStr">
        <is>
          <t>Queensland</t>
        </is>
      </c>
      <c r="H1348" s="13" t="inlineStr">
        <is>
          <t>68.40</t>
        </is>
      </c>
      <c r="I1348" s="11" t="inlineStr">
        <is>
          <t>Queensland Fertility Group Pty Ltd</t>
        </is>
      </c>
      <c r="J1348" s="14" t="n">
        <v>214.43</v>
      </c>
      <c r="K1348" s="13" t="inlineStr">
        <is>
          <t>214.43</t>
        </is>
      </c>
      <c r="L1348" s="12" t="n">
        <v>45949</v>
      </c>
      <c r="M1348" s="12" t="n">
        <v>43402</v>
      </c>
      <c r="N1348" s="13" t="inlineStr"/>
      <c r="O1348" s="13" t="inlineStr"/>
      <c r="P1348" s="12" t="n"/>
    </row>
    <row r="1349" ht="52.8" customHeight="1">
      <c r="A1349" s="15" t="n">
        <v>60150</v>
      </c>
      <c r="B1349" s="16" t="n">
        <v>42338</v>
      </c>
      <c r="C1349" s="15" t="inlineStr">
        <is>
          <t>Registered Nurse</t>
        </is>
      </c>
      <c r="D1349" s="15" t="inlineStr">
        <is>
          <t>QLD Nurse EA</t>
        </is>
      </c>
      <c r="E1349" s="15" t="inlineStr">
        <is>
          <t>PP - Part-time Waged</t>
        </is>
      </c>
      <c r="F1349" s="15" t="inlineStr">
        <is>
          <t>Day Hospitals</t>
        </is>
      </c>
      <c r="G1349" s="15" t="inlineStr">
        <is>
          <t>Queensland</t>
        </is>
      </c>
      <c r="H1349" s="17" t="inlineStr">
        <is>
          <t>32.00</t>
        </is>
      </c>
      <c r="I1349" s="15" t="inlineStr">
        <is>
          <t>Spring Hill Specialist Day Hospital</t>
        </is>
      </c>
      <c r="J1349" s="18" t="n">
        <v>214.5</v>
      </c>
      <c r="K1349" s="17" t="inlineStr">
        <is>
          <t>214.50</t>
        </is>
      </c>
      <c r="L1349" s="16" t="n">
        <v>45949</v>
      </c>
      <c r="M1349" s="16" t="n">
        <v>42338</v>
      </c>
      <c r="N1349" s="17" t="inlineStr"/>
      <c r="O1349" s="17" t="inlineStr"/>
      <c r="P1349" s="16" t="n"/>
    </row>
    <row r="1350" ht="39.6" customHeight="1">
      <c r="A1350" s="11" t="n">
        <v>20616</v>
      </c>
      <c r="B1350" s="12" t="n">
        <v>43206</v>
      </c>
      <c r="C1350" s="11" t="inlineStr">
        <is>
          <t>Embryologist</t>
        </is>
      </c>
      <c r="D1350" s="11" t="inlineStr">
        <is>
          <t>IVFA Scientists EA</t>
        </is>
      </c>
      <c r="E1350" s="11" t="inlineStr">
        <is>
          <t>FT - Full-time Waged</t>
        </is>
      </c>
      <c r="F1350" s="11" t="inlineStr">
        <is>
          <t>IVFA</t>
        </is>
      </c>
      <c r="G1350" s="11" t="inlineStr">
        <is>
          <t>New South Wales</t>
        </is>
      </c>
      <c r="H1350" s="13" t="inlineStr">
        <is>
          <t>76.00</t>
        </is>
      </c>
      <c r="I1350" s="11" t="inlineStr">
        <is>
          <t>IVF Australia Pty Ltd</t>
        </is>
      </c>
      <c r="J1350" s="14" t="n">
        <v>215.91</v>
      </c>
      <c r="K1350" s="13" t="inlineStr">
        <is>
          <t>215.91</t>
        </is>
      </c>
      <c r="L1350" s="12" t="n">
        <v>45949</v>
      </c>
      <c r="M1350" s="12" t="n">
        <v>43206</v>
      </c>
      <c r="N1350" s="13" t="inlineStr"/>
      <c r="O1350" s="13" t="inlineStr"/>
      <c r="P1350" s="12" t="n"/>
    </row>
    <row r="1351" ht="39.6" customHeight="1">
      <c r="A1351" s="15" t="n">
        <v>20556</v>
      </c>
      <c r="B1351" s="16" t="n">
        <v>42744</v>
      </c>
      <c r="C1351" s="15" t="inlineStr">
        <is>
          <t>Nurse Unit Manager</t>
        </is>
      </c>
      <c r="D1351" s="15" t="inlineStr">
        <is>
          <t>NSW Nurse EA</t>
        </is>
      </c>
      <c r="E1351" s="15" t="inlineStr">
        <is>
          <t>PP - Part-time Waged</t>
        </is>
      </c>
      <c r="F1351" s="15" t="inlineStr">
        <is>
          <t>IVFA</t>
        </is>
      </c>
      <c r="G1351" s="15" t="inlineStr">
        <is>
          <t>New South Wales</t>
        </is>
      </c>
      <c r="H1351" s="17" t="inlineStr">
        <is>
          <t>57.00</t>
        </is>
      </c>
      <c r="I1351" s="15" t="inlineStr">
        <is>
          <t>IVF Australia Pty Ltd</t>
        </is>
      </c>
      <c r="J1351" s="18" t="n">
        <v>216.15</v>
      </c>
      <c r="K1351" s="17" t="inlineStr">
        <is>
          <t>216.15</t>
        </is>
      </c>
      <c r="L1351" s="16" t="n">
        <v>45949</v>
      </c>
      <c r="M1351" s="16" t="n">
        <v>42744</v>
      </c>
      <c r="N1351" s="17" t="inlineStr"/>
      <c r="O1351" s="17" t="inlineStr"/>
      <c r="P1351" s="16" t="n"/>
    </row>
    <row r="1352" ht="52.8" customHeight="1">
      <c r="A1352" s="11" t="n">
        <v>20583</v>
      </c>
      <c r="B1352" s="12" t="n">
        <v>42950</v>
      </c>
      <c r="C1352" s="11" t="inlineStr">
        <is>
          <t>Accounts</t>
        </is>
      </c>
      <c r="D1352" s="11" t="inlineStr">
        <is>
          <t>Common Law Employment Contract</t>
        </is>
      </c>
      <c r="E1352" s="11" t="inlineStr">
        <is>
          <t>PT - Part-time Salary</t>
        </is>
      </c>
      <c r="F1352" s="11" t="inlineStr">
        <is>
          <t>IVFA</t>
        </is>
      </c>
      <c r="G1352" s="11" t="inlineStr">
        <is>
          <t>New South Wales</t>
        </is>
      </c>
      <c r="H1352" s="13" t="inlineStr">
        <is>
          <t>60.00</t>
        </is>
      </c>
      <c r="I1352" s="11" t="inlineStr">
        <is>
          <t>IVF Australia Pty Ltd</t>
        </is>
      </c>
      <c r="J1352" s="14" t="n">
        <v>219.38</v>
      </c>
      <c r="K1352" s="13" t="inlineStr">
        <is>
          <t>219.38</t>
        </is>
      </c>
      <c r="L1352" s="12" t="n">
        <v>45949</v>
      </c>
      <c r="M1352" s="12" t="n">
        <v>42950</v>
      </c>
      <c r="N1352" s="13" t="inlineStr"/>
      <c r="O1352" s="13" t="inlineStr"/>
      <c r="P1352" s="12" t="n"/>
    </row>
    <row r="1353" ht="52.8" customHeight="1">
      <c r="A1353" s="15" t="n">
        <v>80222</v>
      </c>
      <c r="B1353" s="16" t="n">
        <v>42541</v>
      </c>
      <c r="C1353" s="15" t="inlineStr">
        <is>
          <t>Laboratory Technician</t>
        </is>
      </c>
      <c r="D1353" s="15" t="inlineStr">
        <is>
          <t>QLD Scientists EA</t>
        </is>
      </c>
      <c r="E1353" s="15" t="inlineStr">
        <is>
          <t>PP - Part-time Waged</t>
        </is>
      </c>
      <c r="F1353" s="15" t="inlineStr">
        <is>
          <t>Queensland Fertility Group</t>
        </is>
      </c>
      <c r="G1353" s="15" t="inlineStr">
        <is>
          <t>Queensland</t>
        </is>
      </c>
      <c r="H1353" s="17" t="inlineStr">
        <is>
          <t>57.60</t>
        </is>
      </c>
      <c r="I1353" s="15" t="inlineStr">
        <is>
          <t>Queensland Fertility Group Pty Ltd</t>
        </is>
      </c>
      <c r="J1353" s="18" t="n">
        <v>220.26</v>
      </c>
      <c r="K1353" s="17" t="inlineStr">
        <is>
          <t>220.26</t>
        </is>
      </c>
      <c r="L1353" s="16" t="n">
        <v>45949</v>
      </c>
      <c r="M1353" s="16" t="n">
        <v>42541</v>
      </c>
      <c r="N1353" s="17" t="inlineStr"/>
      <c r="O1353" s="17" t="inlineStr"/>
      <c r="P1353" s="16" t="n"/>
    </row>
    <row r="1354" ht="52.8" customHeight="1">
      <c r="A1354" s="11" t="inlineStr">
        <is>
          <t>AU22752</t>
        </is>
      </c>
      <c r="B1354" s="12" t="n">
        <v>44020</v>
      </c>
      <c r="C1354" s="11" t="inlineStr">
        <is>
          <t>Nures Coordinator</t>
        </is>
      </c>
      <c r="D1354" s="11" t="inlineStr">
        <is>
          <t>QLD Nurse EA</t>
        </is>
      </c>
      <c r="E1354" s="11" t="inlineStr">
        <is>
          <t>FT - Full-time Waged</t>
        </is>
      </c>
      <c r="F1354" s="11" t="inlineStr">
        <is>
          <t>Queensland Fertility Group</t>
        </is>
      </c>
      <c r="G1354" s="11" t="inlineStr">
        <is>
          <t>Queensland</t>
        </is>
      </c>
      <c r="H1354" s="13" t="inlineStr">
        <is>
          <t>76.00</t>
        </is>
      </c>
      <c r="I1354" s="11" t="inlineStr">
        <is>
          <t>Queensland Fertility Group Pty Ltd</t>
        </is>
      </c>
      <c r="J1354" s="14" t="n">
        <v>220.88</v>
      </c>
      <c r="K1354" s="13" t="inlineStr">
        <is>
          <t>220.88</t>
        </is>
      </c>
      <c r="L1354" s="12" t="n">
        <v>45949</v>
      </c>
      <c r="M1354" s="12" t="n">
        <v>44020</v>
      </c>
      <c r="N1354" s="13" t="inlineStr"/>
      <c r="O1354" s="13" t="inlineStr"/>
      <c r="P1354" s="12" t="n"/>
    </row>
    <row r="1355" ht="39.6" customHeight="1">
      <c r="A1355" s="15" t="n">
        <v>20538</v>
      </c>
      <c r="B1355" s="16" t="n">
        <v>42571</v>
      </c>
      <c r="C1355" s="15" t="inlineStr">
        <is>
          <t>Senior Embryologist</t>
        </is>
      </c>
      <c r="D1355" s="15" t="inlineStr">
        <is>
          <t>IVFA Scientists EA</t>
        </is>
      </c>
      <c r="E1355" s="15" t="inlineStr">
        <is>
          <t>PP - Part-time Waged</t>
        </is>
      </c>
      <c r="F1355" s="15" t="inlineStr">
        <is>
          <t>IVFA</t>
        </is>
      </c>
      <c r="G1355" s="15" t="inlineStr">
        <is>
          <t>New South Wales</t>
        </is>
      </c>
      <c r="H1355" s="17" t="inlineStr">
        <is>
          <t>46.00</t>
        </is>
      </c>
      <c r="I1355" s="15" t="inlineStr">
        <is>
          <t>IVF Australia Pty Ltd</t>
        </is>
      </c>
      <c r="J1355" s="18" t="n">
        <v>222.06</v>
      </c>
      <c r="K1355" s="17" t="inlineStr">
        <is>
          <t>222.06</t>
        </is>
      </c>
      <c r="L1355" s="16" t="n">
        <v>45949</v>
      </c>
      <c r="M1355" s="16" t="n">
        <v>42571</v>
      </c>
      <c r="N1355" s="17" t="inlineStr"/>
      <c r="O1355" s="17" t="inlineStr"/>
      <c r="P1355" s="16" t="n"/>
    </row>
    <row r="1356" ht="39.6" customHeight="1">
      <c r="A1356" s="11" t="n">
        <v>20496</v>
      </c>
      <c r="B1356" s="12" t="n">
        <v>42380</v>
      </c>
      <c r="C1356" s="11" t="inlineStr">
        <is>
          <t>Clinical Nurse Specialist</t>
        </is>
      </c>
      <c r="D1356" s="11" t="inlineStr">
        <is>
          <t>NSW Nurse EA</t>
        </is>
      </c>
      <c r="E1356" s="11" t="inlineStr">
        <is>
          <t>PP - Part-time Waged</t>
        </is>
      </c>
      <c r="F1356" s="11" t="inlineStr">
        <is>
          <t>IVFA</t>
        </is>
      </c>
      <c r="G1356" s="11" t="inlineStr">
        <is>
          <t>New South Wales</t>
        </is>
      </c>
      <c r="H1356" s="13" t="inlineStr">
        <is>
          <t>47.50</t>
        </is>
      </c>
      <c r="I1356" s="11" t="inlineStr">
        <is>
          <t>IVF Australia Pty Ltd</t>
        </is>
      </c>
      <c r="J1356" s="14" t="n">
        <v>224.08</v>
      </c>
      <c r="K1356" s="13" t="inlineStr">
        <is>
          <t>224.08</t>
        </is>
      </c>
      <c r="L1356" s="12" t="n">
        <v>45795</v>
      </c>
      <c r="M1356" s="12" t="n">
        <v>42380</v>
      </c>
      <c r="N1356" s="13" t="inlineStr"/>
      <c r="O1356" s="13" t="inlineStr"/>
      <c r="P1356" s="12" t="n"/>
    </row>
    <row r="1357" ht="79.2" customHeight="1">
      <c r="A1357" s="15" t="n">
        <v>80260</v>
      </c>
      <c r="B1357" s="16" t="n">
        <v>42926</v>
      </c>
      <c r="C1357" s="15" t="inlineStr">
        <is>
          <t>Accounts Receivable Officer</t>
        </is>
      </c>
      <c r="D1357" s="15" t="inlineStr">
        <is>
          <t>Health Professionals and Support Services Award</t>
        </is>
      </c>
      <c r="E1357" s="15" t="inlineStr">
        <is>
          <t>PP - Part-time Waged</t>
        </is>
      </c>
      <c r="F1357" s="15" t="inlineStr">
        <is>
          <t>Queensland Fertility Group</t>
        </is>
      </c>
      <c r="G1357" s="15" t="inlineStr">
        <is>
          <t>Queensland</t>
        </is>
      </c>
      <c r="H1357" s="17" t="inlineStr">
        <is>
          <t>64.00</t>
        </is>
      </c>
      <c r="I1357" s="15" t="inlineStr">
        <is>
          <t>Queensland Fertility Group Pty Ltd</t>
        </is>
      </c>
      <c r="J1357" s="18" t="n">
        <v>224.55</v>
      </c>
      <c r="K1357" s="17" t="inlineStr">
        <is>
          <t>224.55</t>
        </is>
      </c>
      <c r="L1357" s="16" t="n">
        <v>45949</v>
      </c>
      <c r="M1357" s="16" t="n">
        <v>42926</v>
      </c>
      <c r="N1357" s="17" t="inlineStr"/>
      <c r="O1357" s="17" t="inlineStr"/>
      <c r="P1357" s="16" t="n"/>
    </row>
    <row r="1358" ht="52.8" customHeight="1">
      <c r="A1358" s="11" t="n">
        <v>20633</v>
      </c>
      <c r="B1358" s="12" t="n">
        <v>43255</v>
      </c>
      <c r="C1358" s="11" t="inlineStr">
        <is>
          <t>Head of Strategic Projects</t>
        </is>
      </c>
      <c r="D1358" s="11" t="inlineStr">
        <is>
          <t>Common Law Employment Contract</t>
        </is>
      </c>
      <c r="E1358" s="11" t="inlineStr">
        <is>
          <t>FP - Full-time Salaried</t>
        </is>
      </c>
      <c r="F1358" s="11" t="inlineStr">
        <is>
          <t>Corporate Services</t>
        </is>
      </c>
      <c r="G1358" s="11" t="inlineStr">
        <is>
          <t>New South Wales</t>
        </is>
      </c>
      <c r="H1358" s="13" t="inlineStr">
        <is>
          <t>76.00</t>
        </is>
      </c>
      <c r="I1358" s="11" t="inlineStr">
        <is>
          <t>IVF Australia Pty Ltd</t>
        </is>
      </c>
      <c r="J1358" s="14" t="n">
        <v>236.87</v>
      </c>
      <c r="K1358" s="13" t="inlineStr">
        <is>
          <t>236.87</t>
        </is>
      </c>
      <c r="L1358" s="12" t="n">
        <v>45949</v>
      </c>
      <c r="M1358" s="12" t="n">
        <v>43255</v>
      </c>
      <c r="N1358" s="13" t="inlineStr"/>
      <c r="O1358" s="13" t="inlineStr"/>
      <c r="P1358" s="12" t="n"/>
    </row>
    <row r="1359" ht="39.6" customHeight="1">
      <c r="A1359" s="15" t="n">
        <v>20551</v>
      </c>
      <c r="B1359" s="16" t="n">
        <v>42660</v>
      </c>
      <c r="C1359" s="15" t="inlineStr">
        <is>
          <t>Registered Nurse</t>
        </is>
      </c>
      <c r="D1359" s="15" t="inlineStr">
        <is>
          <t>NSW Nurse EA</t>
        </is>
      </c>
      <c r="E1359" s="15" t="inlineStr">
        <is>
          <t>PP - Part-time Waged</t>
        </is>
      </c>
      <c r="F1359" s="15" t="inlineStr">
        <is>
          <t>IVFA</t>
        </is>
      </c>
      <c r="G1359" s="15" t="inlineStr">
        <is>
          <t>New South Wales</t>
        </is>
      </c>
      <c r="H1359" s="17" t="inlineStr">
        <is>
          <t>57.00</t>
        </is>
      </c>
      <c r="I1359" s="15" t="inlineStr">
        <is>
          <t>IVF Australia Pty Ltd</t>
        </is>
      </c>
      <c r="J1359" s="18" t="n">
        <v>245.6</v>
      </c>
      <c r="K1359" s="17" t="inlineStr">
        <is>
          <t>245.60</t>
        </is>
      </c>
      <c r="L1359" s="16" t="n">
        <v>45949</v>
      </c>
      <c r="M1359" s="16" t="n">
        <v>42660</v>
      </c>
      <c r="N1359" s="17" t="inlineStr"/>
      <c r="O1359" s="17" t="inlineStr"/>
      <c r="P1359" s="16" t="n"/>
    </row>
    <row r="1360" ht="39.6" customHeight="1">
      <c r="A1360" s="11" t="n">
        <v>20569</v>
      </c>
      <c r="B1360" s="12" t="n">
        <v>42900</v>
      </c>
      <c r="C1360" s="11" t="inlineStr">
        <is>
          <t>Nurse Unit Manager</t>
        </is>
      </c>
      <c r="D1360" s="11" t="inlineStr">
        <is>
          <t>NSW Nurse EA</t>
        </is>
      </c>
      <c r="E1360" s="11" t="inlineStr">
        <is>
          <t>FT - Full-time Waged</t>
        </is>
      </c>
      <c r="F1360" s="11" t="inlineStr">
        <is>
          <t>IVFA</t>
        </is>
      </c>
      <c r="G1360" s="11" t="inlineStr">
        <is>
          <t>New South Wales</t>
        </is>
      </c>
      <c r="H1360" s="13" t="inlineStr">
        <is>
          <t>76.00</t>
        </is>
      </c>
      <c r="I1360" s="11" t="inlineStr">
        <is>
          <t>IVF Australia Pty Ltd</t>
        </is>
      </c>
      <c r="J1360" s="14" t="n">
        <v>246.24</v>
      </c>
      <c r="K1360" s="13" t="inlineStr">
        <is>
          <t>246.24</t>
        </is>
      </c>
      <c r="L1360" s="12" t="n">
        <v>45949</v>
      </c>
      <c r="M1360" s="12" t="n">
        <v>42900</v>
      </c>
      <c r="N1360" s="13" t="inlineStr"/>
      <c r="O1360" s="13" t="inlineStr"/>
      <c r="P1360" s="12" t="n"/>
    </row>
    <row r="1361" ht="52.8" customHeight="1">
      <c r="A1361" s="15" t="n">
        <v>80549</v>
      </c>
      <c r="B1361" s="16" t="n">
        <v>43480</v>
      </c>
      <c r="C1361" s="15" t="inlineStr">
        <is>
          <t>Clinical Nurse Specialist</t>
        </is>
      </c>
      <c r="D1361" s="15" t="inlineStr">
        <is>
          <t>QLD Nurse EA</t>
        </is>
      </c>
      <c r="E1361" s="15" t="inlineStr">
        <is>
          <t>FT - Full-time Waged</t>
        </is>
      </c>
      <c r="F1361" s="15" t="inlineStr">
        <is>
          <t>Queensland Fertility Group</t>
        </is>
      </c>
      <c r="G1361" s="15" t="inlineStr">
        <is>
          <t>Queensland</t>
        </is>
      </c>
      <c r="H1361" s="17" t="inlineStr">
        <is>
          <t>76.00</t>
        </is>
      </c>
      <c r="I1361" s="15" t="inlineStr">
        <is>
          <t>Queensland Fertility Group Pty Ltd</t>
        </is>
      </c>
      <c r="J1361" s="18" t="n">
        <v>250.28</v>
      </c>
      <c r="K1361" s="17" t="inlineStr">
        <is>
          <t>250.28</t>
        </is>
      </c>
      <c r="L1361" s="16" t="n">
        <v>45949</v>
      </c>
      <c r="M1361" s="16" t="n">
        <v>43480</v>
      </c>
      <c r="N1361" s="17" t="inlineStr"/>
      <c r="O1361" s="17" t="inlineStr"/>
      <c r="P1361" s="16" t="n"/>
    </row>
    <row r="1362" ht="39.6" customHeight="1">
      <c r="A1362" s="11" t="n">
        <v>20575</v>
      </c>
      <c r="B1362" s="12" t="n">
        <v>42899</v>
      </c>
      <c r="C1362" s="11" t="inlineStr">
        <is>
          <t>Administration</t>
        </is>
      </c>
      <c r="D1362" s="11" t="inlineStr">
        <is>
          <t>NSW Support Services EA</t>
        </is>
      </c>
      <c r="E1362" s="11" t="inlineStr">
        <is>
          <t>FT - Full-time Waged</t>
        </is>
      </c>
      <c r="F1362" s="11" t="inlineStr">
        <is>
          <t>IVFA</t>
        </is>
      </c>
      <c r="G1362" s="11" t="inlineStr">
        <is>
          <t>New South Wales</t>
        </is>
      </c>
      <c r="H1362" s="13" t="inlineStr">
        <is>
          <t>76.00</t>
        </is>
      </c>
      <c r="I1362" s="11" t="inlineStr">
        <is>
          <t>IVF Australia Pty Ltd</t>
        </is>
      </c>
      <c r="J1362" s="14" t="n">
        <v>254.17</v>
      </c>
      <c r="K1362" s="13" t="inlineStr">
        <is>
          <t>254.17</t>
        </is>
      </c>
      <c r="L1362" s="12" t="n">
        <v>45949</v>
      </c>
      <c r="M1362" s="12" t="n">
        <v>42899</v>
      </c>
      <c r="N1362" s="13" t="inlineStr"/>
      <c r="O1362" s="13" t="inlineStr"/>
      <c r="P1362" s="12" t="n"/>
    </row>
    <row r="1363" ht="79.2" customHeight="1">
      <c r="A1363" s="15" t="n">
        <v>80428</v>
      </c>
      <c r="B1363" s="16" t="n">
        <v>42464</v>
      </c>
      <c r="C1363" s="15" t="inlineStr">
        <is>
          <t>Pracrtice Manager</t>
        </is>
      </c>
      <c r="D1363" s="15" t="inlineStr">
        <is>
          <t>Health Professionals and Support Services Award</t>
        </is>
      </c>
      <c r="E1363" s="15" t="inlineStr">
        <is>
          <t>PT - Part-time Salary</t>
        </is>
      </c>
      <c r="F1363" s="15" t="inlineStr">
        <is>
          <t>Queensland Fertility Group</t>
        </is>
      </c>
      <c r="G1363" s="15" t="inlineStr">
        <is>
          <t>Queensland</t>
        </is>
      </c>
      <c r="H1363" s="17" t="inlineStr">
        <is>
          <t>66.00</t>
        </is>
      </c>
      <c r="I1363" s="15" t="inlineStr">
        <is>
          <t>Queensland Fertility Group Pty Ltd</t>
        </is>
      </c>
      <c r="J1363" s="18" t="n">
        <v>257.57</v>
      </c>
      <c r="K1363" s="17" t="inlineStr">
        <is>
          <t>257.57</t>
        </is>
      </c>
      <c r="L1363" s="16" t="n">
        <v>45949</v>
      </c>
      <c r="M1363" s="16" t="n">
        <v>42464</v>
      </c>
      <c r="N1363" s="17" t="inlineStr"/>
      <c r="O1363" s="17" t="inlineStr"/>
      <c r="P1363" s="16" t="n"/>
    </row>
    <row r="1364" ht="52.8" customHeight="1">
      <c r="A1364" s="11" t="n">
        <v>60037</v>
      </c>
      <c r="B1364" s="12" t="n">
        <v>43059</v>
      </c>
      <c r="C1364" s="11" t="inlineStr">
        <is>
          <t>Clinical Nurse</t>
        </is>
      </c>
      <c r="D1364" s="11" t="inlineStr">
        <is>
          <t>QLD Nurse EA</t>
        </is>
      </c>
      <c r="E1364" s="11" t="inlineStr">
        <is>
          <t>PP - Part-time Waged</t>
        </is>
      </c>
      <c r="F1364" s="11" t="inlineStr">
        <is>
          <t>Day Hospitals</t>
        </is>
      </c>
      <c r="G1364" s="11" t="inlineStr">
        <is>
          <t>Queensland</t>
        </is>
      </c>
      <c r="H1364" s="13" t="inlineStr">
        <is>
          <t>60.00</t>
        </is>
      </c>
      <c r="I1364" s="11" t="inlineStr">
        <is>
          <t>MACKAY Specialist Day Hospital</t>
        </is>
      </c>
      <c r="J1364" s="14" t="n">
        <v>259.14</v>
      </c>
      <c r="K1364" s="13" t="inlineStr">
        <is>
          <t>259.14</t>
        </is>
      </c>
      <c r="L1364" s="12" t="n">
        <v>45949</v>
      </c>
      <c r="M1364" s="12" t="n">
        <v>43059</v>
      </c>
      <c r="N1364" s="13" t="inlineStr"/>
      <c r="O1364" s="13" t="inlineStr"/>
      <c r="P1364" s="12" t="n"/>
    </row>
    <row r="1365" ht="79.2" customHeight="1">
      <c r="A1365" s="15" t="n">
        <v>20599</v>
      </c>
      <c r="B1365" s="16" t="n">
        <v>43052</v>
      </c>
      <c r="C1365" s="15" t="inlineStr">
        <is>
          <t>General Manager Projects, Facility Operations IVFA</t>
        </is>
      </c>
      <c r="D1365" s="15" t="inlineStr">
        <is>
          <t>Common Law Employment Contract</t>
        </is>
      </c>
      <c r="E1365" s="15" t="inlineStr">
        <is>
          <t>FP - Full-time Salaried</t>
        </is>
      </c>
      <c r="F1365" s="15" t="inlineStr">
        <is>
          <t>IVFA</t>
        </is>
      </c>
      <c r="G1365" s="15" t="inlineStr">
        <is>
          <t>New South Wales</t>
        </is>
      </c>
      <c r="H1365" s="17" t="inlineStr">
        <is>
          <t>76.00</t>
        </is>
      </c>
      <c r="I1365" s="15" t="inlineStr">
        <is>
          <t>IVF Australia Pty Ltd</t>
        </is>
      </c>
      <c r="J1365" s="18" t="n">
        <v>262.21</v>
      </c>
      <c r="K1365" s="17" t="inlineStr">
        <is>
          <t>262.21</t>
        </is>
      </c>
      <c r="L1365" s="16" t="n">
        <v>45949</v>
      </c>
      <c r="M1365" s="16" t="n">
        <v>43052</v>
      </c>
      <c r="N1365" s="17" t="inlineStr"/>
      <c r="O1365" s="17" t="inlineStr"/>
      <c r="P1365" s="16" t="n"/>
    </row>
    <row r="1366" ht="52.8" customHeight="1">
      <c r="A1366" s="11" t="n">
        <v>20593</v>
      </c>
      <c r="B1366" s="12" t="n">
        <v>43024</v>
      </c>
      <c r="C1366" s="11" t="inlineStr">
        <is>
          <t>Acting Donor Team Leader</t>
        </is>
      </c>
      <c r="D1366" s="11" t="inlineStr">
        <is>
          <t>NSW Support Services EA</t>
        </is>
      </c>
      <c r="E1366" s="11" t="inlineStr">
        <is>
          <t>FT - Full-time Waged</t>
        </is>
      </c>
      <c r="F1366" s="11" t="inlineStr">
        <is>
          <t>IVFA</t>
        </is>
      </c>
      <c r="G1366" s="11" t="inlineStr">
        <is>
          <t>Queensland</t>
        </is>
      </c>
      <c r="H1366" s="13" t="inlineStr">
        <is>
          <t>76.00</t>
        </is>
      </c>
      <c r="I1366" s="11" t="inlineStr">
        <is>
          <t>IVF Australia Pty Ltd</t>
        </is>
      </c>
      <c r="J1366" s="14" t="n">
        <v>263.55</v>
      </c>
      <c r="K1366" s="13" t="inlineStr">
        <is>
          <t>263.55</t>
        </is>
      </c>
      <c r="L1366" s="12" t="n">
        <v>45949</v>
      </c>
      <c r="M1366" s="12" t="n">
        <v>43024</v>
      </c>
      <c r="N1366" s="13" t="inlineStr"/>
      <c r="O1366" s="13" t="inlineStr"/>
      <c r="P1366" s="12" t="n"/>
    </row>
    <row r="1367" ht="79.2" customHeight="1">
      <c r="A1367" s="15" t="n">
        <v>90063</v>
      </c>
      <c r="B1367" s="16" t="n">
        <v>42930</v>
      </c>
      <c r="C1367" s="15" t="inlineStr">
        <is>
          <t>Pathology Scientist</t>
        </is>
      </c>
      <c r="D1367" s="15" t="inlineStr">
        <is>
          <t>Health Professionals and Support Services Award</t>
        </is>
      </c>
      <c r="E1367" s="15" t="inlineStr">
        <is>
          <t>FT - Full-time Waged</t>
        </is>
      </c>
      <c r="F1367" s="15" t="inlineStr">
        <is>
          <t>Diagnostics</t>
        </is>
      </c>
      <c r="G1367" s="15" t="inlineStr">
        <is>
          <t>New South Wales</t>
        </is>
      </c>
      <c r="H1367" s="17" t="inlineStr">
        <is>
          <t>76.00</t>
        </is>
      </c>
      <c r="I1367" s="15" t="inlineStr">
        <is>
          <t>Virtus Health Specialist Diagnostics</t>
        </is>
      </c>
      <c r="J1367" s="18" t="n">
        <v>272.4</v>
      </c>
      <c r="K1367" s="17" t="inlineStr">
        <is>
          <t>272.40</t>
        </is>
      </c>
      <c r="L1367" s="16" t="n">
        <v>45949</v>
      </c>
      <c r="M1367" s="16" t="n">
        <v>42930</v>
      </c>
      <c r="N1367" s="17" t="inlineStr"/>
      <c r="O1367" s="17" t="inlineStr"/>
      <c r="P1367" s="16" t="n"/>
    </row>
    <row r="1368" ht="66" customHeight="1">
      <c r="A1368" s="11" t="inlineStr">
        <is>
          <t>AU23432</t>
        </is>
      </c>
      <c r="B1368" s="12" t="n">
        <v>42466</v>
      </c>
      <c r="C1368" s="11" t="inlineStr">
        <is>
          <t>Registered Nurse</t>
        </is>
      </c>
      <c r="D1368" s="11" t="inlineStr">
        <is>
          <t>NSW Nurse EA</t>
        </is>
      </c>
      <c r="E1368" s="11" t="inlineStr">
        <is>
          <t>PP - Part-time Waged</t>
        </is>
      </c>
      <c r="F1368" s="11" t="inlineStr">
        <is>
          <t>Day Hospitals</t>
        </is>
      </c>
      <c r="G1368" s="11" t="inlineStr">
        <is>
          <t>New South Wales</t>
        </is>
      </c>
      <c r="H1368" s="13" t="inlineStr">
        <is>
          <t>64.00</t>
        </is>
      </c>
      <c r="I1368" s="11" t="inlineStr">
        <is>
          <t>Alexandria Specialist Day Hospital Pty Ltd</t>
        </is>
      </c>
      <c r="J1368" s="14" t="n">
        <v>224.67</v>
      </c>
      <c r="K1368" s="13" t="inlineStr">
        <is>
          <t>274.67</t>
        </is>
      </c>
      <c r="L1368" s="12" t="n">
        <v>45949</v>
      </c>
      <c r="M1368" s="12" t="n">
        <v>42466</v>
      </c>
      <c r="N1368" s="13" t="inlineStr"/>
      <c r="O1368" s="13" t="inlineStr">
        <is>
          <t>50.00</t>
        </is>
      </c>
      <c r="P1368" s="12" t="n"/>
    </row>
    <row r="1369" ht="39.6" customHeight="1">
      <c r="A1369" s="15" t="n">
        <v>20548</v>
      </c>
      <c r="B1369" s="16" t="n">
        <v>42639</v>
      </c>
      <c r="C1369" s="15" t="inlineStr">
        <is>
          <t>Nurse Unit Manager</t>
        </is>
      </c>
      <c r="D1369" s="15" t="inlineStr">
        <is>
          <t>NSW Nurse EA</t>
        </is>
      </c>
      <c r="E1369" s="15" t="inlineStr">
        <is>
          <t>PP - Part-time Waged</t>
        </is>
      </c>
      <c r="F1369" s="15" t="inlineStr">
        <is>
          <t>The Fertility Centre</t>
        </is>
      </c>
      <c r="G1369" s="15" t="inlineStr">
        <is>
          <t>New South Wales</t>
        </is>
      </c>
      <c r="H1369" s="17" t="inlineStr">
        <is>
          <t>68.00</t>
        </is>
      </c>
      <c r="I1369" s="15" t="inlineStr">
        <is>
          <t>IVF Australia Pty Ltd</t>
        </is>
      </c>
      <c r="J1369" s="18" t="n">
        <v>276.66</v>
      </c>
      <c r="K1369" s="17" t="inlineStr">
        <is>
          <t>276.66</t>
        </is>
      </c>
      <c r="L1369" s="16" t="n">
        <v>45949</v>
      </c>
      <c r="M1369" s="16" t="n">
        <v>42639</v>
      </c>
      <c r="N1369" s="17" t="inlineStr"/>
      <c r="O1369" s="17" t="inlineStr"/>
      <c r="P1369" s="16" t="n"/>
    </row>
    <row r="1370" ht="39.6" customHeight="1">
      <c r="A1370" s="11" t="n">
        <v>20517</v>
      </c>
      <c r="B1370" s="12" t="n">
        <v>42438</v>
      </c>
      <c r="C1370" s="11" t="inlineStr">
        <is>
          <t>Registered Nurse</t>
        </is>
      </c>
      <c r="D1370" s="11" t="inlineStr">
        <is>
          <t>NSW Nurse EA</t>
        </is>
      </c>
      <c r="E1370" s="11" t="inlineStr">
        <is>
          <t>FT - Full-time Waged</t>
        </is>
      </c>
      <c r="F1370" s="11" t="inlineStr">
        <is>
          <t>IVFA</t>
        </is>
      </c>
      <c r="G1370" s="11" t="inlineStr">
        <is>
          <t>New South Wales</t>
        </is>
      </c>
      <c r="H1370" s="13" t="inlineStr">
        <is>
          <t>76.00</t>
        </is>
      </c>
      <c r="I1370" s="11" t="inlineStr">
        <is>
          <t>IVF Australia Pty Ltd</t>
        </is>
      </c>
      <c r="J1370" s="14" t="n">
        <v>284.13</v>
      </c>
      <c r="K1370" s="13" t="inlineStr">
        <is>
          <t>284.13</t>
        </is>
      </c>
      <c r="L1370" s="12" t="n">
        <v>45949</v>
      </c>
      <c r="M1370" s="12" t="n">
        <v>42438</v>
      </c>
      <c r="N1370" s="13" t="inlineStr"/>
      <c r="O1370" s="13" t="inlineStr"/>
      <c r="P1370" s="12" t="n"/>
    </row>
    <row r="1371" ht="66" customHeight="1">
      <c r="A1371" s="15" t="n">
        <v>50080</v>
      </c>
      <c r="B1371" s="16" t="n">
        <v>42303</v>
      </c>
      <c r="C1371" s="15" t="inlineStr">
        <is>
          <t>Administration Clerk</t>
        </is>
      </c>
      <c r="D1371" s="15" t="inlineStr">
        <is>
          <t>NSW Support Services EA</t>
        </is>
      </c>
      <c r="E1371" s="15" t="inlineStr">
        <is>
          <t>PP - Part-time Waged</t>
        </is>
      </c>
      <c r="F1371" s="15" t="inlineStr">
        <is>
          <t>Day Hospitals</t>
        </is>
      </c>
      <c r="G1371" s="15" t="inlineStr">
        <is>
          <t>New South Wales</t>
        </is>
      </c>
      <c r="H1371" s="17" t="inlineStr">
        <is>
          <t>68.00</t>
        </is>
      </c>
      <c r="I1371" s="15" t="inlineStr">
        <is>
          <t>Alexandria Specialist Day Hospital Pty Ltd</t>
        </is>
      </c>
      <c r="J1371" s="18" t="n">
        <v>286.74</v>
      </c>
      <c r="K1371" s="17" t="inlineStr">
        <is>
          <t>286.74</t>
        </is>
      </c>
      <c r="L1371" s="16" t="n">
        <v>45949</v>
      </c>
      <c r="M1371" s="16" t="n">
        <v>42303</v>
      </c>
      <c r="N1371" s="17" t="inlineStr"/>
      <c r="O1371" s="17" t="inlineStr"/>
      <c r="P1371" s="16" t="n"/>
    </row>
    <row r="1372" ht="79.2" customHeight="1">
      <c r="A1372" s="11" t="n">
        <v>80229</v>
      </c>
      <c r="B1372" s="12" t="n">
        <v>42653</v>
      </c>
      <c r="C1372" s="11" t="inlineStr">
        <is>
          <t>Administration</t>
        </is>
      </c>
      <c r="D1372" s="11" t="inlineStr">
        <is>
          <t>Health Professionals and Support Services Award</t>
        </is>
      </c>
      <c r="E1372" s="11" t="inlineStr">
        <is>
          <t>FT - Full-time Waged</t>
        </is>
      </c>
      <c r="F1372" s="11" t="inlineStr">
        <is>
          <t>Queensland Fertility Group</t>
        </is>
      </c>
      <c r="G1372" s="11" t="inlineStr">
        <is>
          <t>Queensland</t>
        </is>
      </c>
      <c r="H1372" s="13" t="inlineStr">
        <is>
          <t>76.00</t>
        </is>
      </c>
      <c r="I1372" s="11" t="inlineStr">
        <is>
          <t>Queensland Fertility Group Pty Ltd</t>
        </is>
      </c>
      <c r="J1372" s="14" t="n">
        <v>294.99</v>
      </c>
      <c r="K1372" s="13" t="inlineStr">
        <is>
          <t>294.99</t>
        </is>
      </c>
      <c r="L1372" s="12" t="n">
        <v>45949</v>
      </c>
      <c r="M1372" s="12" t="n">
        <v>42653</v>
      </c>
      <c r="N1372" s="13" t="inlineStr"/>
      <c r="O1372" s="13" t="inlineStr"/>
      <c r="P1372" s="12" t="n"/>
    </row>
    <row r="1373" ht="52.8" customHeight="1">
      <c r="A1373" s="15" t="n">
        <v>61005</v>
      </c>
      <c r="B1373" s="16" t="n">
        <v>42583</v>
      </c>
      <c r="C1373" s="15" t="inlineStr">
        <is>
          <t>Senior Service Desk Operator</t>
        </is>
      </c>
      <c r="D1373" s="15" t="inlineStr">
        <is>
          <t>Common Law Employment Contract</t>
        </is>
      </c>
      <c r="E1373" s="15" t="inlineStr">
        <is>
          <t>FP - Full-time Salaried</t>
        </is>
      </c>
      <c r="F1373" s="15" t="inlineStr">
        <is>
          <t>Corporate Services</t>
        </is>
      </c>
      <c r="G1373" s="15" t="inlineStr">
        <is>
          <t>Queensland</t>
        </is>
      </c>
      <c r="H1373" s="17" t="inlineStr">
        <is>
          <t>76.00</t>
        </is>
      </c>
      <c r="I1373" s="15" t="inlineStr">
        <is>
          <t>IVF Australia Pty Ltd</t>
        </is>
      </c>
      <c r="J1373" s="18" t="n">
        <v>297.19</v>
      </c>
      <c r="K1373" s="17" t="inlineStr">
        <is>
          <t>297.19</t>
        </is>
      </c>
      <c r="L1373" s="16" t="n">
        <v>45949</v>
      </c>
      <c r="M1373" s="16" t="n">
        <v>42583</v>
      </c>
      <c r="N1373" s="17" t="inlineStr"/>
      <c r="O1373" s="17" t="inlineStr"/>
      <c r="P1373" s="16" t="n"/>
    </row>
    <row r="1374" ht="39.6" customHeight="1">
      <c r="A1374" s="11" t="n">
        <v>20549</v>
      </c>
      <c r="B1374" s="12" t="n">
        <v>42647</v>
      </c>
      <c r="C1374" s="11" t="inlineStr">
        <is>
          <t>Senior Scientist</t>
        </is>
      </c>
      <c r="D1374" s="11" t="inlineStr">
        <is>
          <t>IVFA Scientists EA</t>
        </is>
      </c>
      <c r="E1374" s="11" t="inlineStr">
        <is>
          <t>FT - Full-time Waged</t>
        </is>
      </c>
      <c r="F1374" s="11" t="inlineStr">
        <is>
          <t>IVFA</t>
        </is>
      </c>
      <c r="G1374" s="11" t="inlineStr">
        <is>
          <t>New South Wales</t>
        </is>
      </c>
      <c r="H1374" s="13" t="inlineStr">
        <is>
          <t>76.00</t>
        </is>
      </c>
      <c r="I1374" s="11" t="inlineStr">
        <is>
          <t>IVF Australia Pty Ltd</t>
        </is>
      </c>
      <c r="J1374" s="14" t="n">
        <v>298.15</v>
      </c>
      <c r="K1374" s="13" t="inlineStr">
        <is>
          <t>298.15</t>
        </is>
      </c>
      <c r="L1374" s="12" t="n">
        <v>45949</v>
      </c>
      <c r="M1374" s="12" t="n">
        <v>42647</v>
      </c>
      <c r="N1374" s="13" t="inlineStr"/>
      <c r="O1374" s="13" t="inlineStr"/>
      <c r="P1374" s="12" t="n"/>
    </row>
    <row r="1375" ht="79.2" customHeight="1">
      <c r="A1375" s="15" t="n">
        <v>90040</v>
      </c>
      <c r="B1375" s="16" t="n">
        <v>42520</v>
      </c>
      <c r="C1375" s="15" t="inlineStr">
        <is>
          <t>Administration</t>
        </is>
      </c>
      <c r="D1375" s="15" t="inlineStr">
        <is>
          <t>Health Professionals and Support Services Award</t>
        </is>
      </c>
      <c r="E1375" s="15" t="inlineStr">
        <is>
          <t>FT - Full-time Waged</t>
        </is>
      </c>
      <c r="F1375" s="15" t="inlineStr">
        <is>
          <t>Diagnostics</t>
        </is>
      </c>
      <c r="G1375" s="15" t="inlineStr">
        <is>
          <t>New South Wales</t>
        </is>
      </c>
      <c r="H1375" s="17" t="inlineStr">
        <is>
          <t>76.00</t>
        </is>
      </c>
      <c r="I1375" s="15" t="inlineStr">
        <is>
          <t>Virtus Health Specialist Diagnostics</t>
        </is>
      </c>
      <c r="J1375" s="18" t="n">
        <v>305.98</v>
      </c>
      <c r="K1375" s="17" t="inlineStr">
        <is>
          <t>305.98</t>
        </is>
      </c>
      <c r="L1375" s="16" t="n">
        <v>45949</v>
      </c>
      <c r="M1375" s="16" t="n">
        <v>42520</v>
      </c>
      <c r="N1375" s="17" t="inlineStr"/>
      <c r="O1375" s="17" t="inlineStr"/>
      <c r="P1375" s="16" t="n"/>
    </row>
    <row r="1376" ht="39.6" customHeight="1">
      <c r="A1376" s="11" t="n">
        <v>20521</v>
      </c>
      <c r="B1376" s="12" t="n">
        <v>42451</v>
      </c>
      <c r="C1376" s="11" t="inlineStr">
        <is>
          <t>Administration</t>
        </is>
      </c>
      <c r="D1376" s="11" t="inlineStr">
        <is>
          <t>NSW Support Services EA</t>
        </is>
      </c>
      <c r="E1376" s="11" t="inlineStr">
        <is>
          <t>FT - Full-time Waged</t>
        </is>
      </c>
      <c r="F1376" s="11" t="inlineStr">
        <is>
          <t>The Fertility Centre</t>
        </is>
      </c>
      <c r="G1376" s="11" t="inlineStr">
        <is>
          <t>New South Wales</t>
        </is>
      </c>
      <c r="H1376" s="13" t="inlineStr">
        <is>
          <t>76.00</t>
        </is>
      </c>
      <c r="I1376" s="11" t="inlineStr">
        <is>
          <t>IVF Australia Pty Ltd</t>
        </is>
      </c>
      <c r="J1376" s="14" t="n">
        <v>316.1</v>
      </c>
      <c r="K1376" s="13" t="inlineStr">
        <is>
          <t>316.10</t>
        </is>
      </c>
      <c r="L1376" s="12" t="n">
        <v>45949</v>
      </c>
      <c r="M1376" s="12" t="n">
        <v>42451</v>
      </c>
      <c r="N1376" s="13" t="inlineStr"/>
      <c r="O1376" s="13" t="inlineStr"/>
      <c r="P1376" s="12" t="n"/>
    </row>
    <row r="1377" ht="39.6" customHeight="1">
      <c r="A1377" s="15" t="n">
        <v>20522</v>
      </c>
      <c r="B1377" s="16" t="n">
        <v>42450</v>
      </c>
      <c r="C1377" s="15" t="inlineStr">
        <is>
          <t>Medical Secretary</t>
        </is>
      </c>
      <c r="D1377" s="15" t="inlineStr">
        <is>
          <t>NSW Support Services EA</t>
        </is>
      </c>
      <c r="E1377" s="15" t="inlineStr">
        <is>
          <t>FT - Full-time Waged</t>
        </is>
      </c>
      <c r="F1377" s="15" t="inlineStr">
        <is>
          <t>IVFA</t>
        </is>
      </c>
      <c r="G1377" s="15" t="inlineStr">
        <is>
          <t>New South Wales</t>
        </is>
      </c>
      <c r="H1377" s="17" t="inlineStr">
        <is>
          <t>76.00</t>
        </is>
      </c>
      <c r="I1377" s="15" t="inlineStr">
        <is>
          <t>IVF Australia Pty Ltd</t>
        </is>
      </c>
      <c r="J1377" s="18" t="n">
        <v>317.53</v>
      </c>
      <c r="K1377" s="17" t="inlineStr">
        <is>
          <t>317.53</t>
        </is>
      </c>
      <c r="L1377" s="16" t="n">
        <v>45949</v>
      </c>
      <c r="M1377" s="16" t="n">
        <v>42450</v>
      </c>
      <c r="N1377" s="17" t="inlineStr"/>
      <c r="O1377" s="17" t="inlineStr"/>
      <c r="P1377" s="16" t="n"/>
    </row>
    <row r="1378" ht="52.8" customHeight="1">
      <c r="A1378" s="11" t="inlineStr">
        <is>
          <t>AU23821</t>
        </is>
      </c>
      <c r="B1378" s="12" t="n">
        <v>45859</v>
      </c>
      <c r="C1378" s="11" t="inlineStr">
        <is>
          <t>Technology Support Engineer</t>
        </is>
      </c>
      <c r="D1378" s="11" t="inlineStr">
        <is>
          <t>Common Law Employment Contract</t>
        </is>
      </c>
      <c r="E1378" s="11" t="inlineStr">
        <is>
          <t>FP - Full-time Salaried</t>
        </is>
      </c>
      <c r="F1378" s="11" t="inlineStr">
        <is>
          <t>Corporate Services</t>
        </is>
      </c>
      <c r="G1378" s="11" t="inlineStr">
        <is>
          <t>Victoria</t>
        </is>
      </c>
      <c r="H1378" s="13" t="inlineStr">
        <is>
          <t>76.00</t>
        </is>
      </c>
      <c r="I1378" s="11" t="inlineStr">
        <is>
          <t>IVF Australia Pty Ltd</t>
        </is>
      </c>
      <c r="J1378" s="14" t="n">
        <v>321.2</v>
      </c>
      <c r="K1378" s="13" t="inlineStr">
        <is>
          <t>321.20</t>
        </is>
      </c>
      <c r="L1378" s="12" t="n">
        <v>45949</v>
      </c>
      <c r="M1378" s="12" t="n">
        <v>44172</v>
      </c>
      <c r="N1378" s="13" t="inlineStr"/>
      <c r="O1378" s="13" t="inlineStr"/>
      <c r="P1378" s="12" t="n"/>
    </row>
    <row r="1379" ht="39.6" customHeight="1">
      <c r="A1379" s="15" t="n">
        <v>20498</v>
      </c>
      <c r="B1379" s="16" t="n">
        <v>42387</v>
      </c>
      <c r="C1379" s="15" t="inlineStr">
        <is>
          <t>Administration</t>
        </is>
      </c>
      <c r="D1379" s="15" t="inlineStr">
        <is>
          <t>NSW Support Services EA</t>
        </is>
      </c>
      <c r="E1379" s="15" t="inlineStr">
        <is>
          <t>FT - Full-time Waged</t>
        </is>
      </c>
      <c r="F1379" s="15" t="inlineStr">
        <is>
          <t>IVFA</t>
        </is>
      </c>
      <c r="G1379" s="15" t="inlineStr">
        <is>
          <t>New South Wales</t>
        </is>
      </c>
      <c r="H1379" s="17" t="inlineStr">
        <is>
          <t>76.00</t>
        </is>
      </c>
      <c r="I1379" s="15" t="inlineStr">
        <is>
          <t>IVF Australia Pty Ltd</t>
        </is>
      </c>
      <c r="J1379" s="18" t="n">
        <v>321.63</v>
      </c>
      <c r="K1379" s="17" t="inlineStr">
        <is>
          <t>321.63</t>
        </is>
      </c>
      <c r="L1379" s="16" t="n">
        <v>45949</v>
      </c>
      <c r="M1379" s="16" t="n">
        <v>42387</v>
      </c>
      <c r="N1379" s="17" t="inlineStr"/>
      <c r="O1379" s="17" t="inlineStr"/>
      <c r="P1379" s="16" t="n"/>
    </row>
    <row r="1380" ht="52.8" customHeight="1">
      <c r="A1380" s="11" t="n">
        <v>60038</v>
      </c>
      <c r="B1380" s="12" t="n">
        <v>43472</v>
      </c>
      <c r="C1380" s="11" t="inlineStr">
        <is>
          <t>Director of Nursing</t>
        </is>
      </c>
      <c r="D1380" s="11" t="inlineStr">
        <is>
          <t>QLD Nurse EA</t>
        </is>
      </c>
      <c r="E1380" s="11" t="inlineStr">
        <is>
          <t>Part Time</t>
        </is>
      </c>
      <c r="F1380" s="11" t="inlineStr">
        <is>
          <t>Day Hospitals</t>
        </is>
      </c>
      <c r="G1380" s="11" t="inlineStr">
        <is>
          <t>Queensland</t>
        </is>
      </c>
      <c r="H1380" s="13" t="inlineStr">
        <is>
          <t>56.00</t>
        </is>
      </c>
      <c r="I1380" s="11" t="inlineStr">
        <is>
          <t>MACKAY Specialist Day Hospital</t>
        </is>
      </c>
      <c r="J1380" s="14" t="n">
        <v>333.74</v>
      </c>
      <c r="K1380" s="13" t="inlineStr">
        <is>
          <t>333.74</t>
        </is>
      </c>
      <c r="L1380" s="12" t="n">
        <v>45949</v>
      </c>
      <c r="M1380" s="12" t="n">
        <v>43472</v>
      </c>
      <c r="N1380" s="13" t="inlineStr"/>
      <c r="O1380" s="13" t="inlineStr"/>
      <c r="P1380" s="12" t="n"/>
    </row>
    <row r="1381" ht="52.8" customHeight="1">
      <c r="A1381" s="15" t="n">
        <v>80542</v>
      </c>
      <c r="B1381" s="16" t="n">
        <v>43283</v>
      </c>
      <c r="C1381" s="15" t="inlineStr">
        <is>
          <t>Registered Nurse</t>
        </is>
      </c>
      <c r="D1381" s="15" t="inlineStr">
        <is>
          <t>QLD Nurse EA</t>
        </is>
      </c>
      <c r="E1381" s="15" t="inlineStr">
        <is>
          <t>PP - Part-time Waged</t>
        </is>
      </c>
      <c r="F1381" s="15" t="inlineStr">
        <is>
          <t>Queensland Fertility Group</t>
        </is>
      </c>
      <c r="G1381" s="15" t="inlineStr">
        <is>
          <t>Queensland</t>
        </is>
      </c>
      <c r="H1381" s="17" t="inlineStr">
        <is>
          <t>7.60</t>
        </is>
      </c>
      <c r="I1381" s="15" t="inlineStr">
        <is>
          <t>Queensland Fertility Group Pty Ltd</t>
        </is>
      </c>
      <c r="J1381" s="18" t="n">
        <v>351.32</v>
      </c>
      <c r="K1381" s="17" t="inlineStr">
        <is>
          <t>351.32</t>
        </is>
      </c>
      <c r="L1381" s="16" t="n">
        <v>45949</v>
      </c>
      <c r="M1381" s="16" t="n">
        <v>43283</v>
      </c>
      <c r="N1381" s="17" t="inlineStr"/>
      <c r="O1381" s="17" t="inlineStr"/>
      <c r="P1381" s="16" t="n"/>
    </row>
    <row r="1382" ht="52.8" customHeight="1">
      <c r="A1382" s="11" t="n">
        <v>80300</v>
      </c>
      <c r="B1382" s="12" t="n">
        <v>43283</v>
      </c>
      <c r="C1382" s="11" t="inlineStr">
        <is>
          <t>Registered Nurse/Clinic Co-Ordinator</t>
        </is>
      </c>
      <c r="D1382" s="11" t="inlineStr">
        <is>
          <t>QLD Nurse EA</t>
        </is>
      </c>
      <c r="E1382" s="11" t="inlineStr">
        <is>
          <t>FT - Full-time Waged</t>
        </is>
      </c>
      <c r="F1382" s="11" t="inlineStr">
        <is>
          <t>Queensland Fertility Group</t>
        </is>
      </c>
      <c r="G1382" s="11" t="inlineStr">
        <is>
          <t>Queensland</t>
        </is>
      </c>
      <c r="H1382" s="13" t="inlineStr">
        <is>
          <t>76.00</t>
        </is>
      </c>
      <c r="I1382" s="11" t="inlineStr">
        <is>
          <t>Queensland Fertility Group Pty Ltd</t>
        </is>
      </c>
      <c r="J1382" s="14" t="n">
        <v>361.78</v>
      </c>
      <c r="K1382" s="13" t="inlineStr">
        <is>
          <t>361.78</t>
        </is>
      </c>
      <c r="L1382" s="12" t="n">
        <v>45949</v>
      </c>
      <c r="M1382" s="12" t="n">
        <v>43283</v>
      </c>
      <c r="N1382" s="13" t="inlineStr"/>
      <c r="O1382" s="13" t="inlineStr"/>
      <c r="P1382" s="12" t="n"/>
    </row>
    <row r="1383" ht="52.8" customHeight="1">
      <c r="A1383" s="15" t="n">
        <v>80533</v>
      </c>
      <c r="B1383" s="16" t="n">
        <v>43038</v>
      </c>
      <c r="C1383" s="15" t="inlineStr">
        <is>
          <t>Nurse Coordinator/Clinic Co-Ordinator</t>
        </is>
      </c>
      <c r="D1383" s="15" t="inlineStr">
        <is>
          <t>QLD Nurse EA</t>
        </is>
      </c>
      <c r="E1383" s="15" t="inlineStr">
        <is>
          <t>FT - Full-time Waged</t>
        </is>
      </c>
      <c r="F1383" s="15" t="inlineStr">
        <is>
          <t>Queensland Fertility Group</t>
        </is>
      </c>
      <c r="G1383" s="15" t="inlineStr">
        <is>
          <t>Queensland</t>
        </is>
      </c>
      <c r="H1383" s="17" t="inlineStr">
        <is>
          <t>76.00</t>
        </is>
      </c>
      <c r="I1383" s="15" t="inlineStr">
        <is>
          <t>Queensland Fertility Group Pty Ltd</t>
        </is>
      </c>
      <c r="J1383" s="18" t="n">
        <v>377.77</v>
      </c>
      <c r="K1383" s="17" t="inlineStr">
        <is>
          <t>377.77</t>
        </is>
      </c>
      <c r="L1383" s="16" t="n">
        <v>45949</v>
      </c>
      <c r="M1383" s="16" t="n">
        <v>43038</v>
      </c>
      <c r="N1383" s="17" t="inlineStr"/>
      <c r="O1383" s="17" t="inlineStr"/>
      <c r="P1383" s="16" t="n"/>
    </row>
    <row r="1384" ht="52.8" customHeight="1">
      <c r="A1384" s="11" t="n">
        <v>80216</v>
      </c>
      <c r="B1384" s="12" t="n">
        <v>42541</v>
      </c>
      <c r="C1384" s="11" t="inlineStr">
        <is>
          <t>Nurse Coordinator</t>
        </is>
      </c>
      <c r="D1384" s="11" t="inlineStr">
        <is>
          <t>QLD Nurse EA</t>
        </is>
      </c>
      <c r="E1384" s="11" t="inlineStr">
        <is>
          <t>FT - Full-time Waged</t>
        </is>
      </c>
      <c r="F1384" s="11" t="inlineStr">
        <is>
          <t>Queensland Fertility Group</t>
        </is>
      </c>
      <c r="G1384" s="11" t="inlineStr">
        <is>
          <t>Queensland</t>
        </is>
      </c>
      <c r="H1384" s="13" t="inlineStr">
        <is>
          <t>76.00</t>
        </is>
      </c>
      <c r="I1384" s="11" t="inlineStr">
        <is>
          <t>Queensland Fertility Group Pty Ltd</t>
        </is>
      </c>
      <c r="J1384" s="14" t="n">
        <v>463.49</v>
      </c>
      <c r="K1384" s="13" t="inlineStr">
        <is>
          <t>463.49</t>
        </is>
      </c>
      <c r="L1384" s="12" t="n">
        <v>45949</v>
      </c>
      <c r="M1384" s="12" t="n">
        <v>42541</v>
      </c>
      <c r="N1384" s="13" t="inlineStr"/>
      <c r="O1384" s="13" t="inlineStr"/>
      <c r="P1384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Adrienne Silla</dc:creator>
  <dcterms:created xmlns:dcterms="http://purl.org/dc/terms/" xmlns:xsi="http://www.w3.org/2001/XMLSchema-instance" xsi:type="dcterms:W3CDTF">2026-03-19T04:49:58Z</dcterms:created>
  <dcterms:modified xmlns:dcterms="http://purl.org/dc/terms/" xmlns:xsi="http://www.w3.org/2001/XMLSchema-instance" xsi:type="dcterms:W3CDTF">2026-06-02T02:05:44Z</dcterms:modified>
  <cp:lastModifiedBy>Adrienne Silla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0x0101002C182117F30176438B40BC1F17299A9F</vt:lpwstr>
  </property>
</Properties>
</file>